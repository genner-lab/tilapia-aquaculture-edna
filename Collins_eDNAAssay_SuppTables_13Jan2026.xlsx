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zmjg/Desktop/Live_Manuscripts/_Completed_Manuscripts/Rupert_eDNA/A_March2026/"/>
    </mc:Choice>
  </mc:AlternateContent>
  <xr:revisionPtr revIDLastSave="0" documentId="13_ncr:1_{C7B4BFA8-A389-7741-91F0-BBB95005ADB2}" xr6:coauthVersionLast="47" xr6:coauthVersionMax="47" xr10:uidLastSave="{00000000-0000-0000-0000-000000000000}"/>
  <bookViews>
    <workbookView xWindow="0" yWindow="760" windowWidth="30240" windowHeight="16820" tabRatio="831" xr2:uid="{00000000-000D-0000-FFFF-FFFF00000000}"/>
  </bookViews>
  <sheets>
    <sheet name="Table S1" sheetId="1" r:id="rId1"/>
    <sheet name="Table S2" sheetId="2" r:id="rId2"/>
    <sheet name="Table S3" sheetId="21" r:id="rId3"/>
    <sheet name="Table S4" sheetId="20" r:id="rId4"/>
    <sheet name="Table S5" sheetId="19" r:id="rId5"/>
    <sheet name="Table S6" sheetId="18" r:id="rId6"/>
    <sheet name="Table S7" sheetId="3" r:id="rId7"/>
    <sheet name="Table S8" sheetId="4" r:id="rId8"/>
    <sheet name="Table S9" sheetId="5" r:id="rId9"/>
    <sheet name="Table S10" sheetId="22" r:id="rId10"/>
    <sheet name="Table S11" sheetId="7" r:id="rId11"/>
    <sheet name="Table S12" sheetId="8" r:id="rId12"/>
    <sheet name="Table S13" sheetId="10" r:id="rId13"/>
    <sheet name="Table S14" sheetId="9" r:id="rId14"/>
    <sheet name="Table S15" sheetId="11" r:id="rId15"/>
    <sheet name="Table S16" sheetId="12" r:id="rId16"/>
    <sheet name="Table S17" sheetId="13" r:id="rId17"/>
    <sheet name="Table S18" sheetId="14" r:id="rId18"/>
    <sheet name="Table S19" sheetId="15" r:id="rId19"/>
    <sheet name="Table S20" sheetId="17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6" i="13" l="1"/>
  <c r="G56" i="13"/>
  <c r="F56" i="13"/>
  <c r="H55" i="13"/>
  <c r="G55" i="13"/>
  <c r="F55" i="13"/>
  <c r="H54" i="13"/>
  <c r="G54" i="13"/>
  <c r="F54" i="13"/>
  <c r="H53" i="13"/>
  <c r="G53" i="13"/>
  <c r="F53" i="13"/>
  <c r="H52" i="13"/>
  <c r="G52" i="13"/>
  <c r="F52" i="13"/>
  <c r="H51" i="13"/>
  <c r="G51" i="13"/>
  <c r="F51" i="13"/>
  <c r="H50" i="13"/>
  <c r="G50" i="13"/>
  <c r="F50" i="13"/>
  <c r="H49" i="13"/>
  <c r="G49" i="13"/>
  <c r="F49" i="13"/>
  <c r="H48" i="13"/>
  <c r="G48" i="13"/>
  <c r="F48" i="13"/>
  <c r="H47" i="13"/>
  <c r="G47" i="13"/>
  <c r="F47" i="13"/>
  <c r="H46" i="13"/>
  <c r="G46" i="13"/>
  <c r="F46" i="13"/>
  <c r="H45" i="13"/>
  <c r="G45" i="13"/>
  <c r="F45" i="13"/>
  <c r="H44" i="13"/>
  <c r="G44" i="13"/>
  <c r="F44" i="13"/>
  <c r="H43" i="13"/>
  <c r="G43" i="13"/>
  <c r="F43" i="13"/>
  <c r="H42" i="13"/>
  <c r="G42" i="13"/>
  <c r="F42" i="13"/>
  <c r="H41" i="13"/>
  <c r="G41" i="13"/>
  <c r="F41" i="13"/>
  <c r="H40" i="13"/>
  <c r="G40" i="13"/>
  <c r="F40" i="13"/>
  <c r="H39" i="13"/>
  <c r="G39" i="13"/>
  <c r="F39" i="13"/>
  <c r="H38" i="13"/>
  <c r="G38" i="13"/>
  <c r="F38" i="13"/>
  <c r="H36" i="13"/>
  <c r="G36" i="13"/>
  <c r="F36" i="13"/>
  <c r="H35" i="13"/>
  <c r="G35" i="13"/>
  <c r="F35" i="13"/>
  <c r="H34" i="13"/>
  <c r="G34" i="13"/>
  <c r="F34" i="13"/>
  <c r="H33" i="13"/>
  <c r="G33" i="13"/>
  <c r="F33" i="13"/>
  <c r="H32" i="13"/>
  <c r="G32" i="13"/>
  <c r="F32" i="13"/>
  <c r="H31" i="13"/>
  <c r="G31" i="13"/>
  <c r="F31" i="13"/>
  <c r="H29" i="13"/>
  <c r="G29" i="13"/>
  <c r="F29" i="13"/>
  <c r="H28" i="13"/>
  <c r="G28" i="13"/>
  <c r="F28" i="13"/>
  <c r="H27" i="13"/>
  <c r="G27" i="13"/>
  <c r="F27" i="13"/>
  <c r="H26" i="13"/>
  <c r="G26" i="13"/>
  <c r="F26" i="13"/>
  <c r="H25" i="13"/>
  <c r="G25" i="13"/>
  <c r="F25" i="13"/>
  <c r="H24" i="13"/>
  <c r="G24" i="13"/>
  <c r="F24" i="13"/>
  <c r="H22" i="13"/>
  <c r="G22" i="13"/>
  <c r="F22" i="13"/>
  <c r="H21" i="13"/>
  <c r="G21" i="13"/>
  <c r="F21" i="13"/>
  <c r="H20" i="13"/>
  <c r="G20" i="13"/>
  <c r="F20" i="13"/>
  <c r="H19" i="13"/>
  <c r="G19" i="13"/>
  <c r="F19" i="13"/>
  <c r="H18" i="13"/>
  <c r="G18" i="13"/>
  <c r="F18" i="13"/>
  <c r="H16" i="13"/>
  <c r="G16" i="13"/>
  <c r="F16" i="13"/>
  <c r="H15" i="13"/>
  <c r="G15" i="13"/>
  <c r="F15" i="13"/>
  <c r="H14" i="13"/>
  <c r="G14" i="13"/>
  <c r="F14" i="13"/>
  <c r="H13" i="13"/>
  <c r="G13" i="13"/>
  <c r="F13" i="13"/>
  <c r="H12" i="13"/>
  <c r="G12" i="13"/>
  <c r="F12" i="13"/>
  <c r="F6" i="13"/>
  <c r="G6" i="13"/>
  <c r="H6" i="13"/>
  <c r="F7" i="13"/>
  <c r="G7" i="13"/>
  <c r="H7" i="13"/>
  <c r="F8" i="13"/>
  <c r="G8" i="13"/>
  <c r="H8" i="13"/>
  <c r="F9" i="13"/>
  <c r="G9" i="13"/>
  <c r="H9" i="13"/>
  <c r="F10" i="13"/>
  <c r="G10" i="13"/>
  <c r="H10" i="13"/>
  <c r="G5" i="13"/>
  <c r="H5" i="13"/>
  <c r="F5" i="13"/>
  <c r="N471" i="22"/>
  <c r="N470" i="22"/>
  <c r="N469" i="22"/>
  <c r="N468" i="22"/>
  <c r="N467" i="22"/>
  <c r="N466" i="22"/>
  <c r="N465" i="22"/>
  <c r="N464" i="22"/>
  <c r="N463" i="22"/>
  <c r="N462" i="22"/>
  <c r="N461" i="22"/>
  <c r="N460" i="22"/>
  <c r="N459" i="22"/>
  <c r="N458" i="22"/>
  <c r="N457" i="22"/>
  <c r="N456" i="22"/>
  <c r="N455" i="22"/>
  <c r="N454" i="22"/>
  <c r="N453" i="22"/>
  <c r="N452" i="22"/>
  <c r="N451" i="22"/>
  <c r="N450" i="22"/>
  <c r="N449" i="22"/>
  <c r="N448" i="22"/>
  <c r="N447" i="22"/>
  <c r="N446" i="22"/>
  <c r="N445" i="22"/>
  <c r="N444" i="22"/>
  <c r="N443" i="22"/>
  <c r="N442" i="22"/>
  <c r="N441" i="22"/>
  <c r="N440" i="22"/>
  <c r="N439" i="22"/>
  <c r="N438" i="22"/>
  <c r="N437" i="22"/>
  <c r="N436" i="22"/>
  <c r="N435" i="22"/>
  <c r="N434" i="22"/>
  <c r="N433" i="22"/>
  <c r="N432" i="22"/>
  <c r="N431" i="22"/>
  <c r="N430" i="22"/>
  <c r="N429" i="22"/>
  <c r="N428" i="22"/>
  <c r="N427" i="22"/>
  <c r="N426" i="22"/>
  <c r="N425" i="22"/>
  <c r="N424" i="22"/>
  <c r="N423" i="22"/>
  <c r="N422" i="22"/>
  <c r="N421" i="22"/>
  <c r="N420" i="22"/>
  <c r="N419" i="22"/>
  <c r="N418" i="22"/>
  <c r="N417" i="22"/>
  <c r="N416" i="22"/>
  <c r="N415" i="22"/>
  <c r="N414" i="22"/>
  <c r="N413" i="22"/>
  <c r="N412" i="22"/>
  <c r="N411" i="22"/>
  <c r="N410" i="22"/>
  <c r="N409" i="22"/>
  <c r="N408" i="22"/>
  <c r="N407" i="22"/>
  <c r="N406" i="22"/>
  <c r="N405" i="22"/>
  <c r="N404" i="22"/>
  <c r="N403" i="22"/>
  <c r="N402" i="22"/>
  <c r="N401" i="22"/>
  <c r="N400" i="22"/>
  <c r="N399" i="22"/>
  <c r="N398" i="22"/>
  <c r="N397" i="22"/>
  <c r="N396" i="22"/>
  <c r="N395" i="22"/>
  <c r="N394" i="22"/>
  <c r="N393" i="22"/>
  <c r="N392" i="22"/>
  <c r="N391" i="22"/>
  <c r="N390" i="22"/>
  <c r="N389" i="22"/>
  <c r="N388" i="22"/>
  <c r="N387" i="22"/>
  <c r="N386" i="22"/>
  <c r="N385" i="22"/>
  <c r="N384" i="22"/>
  <c r="N383" i="22"/>
  <c r="N382" i="22"/>
  <c r="N381" i="22"/>
  <c r="N380" i="22"/>
  <c r="N379" i="22"/>
  <c r="N378" i="22"/>
  <c r="N377" i="22"/>
  <c r="N376" i="22"/>
  <c r="N375" i="22"/>
  <c r="N374" i="22"/>
  <c r="N373" i="22"/>
  <c r="N372" i="22"/>
  <c r="N371" i="22"/>
  <c r="N370" i="22"/>
  <c r="N369" i="22"/>
  <c r="N368" i="22"/>
  <c r="N367" i="22"/>
  <c r="N366" i="22"/>
  <c r="N365" i="22"/>
  <c r="N364" i="22"/>
  <c r="N363" i="22"/>
  <c r="N362" i="22"/>
  <c r="N361" i="22"/>
  <c r="N360" i="22"/>
  <c r="N359" i="22"/>
  <c r="N358" i="22"/>
  <c r="N357" i="22"/>
  <c r="N356" i="22"/>
  <c r="N355" i="22"/>
  <c r="N354" i="22"/>
  <c r="N353" i="22"/>
  <c r="N352" i="22"/>
  <c r="N351" i="22"/>
  <c r="N350" i="22"/>
  <c r="N349" i="22"/>
  <c r="N348" i="22"/>
  <c r="N347" i="22"/>
  <c r="N346" i="22"/>
  <c r="N345" i="22"/>
  <c r="N344" i="22"/>
  <c r="N343" i="22"/>
  <c r="N342" i="22"/>
  <c r="N341" i="22"/>
  <c r="N340" i="22"/>
  <c r="N339" i="22"/>
  <c r="N338" i="22"/>
  <c r="N337" i="22"/>
  <c r="N336" i="22"/>
  <c r="N335" i="22"/>
  <c r="N334" i="22"/>
  <c r="N333" i="22"/>
  <c r="N332" i="22"/>
  <c r="N331" i="22"/>
  <c r="N330" i="22"/>
  <c r="N329" i="22"/>
  <c r="N328" i="22"/>
  <c r="N327" i="22"/>
  <c r="N326" i="22"/>
  <c r="N325" i="22"/>
  <c r="N324" i="22"/>
  <c r="N323" i="22"/>
  <c r="N322" i="22"/>
  <c r="N321" i="22"/>
  <c r="N320" i="22"/>
  <c r="N319" i="22"/>
  <c r="N318" i="22"/>
  <c r="N317" i="22"/>
  <c r="N316" i="22"/>
  <c r="N315" i="22"/>
  <c r="N314" i="22"/>
  <c r="N313" i="22"/>
  <c r="N312" i="22"/>
  <c r="N311" i="22"/>
  <c r="N310" i="22"/>
  <c r="N309" i="22"/>
  <c r="N308" i="22"/>
  <c r="N307" i="22"/>
  <c r="N306" i="22"/>
  <c r="N305" i="22"/>
  <c r="N304" i="22"/>
  <c r="N303" i="22"/>
  <c r="N302" i="22"/>
  <c r="N301" i="22"/>
  <c r="N300" i="22"/>
  <c r="N299" i="22"/>
  <c r="N298" i="22"/>
  <c r="N297" i="22"/>
  <c r="N296" i="22"/>
  <c r="N295" i="22"/>
  <c r="N294" i="22"/>
  <c r="N293" i="22"/>
  <c r="N292" i="22"/>
  <c r="N291" i="22"/>
  <c r="N290" i="22"/>
  <c r="N289" i="22"/>
  <c r="N288" i="22"/>
  <c r="N287" i="22"/>
  <c r="N286" i="22"/>
  <c r="N285" i="22"/>
  <c r="N284" i="22"/>
  <c r="N283" i="22"/>
  <c r="N282" i="22"/>
  <c r="N281" i="22"/>
  <c r="N280" i="22"/>
  <c r="N279" i="22"/>
  <c r="N278" i="22"/>
  <c r="N277" i="22"/>
  <c r="N276" i="22"/>
  <c r="N275" i="22"/>
  <c r="N274" i="22"/>
  <c r="N273" i="22"/>
  <c r="N272" i="22"/>
  <c r="N271" i="22"/>
  <c r="N270" i="22"/>
  <c r="N269" i="22"/>
  <c r="N268" i="22"/>
  <c r="N267" i="22"/>
  <c r="N266" i="22"/>
  <c r="N265" i="22"/>
  <c r="N264" i="22"/>
  <c r="N263" i="22"/>
  <c r="N262" i="22"/>
  <c r="N261" i="22"/>
  <c r="N260" i="22"/>
  <c r="N259" i="22"/>
  <c r="N258" i="22"/>
  <c r="N257" i="22"/>
  <c r="N256" i="22"/>
  <c r="N255" i="22"/>
  <c r="N254" i="22"/>
  <c r="N253" i="22"/>
  <c r="N252" i="22"/>
  <c r="N251" i="22"/>
  <c r="N250" i="22"/>
  <c r="N249" i="22"/>
  <c r="N248" i="22"/>
  <c r="N247" i="22"/>
  <c r="N246" i="22"/>
  <c r="N245" i="22"/>
  <c r="N244" i="22"/>
  <c r="N243" i="22"/>
  <c r="N242" i="22"/>
  <c r="N241" i="22"/>
  <c r="N240" i="22"/>
  <c r="N239" i="22"/>
  <c r="N238" i="22"/>
  <c r="N237" i="22"/>
  <c r="N236" i="22"/>
  <c r="N235" i="22"/>
  <c r="N234" i="22"/>
  <c r="N233" i="22"/>
  <c r="N232" i="22"/>
  <c r="N231" i="22"/>
  <c r="N230" i="22"/>
  <c r="N229" i="22"/>
  <c r="N228" i="22"/>
  <c r="N227" i="22"/>
  <c r="N226" i="22"/>
  <c r="N225" i="22"/>
  <c r="N224" i="22"/>
  <c r="N223" i="22"/>
  <c r="N222" i="22"/>
  <c r="N221" i="22"/>
  <c r="N220" i="22"/>
  <c r="N219" i="22"/>
  <c r="N218" i="22"/>
  <c r="N217" i="22"/>
  <c r="N198" i="22"/>
  <c r="N197" i="22"/>
  <c r="N196" i="22"/>
  <c r="N195" i="22"/>
  <c r="N194" i="22"/>
  <c r="N193" i="22"/>
  <c r="N192" i="22"/>
  <c r="N191" i="22"/>
  <c r="N190" i="22"/>
  <c r="N216" i="22"/>
  <c r="N215" i="22"/>
  <c r="N214" i="22"/>
  <c r="N213" i="22"/>
  <c r="N212" i="22"/>
  <c r="N211" i="22"/>
  <c r="N210" i="22"/>
  <c r="N209" i="22"/>
  <c r="N208" i="22"/>
  <c r="N207" i="22"/>
  <c r="N206" i="22"/>
  <c r="N205" i="22"/>
  <c r="N204" i="22"/>
  <c r="N203" i="22"/>
  <c r="N202" i="22"/>
  <c r="N201" i="22"/>
  <c r="N200" i="22"/>
  <c r="N199" i="22"/>
  <c r="N189" i="22"/>
  <c r="N188" i="22"/>
  <c r="N187" i="22"/>
  <c r="N186" i="22"/>
  <c r="N185" i="22"/>
  <c r="N184" i="22"/>
  <c r="N183" i="22"/>
  <c r="N182" i="22"/>
  <c r="N181" i="22"/>
  <c r="N180" i="22"/>
  <c r="N179" i="22"/>
  <c r="N178" i="22"/>
  <c r="N177" i="22"/>
  <c r="N176" i="22"/>
  <c r="N175" i="22"/>
  <c r="N174" i="22"/>
  <c r="N173" i="22"/>
  <c r="N172" i="22"/>
  <c r="N171" i="22"/>
  <c r="N170" i="22"/>
  <c r="N169" i="22"/>
  <c r="N168" i="22"/>
  <c r="N167" i="22"/>
  <c r="N166" i="22"/>
  <c r="N165" i="22"/>
  <c r="N164" i="22"/>
  <c r="N163" i="22"/>
  <c r="N162" i="22"/>
  <c r="N161" i="22"/>
  <c r="N160" i="22"/>
  <c r="N159" i="22"/>
  <c r="N158" i="22"/>
  <c r="N157" i="22"/>
  <c r="N156" i="22"/>
  <c r="N155" i="22"/>
  <c r="N154" i="22"/>
  <c r="N153" i="22"/>
  <c r="N152" i="22"/>
  <c r="N151" i="22"/>
  <c r="N150" i="22"/>
  <c r="N149" i="22"/>
  <c r="N148" i="22"/>
  <c r="N147" i="22"/>
  <c r="N146" i="22"/>
  <c r="N145" i="22"/>
  <c r="N144" i="22"/>
  <c r="N143" i="22"/>
  <c r="N142" i="22"/>
  <c r="N141" i="22"/>
  <c r="N140" i="22"/>
  <c r="N139" i="22"/>
  <c r="N138" i="22"/>
  <c r="N137" i="22"/>
  <c r="N136" i="22"/>
  <c r="N135" i="22"/>
  <c r="N134" i="22"/>
  <c r="N133" i="22"/>
  <c r="N132" i="22"/>
  <c r="N131" i="22"/>
  <c r="N130" i="22"/>
  <c r="N129" i="22"/>
  <c r="N128" i="22"/>
  <c r="N127" i="22"/>
  <c r="N126" i="22"/>
  <c r="N125" i="22"/>
  <c r="N124" i="22"/>
  <c r="N123" i="22"/>
  <c r="N122" i="22"/>
  <c r="N121" i="22"/>
  <c r="N120" i="22"/>
  <c r="N119" i="22"/>
  <c r="N118" i="22"/>
  <c r="N117" i="22"/>
  <c r="N116" i="22"/>
  <c r="N115" i="22"/>
  <c r="N114" i="22"/>
  <c r="N113" i="22"/>
  <c r="N112" i="22"/>
  <c r="N111" i="22"/>
  <c r="N110" i="22"/>
  <c r="N109" i="22"/>
  <c r="N108" i="22"/>
  <c r="N107" i="22"/>
  <c r="N106" i="22"/>
  <c r="N105" i="22"/>
  <c r="N104" i="22"/>
  <c r="N103" i="22"/>
  <c r="N102" i="22"/>
  <c r="N101" i="22"/>
  <c r="N100" i="22"/>
  <c r="N99" i="22"/>
  <c r="N98" i="22"/>
  <c r="N97" i="22"/>
  <c r="N96" i="22"/>
  <c r="N95" i="22"/>
  <c r="N94" i="22"/>
  <c r="N93" i="22"/>
  <c r="N92" i="22"/>
  <c r="N91" i="22"/>
  <c r="N90" i="22"/>
  <c r="N89" i="22"/>
  <c r="N88" i="22"/>
  <c r="N87" i="22"/>
  <c r="N86" i="22"/>
  <c r="N85" i="22"/>
  <c r="N84" i="22"/>
  <c r="N83" i="22"/>
  <c r="N82" i="22"/>
  <c r="N81" i="22"/>
  <c r="N80" i="22"/>
  <c r="N79" i="22"/>
  <c r="N78" i="22"/>
  <c r="N77" i="22"/>
  <c r="N76" i="22"/>
  <c r="N75" i="22"/>
  <c r="N74" i="22"/>
  <c r="N73" i="22"/>
  <c r="N72" i="22"/>
  <c r="N71" i="22"/>
  <c r="N70" i="22"/>
  <c r="N69" i="22"/>
  <c r="N68" i="22"/>
  <c r="N67" i="22"/>
  <c r="N66" i="22"/>
  <c r="N65" i="22"/>
  <c r="N64" i="22"/>
  <c r="N63" i="22"/>
  <c r="N62" i="22"/>
  <c r="N61" i="22"/>
  <c r="N60" i="22"/>
  <c r="N59" i="22"/>
  <c r="N58" i="22"/>
  <c r="N57" i="22"/>
  <c r="N56" i="22"/>
  <c r="N55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N4" i="22"/>
  <c r="W255" i="21"/>
  <c r="M255" i="21"/>
  <c r="W254" i="21"/>
  <c r="M254" i="21"/>
  <c r="W253" i="21"/>
  <c r="M253" i="21"/>
  <c r="W252" i="21"/>
  <c r="M252" i="21"/>
  <c r="W251" i="21"/>
  <c r="M251" i="21"/>
  <c r="W250" i="21"/>
  <c r="M250" i="21"/>
  <c r="W249" i="21"/>
  <c r="M249" i="21"/>
  <c r="W248" i="21"/>
  <c r="M248" i="21"/>
  <c r="W247" i="21"/>
  <c r="M247" i="21"/>
  <c r="W246" i="21"/>
  <c r="M246" i="21"/>
  <c r="W245" i="21"/>
  <c r="M245" i="21"/>
  <c r="W244" i="21"/>
  <c r="M244" i="21"/>
  <c r="W243" i="21"/>
  <c r="M243" i="21"/>
  <c r="W242" i="21"/>
  <c r="M242" i="21"/>
  <c r="W241" i="21"/>
  <c r="M241" i="21"/>
  <c r="W240" i="21"/>
  <c r="M240" i="21"/>
  <c r="W239" i="21"/>
  <c r="M239" i="21"/>
  <c r="W238" i="21"/>
  <c r="M238" i="21"/>
  <c r="W237" i="21"/>
  <c r="M237" i="21"/>
  <c r="W236" i="21"/>
  <c r="M236" i="21"/>
  <c r="W235" i="21"/>
  <c r="M235" i="21"/>
  <c r="W234" i="21"/>
  <c r="M234" i="21"/>
  <c r="W233" i="21"/>
  <c r="M233" i="21"/>
  <c r="W232" i="21"/>
  <c r="M232" i="21"/>
  <c r="W231" i="21"/>
  <c r="M231" i="21"/>
  <c r="W230" i="21"/>
  <c r="M230" i="21"/>
  <c r="W229" i="21"/>
  <c r="M229" i="21"/>
  <c r="W228" i="21"/>
  <c r="M228" i="21"/>
  <c r="W227" i="21"/>
  <c r="M227" i="21"/>
  <c r="W226" i="21"/>
  <c r="M226" i="21"/>
  <c r="W225" i="21"/>
  <c r="M225" i="21"/>
  <c r="W224" i="21"/>
  <c r="M224" i="21"/>
  <c r="W223" i="21"/>
  <c r="M223" i="21"/>
  <c r="W222" i="21"/>
  <c r="M222" i="21"/>
  <c r="W221" i="21"/>
  <c r="M221" i="21"/>
  <c r="W220" i="21"/>
  <c r="M220" i="21"/>
  <c r="W219" i="21"/>
  <c r="M219" i="21"/>
  <c r="W218" i="21"/>
  <c r="M218" i="21"/>
  <c r="W217" i="21"/>
  <c r="M217" i="21"/>
  <c r="W216" i="21"/>
  <c r="M216" i="21"/>
  <c r="W215" i="21"/>
  <c r="M215" i="21"/>
  <c r="W214" i="21"/>
  <c r="M214" i="21"/>
  <c r="W213" i="21"/>
  <c r="M213" i="21"/>
  <c r="W212" i="21"/>
  <c r="M212" i="21"/>
  <c r="W211" i="21"/>
  <c r="M211" i="21"/>
  <c r="W210" i="21"/>
  <c r="M210" i="21"/>
  <c r="W209" i="21"/>
  <c r="M209" i="21"/>
  <c r="W208" i="21"/>
  <c r="M208" i="21"/>
  <c r="W207" i="21"/>
  <c r="M207" i="21"/>
  <c r="W206" i="21"/>
  <c r="M206" i="21"/>
  <c r="W205" i="21"/>
  <c r="M205" i="21"/>
  <c r="W204" i="21"/>
  <c r="M204" i="21"/>
  <c r="W203" i="21"/>
  <c r="M203" i="21"/>
  <c r="W202" i="21"/>
  <c r="M202" i="21"/>
  <c r="W201" i="21"/>
  <c r="M201" i="21"/>
  <c r="W200" i="21"/>
  <c r="M200" i="21"/>
  <c r="W199" i="21"/>
  <c r="M199" i="21"/>
  <c r="W198" i="21"/>
  <c r="M198" i="21"/>
  <c r="W197" i="21"/>
  <c r="M197" i="21"/>
  <c r="W196" i="21"/>
  <c r="M196" i="21"/>
  <c r="W195" i="21"/>
  <c r="M195" i="21"/>
  <c r="W194" i="21"/>
  <c r="M194" i="21"/>
  <c r="W193" i="21"/>
  <c r="M193" i="21"/>
  <c r="W192" i="21"/>
  <c r="M192" i="21"/>
  <c r="W191" i="21"/>
  <c r="M191" i="21"/>
  <c r="W190" i="21"/>
  <c r="M190" i="21"/>
  <c r="W189" i="21"/>
  <c r="M189" i="21"/>
  <c r="W188" i="21"/>
  <c r="M188" i="21"/>
  <c r="W187" i="21"/>
  <c r="M187" i="21"/>
  <c r="W186" i="21"/>
  <c r="M186" i="21"/>
  <c r="W185" i="21"/>
  <c r="M185" i="21"/>
  <c r="W184" i="21"/>
  <c r="M184" i="21"/>
  <c r="W183" i="21"/>
  <c r="M183" i="21"/>
  <c r="W182" i="21"/>
  <c r="M182" i="21"/>
  <c r="W181" i="21"/>
  <c r="M181" i="21"/>
  <c r="W180" i="21"/>
  <c r="M180" i="21"/>
  <c r="W179" i="21"/>
  <c r="M179" i="21"/>
  <c r="W178" i="21"/>
  <c r="M178" i="21"/>
  <c r="W177" i="21"/>
  <c r="M177" i="21"/>
  <c r="W176" i="21"/>
  <c r="M176" i="21"/>
  <c r="W175" i="21"/>
  <c r="M175" i="21"/>
  <c r="W174" i="21"/>
  <c r="M174" i="21"/>
  <c r="W173" i="21"/>
  <c r="M173" i="21"/>
  <c r="W172" i="21"/>
  <c r="M172" i="21"/>
  <c r="W171" i="21"/>
  <c r="M171" i="21"/>
  <c r="W170" i="21"/>
  <c r="M170" i="21"/>
  <c r="W169" i="21"/>
  <c r="M169" i="21"/>
  <c r="W168" i="21"/>
  <c r="M168" i="21"/>
  <c r="W167" i="21"/>
  <c r="M167" i="21"/>
  <c r="W166" i="21"/>
  <c r="M166" i="21"/>
  <c r="W165" i="21"/>
  <c r="M165" i="21"/>
  <c r="W164" i="21"/>
  <c r="M164" i="21"/>
  <c r="W163" i="21"/>
  <c r="M163" i="21"/>
  <c r="W162" i="21"/>
  <c r="M162" i="21"/>
  <c r="W161" i="21"/>
  <c r="M161" i="21"/>
  <c r="W160" i="21"/>
  <c r="M160" i="21"/>
  <c r="W159" i="21"/>
  <c r="M159" i="21"/>
  <c r="W158" i="21"/>
  <c r="M158" i="21"/>
  <c r="W157" i="21"/>
  <c r="M157" i="21"/>
  <c r="W156" i="21"/>
  <c r="M156" i="21"/>
  <c r="W155" i="21"/>
  <c r="M155" i="21"/>
  <c r="W154" i="21"/>
  <c r="M154" i="21"/>
  <c r="W153" i="21"/>
  <c r="M153" i="21"/>
  <c r="W152" i="21"/>
  <c r="M152" i="21"/>
  <c r="W151" i="21"/>
  <c r="M151" i="21"/>
  <c r="W150" i="21"/>
  <c r="M150" i="21"/>
  <c r="W149" i="21"/>
  <c r="M149" i="21"/>
  <c r="W148" i="21"/>
  <c r="M148" i="21"/>
  <c r="W147" i="21"/>
  <c r="M147" i="21"/>
  <c r="W146" i="21"/>
  <c r="M146" i="21"/>
  <c r="W145" i="21"/>
  <c r="M145" i="21"/>
  <c r="W144" i="21"/>
  <c r="M144" i="21"/>
  <c r="W143" i="21"/>
  <c r="M143" i="21"/>
  <c r="W142" i="21"/>
  <c r="M142" i="21"/>
  <c r="W141" i="21"/>
  <c r="M141" i="21"/>
  <c r="W140" i="21"/>
  <c r="M140" i="21"/>
  <c r="W139" i="21"/>
  <c r="M139" i="21"/>
  <c r="W138" i="21"/>
  <c r="M138" i="21"/>
  <c r="W137" i="21"/>
  <c r="M137" i="21"/>
  <c r="W136" i="21"/>
  <c r="M136" i="21"/>
  <c r="W135" i="21"/>
  <c r="M135" i="21"/>
  <c r="W134" i="21"/>
  <c r="M134" i="21"/>
  <c r="W133" i="21"/>
  <c r="M133" i="21"/>
  <c r="W132" i="21"/>
  <c r="M132" i="21"/>
  <c r="W131" i="21"/>
  <c r="M131" i="21"/>
  <c r="W130" i="21"/>
  <c r="M130" i="21"/>
  <c r="W129" i="21"/>
  <c r="M129" i="21"/>
  <c r="W128" i="21"/>
  <c r="M128" i="21"/>
  <c r="W127" i="21"/>
  <c r="M127" i="21"/>
  <c r="W126" i="21"/>
  <c r="M126" i="21"/>
  <c r="W125" i="21"/>
  <c r="M125" i="21"/>
  <c r="W124" i="21"/>
  <c r="M124" i="21"/>
  <c r="W123" i="21"/>
  <c r="M123" i="21"/>
  <c r="W122" i="21"/>
  <c r="M122" i="21"/>
  <c r="W121" i="21"/>
  <c r="M121" i="21"/>
  <c r="W120" i="21"/>
  <c r="M120" i="21"/>
  <c r="W119" i="21"/>
  <c r="M119" i="21"/>
  <c r="W118" i="21"/>
  <c r="M118" i="21"/>
  <c r="W117" i="21"/>
  <c r="M117" i="21"/>
  <c r="W116" i="21"/>
  <c r="M116" i="21"/>
  <c r="W115" i="21"/>
  <c r="M115" i="21"/>
  <c r="W114" i="21"/>
  <c r="M114" i="21"/>
  <c r="W113" i="21"/>
  <c r="M113" i="21"/>
  <c r="W112" i="21"/>
  <c r="M112" i="21"/>
  <c r="W111" i="21"/>
  <c r="M111" i="21"/>
  <c r="W110" i="21"/>
  <c r="M110" i="21"/>
  <c r="W109" i="21"/>
  <c r="M109" i="21"/>
  <c r="W108" i="21"/>
  <c r="M108" i="21"/>
  <c r="W107" i="21"/>
  <c r="M107" i="21"/>
  <c r="W106" i="21"/>
  <c r="M106" i="21"/>
  <c r="W105" i="21"/>
  <c r="M105" i="21"/>
  <c r="W104" i="21"/>
  <c r="M104" i="21"/>
  <c r="W103" i="21"/>
  <c r="M103" i="21"/>
  <c r="W102" i="21"/>
  <c r="M102" i="21"/>
  <c r="W101" i="21"/>
  <c r="M101" i="21"/>
  <c r="W100" i="21"/>
  <c r="M100" i="21"/>
  <c r="W99" i="21"/>
  <c r="M99" i="21"/>
  <c r="W98" i="21"/>
  <c r="M98" i="21"/>
  <c r="W97" i="21"/>
  <c r="M97" i="21"/>
  <c r="W96" i="21"/>
  <c r="M96" i="21"/>
  <c r="W95" i="21"/>
  <c r="M95" i="21"/>
  <c r="W94" i="21"/>
  <c r="M94" i="21"/>
  <c r="W93" i="21"/>
  <c r="M93" i="21"/>
  <c r="W92" i="21"/>
  <c r="M92" i="21"/>
  <c r="W91" i="21"/>
  <c r="M91" i="21"/>
  <c r="W90" i="21"/>
  <c r="M90" i="21"/>
  <c r="W89" i="21"/>
  <c r="M89" i="21"/>
  <c r="W88" i="21"/>
  <c r="M88" i="21"/>
  <c r="W87" i="21"/>
  <c r="M87" i="21"/>
  <c r="W86" i="21"/>
  <c r="M86" i="21"/>
  <c r="W85" i="21"/>
  <c r="M85" i="21"/>
  <c r="W84" i="21"/>
  <c r="M84" i="21"/>
  <c r="W83" i="21"/>
  <c r="M83" i="21"/>
  <c r="W82" i="21"/>
  <c r="M82" i="21"/>
  <c r="W81" i="21"/>
  <c r="M81" i="21"/>
  <c r="W80" i="21"/>
  <c r="M80" i="21"/>
  <c r="W79" i="21"/>
  <c r="M79" i="21"/>
  <c r="W78" i="21"/>
  <c r="M78" i="21"/>
  <c r="W77" i="21"/>
  <c r="M77" i="21"/>
  <c r="W76" i="21"/>
  <c r="M76" i="21"/>
  <c r="W75" i="21"/>
  <c r="M75" i="21"/>
  <c r="W74" i="21"/>
  <c r="M74" i="21"/>
  <c r="W73" i="21"/>
  <c r="M73" i="21"/>
  <c r="W72" i="21"/>
  <c r="M72" i="21"/>
  <c r="W71" i="21"/>
  <c r="M71" i="21"/>
  <c r="W70" i="21"/>
  <c r="M70" i="21"/>
  <c r="W69" i="21"/>
  <c r="M69" i="21"/>
  <c r="W68" i="21"/>
  <c r="M68" i="21"/>
  <c r="W67" i="21"/>
  <c r="M67" i="21"/>
  <c r="W66" i="21"/>
  <c r="M66" i="21"/>
  <c r="W65" i="21"/>
  <c r="M65" i="21"/>
  <c r="W64" i="21"/>
  <c r="M64" i="21"/>
  <c r="W63" i="21"/>
  <c r="M63" i="21"/>
  <c r="W62" i="21"/>
  <c r="M62" i="21"/>
  <c r="W61" i="21"/>
  <c r="M61" i="21"/>
  <c r="W60" i="21"/>
  <c r="M60" i="21"/>
  <c r="W59" i="21"/>
  <c r="M59" i="21"/>
  <c r="W58" i="21"/>
  <c r="M58" i="21"/>
  <c r="W57" i="21"/>
  <c r="M57" i="21"/>
  <c r="W56" i="21"/>
  <c r="M56" i="21"/>
  <c r="W55" i="21"/>
  <c r="M55" i="21"/>
  <c r="W54" i="21"/>
  <c r="M54" i="21"/>
  <c r="W53" i="21"/>
  <c r="M53" i="21"/>
  <c r="W52" i="21"/>
  <c r="M52" i="21"/>
  <c r="W51" i="21"/>
  <c r="M51" i="21"/>
  <c r="W50" i="21"/>
  <c r="M50" i="21"/>
  <c r="W49" i="21"/>
  <c r="M49" i="21"/>
  <c r="W48" i="21"/>
  <c r="M48" i="21"/>
  <c r="W47" i="21"/>
  <c r="M47" i="21"/>
  <c r="W46" i="21"/>
  <c r="M46" i="21"/>
  <c r="W45" i="21"/>
  <c r="M45" i="21"/>
  <c r="W44" i="21"/>
  <c r="M44" i="21"/>
  <c r="W43" i="21"/>
  <c r="M43" i="21"/>
  <c r="W42" i="21"/>
  <c r="M42" i="21"/>
  <c r="W41" i="21"/>
  <c r="M41" i="21"/>
  <c r="W40" i="21"/>
  <c r="M40" i="21"/>
  <c r="W39" i="21"/>
  <c r="M39" i="21"/>
  <c r="W38" i="21"/>
  <c r="M38" i="21"/>
  <c r="W37" i="21"/>
  <c r="M37" i="21"/>
  <c r="W36" i="21"/>
  <c r="M36" i="21"/>
  <c r="W35" i="21"/>
  <c r="M35" i="21"/>
  <c r="W34" i="21"/>
  <c r="M34" i="21"/>
  <c r="W33" i="21"/>
  <c r="M33" i="21"/>
  <c r="W32" i="21"/>
  <c r="M32" i="21"/>
  <c r="W31" i="21"/>
  <c r="M31" i="21"/>
  <c r="W30" i="21"/>
  <c r="M30" i="21"/>
  <c r="W29" i="21"/>
  <c r="M29" i="21"/>
  <c r="W28" i="21"/>
  <c r="M28" i="21"/>
  <c r="W27" i="21"/>
  <c r="M27" i="21"/>
  <c r="W26" i="21"/>
  <c r="M26" i="21"/>
  <c r="W25" i="21"/>
  <c r="M25" i="21"/>
  <c r="W24" i="21"/>
  <c r="M24" i="21"/>
  <c r="W23" i="21"/>
  <c r="M23" i="21"/>
  <c r="W22" i="21"/>
  <c r="M22" i="21"/>
  <c r="W21" i="21"/>
  <c r="M21" i="21"/>
  <c r="W20" i="21"/>
  <c r="M20" i="21"/>
  <c r="W19" i="21"/>
  <c r="M19" i="21"/>
  <c r="W18" i="21"/>
  <c r="M18" i="21"/>
  <c r="W17" i="21"/>
  <c r="M17" i="21"/>
  <c r="W16" i="21"/>
  <c r="M16" i="21"/>
  <c r="W15" i="21"/>
  <c r="M15" i="21"/>
  <c r="W14" i="21"/>
  <c r="M14" i="21"/>
  <c r="W13" i="21"/>
  <c r="M13" i="21"/>
  <c r="W12" i="21"/>
  <c r="M12" i="21"/>
  <c r="W11" i="21"/>
  <c r="M11" i="21"/>
  <c r="W10" i="21"/>
  <c r="M10" i="21"/>
  <c r="W9" i="21"/>
  <c r="M9" i="21"/>
  <c r="W8" i="21"/>
  <c r="M8" i="21"/>
  <c r="W7" i="21"/>
  <c r="M7" i="21"/>
  <c r="W6" i="21"/>
  <c r="M6" i="21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</calcChain>
</file>

<file path=xl/sharedStrings.xml><?xml version="1.0" encoding="utf-8"?>
<sst xmlns="http://schemas.openxmlformats.org/spreadsheetml/2006/main" count="31312" uniqueCount="8111">
  <si>
    <t>Source database</t>
  </si>
  <si>
    <t>Accession</t>
  </si>
  <si>
    <t>Tissue code</t>
  </si>
  <si>
    <t>NCBI species name</t>
  </si>
  <si>
    <t>Inferred mtDNA lineage</t>
  </si>
  <si>
    <t>Role</t>
  </si>
  <si>
    <t>Nucleotide</t>
  </si>
  <si>
    <t>AY597335</t>
  </si>
  <si>
    <t>NA</t>
  </si>
  <si>
    <t>Oreochromis mossambicus</t>
  </si>
  <si>
    <t>Oreochromis mossambicus?</t>
  </si>
  <si>
    <t>Reference sequence</t>
  </si>
  <si>
    <t>NC_007231</t>
  </si>
  <si>
    <t>GU477629</t>
  </si>
  <si>
    <t>Oreochromis aureus 'strain Guangdong'</t>
  </si>
  <si>
    <t>Oreochromis aureus</t>
  </si>
  <si>
    <t>GU477630</t>
  </si>
  <si>
    <t>Oreochromis aureus 'strain America'</t>
  </si>
  <si>
    <t>GU477627</t>
  </si>
  <si>
    <t>Oreochromis niloticus 'strain Guangdong'</t>
  </si>
  <si>
    <t>GU370125</t>
  </si>
  <si>
    <t>NC_013750</t>
  </si>
  <si>
    <t>SRA</t>
  </si>
  <si>
    <t>ERX6793871</t>
  </si>
  <si>
    <t>Oreochromis rukwaensis</t>
  </si>
  <si>
    <t>GU238433</t>
  </si>
  <si>
    <t>Oreochromis niloticus</t>
  </si>
  <si>
    <t>NC_013663</t>
  </si>
  <si>
    <t>MK951678</t>
  </si>
  <si>
    <t>Oreochromis tanganicae</t>
  </si>
  <si>
    <t>ERX12704460</t>
  </si>
  <si>
    <t>Oreochromis shiranus</t>
  </si>
  <si>
    <t>ERX6793852</t>
  </si>
  <si>
    <t>Oreochromis shiranus chilwae</t>
  </si>
  <si>
    <t>KM434157</t>
  </si>
  <si>
    <t>Oreochromis niloticus x Oreochromis aureus</t>
  </si>
  <si>
    <t>NC_025669</t>
  </si>
  <si>
    <t>GU477624</t>
  </si>
  <si>
    <t>Oreochromis niloticus 'strain GIFT'</t>
  </si>
  <si>
    <t>MG603674</t>
  </si>
  <si>
    <t>Oreochromis andersonii</t>
  </si>
  <si>
    <t>NC_037019</t>
  </si>
  <si>
    <t>MG603675</t>
  </si>
  <si>
    <t>Oreochromis macrochir</t>
  </si>
  <si>
    <t>NC_037020</t>
  </si>
  <si>
    <t>ERX6793927</t>
  </si>
  <si>
    <t>Oreochromis esculentus</t>
  </si>
  <si>
    <t>KM654981</t>
  </si>
  <si>
    <t>NC_025555</t>
  </si>
  <si>
    <t>KM658974</t>
  </si>
  <si>
    <t>Coptodon zillii</t>
  </si>
  <si>
    <t>NC_026110</t>
  </si>
  <si>
    <t>NC_018560</t>
  </si>
  <si>
    <t>Astatotilapia calliptera</t>
  </si>
  <si>
    <t>JN628855</t>
  </si>
  <si>
    <t>ERX4446015</t>
  </si>
  <si>
    <t>NC_009057</t>
  </si>
  <si>
    <t>Oreochromis sp. KM-2006</t>
  </si>
  <si>
    <t>GU370126</t>
  </si>
  <si>
    <t>AP009126</t>
  </si>
  <si>
    <t>GU477625</t>
  </si>
  <si>
    <t>Oreochromis niloticus 'strain Egypt'</t>
  </si>
  <si>
    <t>GU477631</t>
  </si>
  <si>
    <t>Oreochromis sp. 'red tilapia'</t>
  </si>
  <si>
    <t>GU477628</t>
  </si>
  <si>
    <t>Oreochromis niloticus 'strain America'</t>
  </si>
  <si>
    <t>GU477626</t>
  </si>
  <si>
    <t>Oreochromis niloticus 'strain Philippines'</t>
  </si>
  <si>
    <t>ERX4488792</t>
  </si>
  <si>
    <t>Oreochromis urolepis</t>
  </si>
  <si>
    <t>NC_014060</t>
  </si>
  <si>
    <t>HM067614</t>
  </si>
  <si>
    <t>ERX6793889</t>
  </si>
  <si>
    <t>Oreochromis leucostictus</t>
  </si>
  <si>
    <t>NC_026109</t>
  </si>
  <si>
    <t>Oreochromis variabilis</t>
  </si>
  <si>
    <t>KM658973</t>
  </si>
  <si>
    <t>This study - leu+ile (ND1)</t>
  </si>
  <si>
    <t>PX311104</t>
  </si>
  <si>
    <t>PX311105</t>
  </si>
  <si>
    <t>PX311107</t>
  </si>
  <si>
    <t>MG358</t>
  </si>
  <si>
    <t>PX311108</t>
  </si>
  <si>
    <t>MG359</t>
  </si>
  <si>
    <t>PX311115</t>
  </si>
  <si>
    <t>MG726</t>
  </si>
  <si>
    <t>PX311116</t>
  </si>
  <si>
    <t>MG727</t>
  </si>
  <si>
    <t>PX311155</t>
  </si>
  <si>
    <t>TZ036</t>
  </si>
  <si>
    <t>Haplotyping</t>
  </si>
  <si>
    <t>PX311156</t>
  </si>
  <si>
    <t>TZ037</t>
  </si>
  <si>
    <t>PX311161</t>
  </si>
  <si>
    <t>TZ042</t>
  </si>
  <si>
    <t>PX311179</t>
  </si>
  <si>
    <t>TZ060</t>
  </si>
  <si>
    <t>PX311180</t>
  </si>
  <si>
    <t>TZ061</t>
  </si>
  <si>
    <t>PX311181</t>
  </si>
  <si>
    <t>TZ062</t>
  </si>
  <si>
    <t>PX311183</t>
  </si>
  <si>
    <t>TZ064</t>
  </si>
  <si>
    <t>PX311185</t>
  </si>
  <si>
    <t>TZ066</t>
  </si>
  <si>
    <t>PX311186</t>
  </si>
  <si>
    <t>TZ067</t>
  </si>
  <si>
    <t>PX311191</t>
  </si>
  <si>
    <t>TZ073</t>
  </si>
  <si>
    <t>PX311197</t>
  </si>
  <si>
    <t>TZ079</t>
  </si>
  <si>
    <t>PX311198</t>
  </si>
  <si>
    <t>TZ080</t>
  </si>
  <si>
    <t>PX311214</t>
  </si>
  <si>
    <t>TZ146</t>
  </si>
  <si>
    <t>PX311218</t>
  </si>
  <si>
    <t>TZ151</t>
  </si>
  <si>
    <t>PX311117</t>
  </si>
  <si>
    <t>T2J5</t>
  </si>
  <si>
    <t>PX311118</t>
  </si>
  <si>
    <t>T2J6</t>
  </si>
  <si>
    <t>PX311134</t>
  </si>
  <si>
    <t>TZ011</t>
  </si>
  <si>
    <t>PX311142</t>
  </si>
  <si>
    <t>TZ019</t>
  </si>
  <si>
    <t>PX311151</t>
  </si>
  <si>
    <t>TZ032</t>
  </si>
  <si>
    <t>PX311152</t>
  </si>
  <si>
    <t>TZ033</t>
  </si>
  <si>
    <t>PX311153</t>
  </si>
  <si>
    <t>TZ034</t>
  </si>
  <si>
    <t>PX311154</t>
  </si>
  <si>
    <t>TZ035</t>
  </si>
  <si>
    <t>PX311175</t>
  </si>
  <si>
    <t>TZ056</t>
  </si>
  <si>
    <t>PX311176</t>
  </si>
  <si>
    <t>TZ057</t>
  </si>
  <si>
    <t>PX311177</t>
  </si>
  <si>
    <t>TZ058</t>
  </si>
  <si>
    <t>PX311178</t>
  </si>
  <si>
    <t>TZ059</t>
  </si>
  <si>
    <t>PX311182</t>
  </si>
  <si>
    <t>TZ063</t>
  </si>
  <si>
    <t>PX311184</t>
  </si>
  <si>
    <t>TZ065</t>
  </si>
  <si>
    <t>PX311195</t>
  </si>
  <si>
    <t>TZ077</t>
  </si>
  <si>
    <t>PX311196</t>
  </si>
  <si>
    <t>TZ078</t>
  </si>
  <si>
    <t>PX311199</t>
  </si>
  <si>
    <t>TZ081</t>
  </si>
  <si>
    <t>PX311200</t>
  </si>
  <si>
    <t>TZ082</t>
  </si>
  <si>
    <t>PX311204</t>
  </si>
  <si>
    <t>TZ094</t>
  </si>
  <si>
    <t>PX311205</t>
  </si>
  <si>
    <t>TZ095</t>
  </si>
  <si>
    <t>PX311207</t>
  </si>
  <si>
    <t>TZ125</t>
  </si>
  <si>
    <t>PX311208</t>
  </si>
  <si>
    <t>TZ126</t>
  </si>
  <si>
    <t>PX311210</t>
  </si>
  <si>
    <t>TZ130</t>
  </si>
  <si>
    <t>PX311211</t>
  </si>
  <si>
    <t>TZ133</t>
  </si>
  <si>
    <t>PX311213</t>
  </si>
  <si>
    <t>TZ144</t>
  </si>
  <si>
    <t>PX311215</t>
  </si>
  <si>
    <t>TZ148</t>
  </si>
  <si>
    <t>PX311122</t>
  </si>
  <si>
    <t>P2J1</t>
  </si>
  <si>
    <t>PX311123</t>
  </si>
  <si>
    <t>P2J2</t>
  </si>
  <si>
    <t>PX311124</t>
  </si>
  <si>
    <t>TZ001</t>
  </si>
  <si>
    <t>PX311125</t>
  </si>
  <si>
    <t>TZ002</t>
  </si>
  <si>
    <t>PX311126</t>
  </si>
  <si>
    <t>TZ003</t>
  </si>
  <si>
    <t>PX311127</t>
  </si>
  <si>
    <t>TZ004</t>
  </si>
  <si>
    <t>PX311128</t>
  </si>
  <si>
    <t>TZ005</t>
  </si>
  <si>
    <t>PX311130</t>
  </si>
  <si>
    <t>TZ007</t>
  </si>
  <si>
    <t>PX311131</t>
  </si>
  <si>
    <t>TZ008</t>
  </si>
  <si>
    <t>PX311132</t>
  </si>
  <si>
    <t>TZ009</t>
  </si>
  <si>
    <t>PX311133</t>
  </si>
  <si>
    <t>TZ010</t>
  </si>
  <si>
    <t>PX311136</t>
  </si>
  <si>
    <t>TZ013</t>
  </si>
  <si>
    <t>PX311137</t>
  </si>
  <si>
    <t>TZ014</t>
  </si>
  <si>
    <t>PX311138</t>
  </si>
  <si>
    <t>TZ015</t>
  </si>
  <si>
    <t>PX311139</t>
  </si>
  <si>
    <t>TZ016</t>
  </si>
  <si>
    <t>PX311140</t>
  </si>
  <si>
    <t>TZ017</t>
  </si>
  <si>
    <t>PX311141</t>
  </si>
  <si>
    <t>TZ018</t>
  </si>
  <si>
    <t>PX311143</t>
  </si>
  <si>
    <t>TZ020</t>
  </si>
  <si>
    <t>PX311144</t>
  </si>
  <si>
    <t>TZ023</t>
  </si>
  <si>
    <t>PX311145</t>
  </si>
  <si>
    <t>TZ024</t>
  </si>
  <si>
    <t>PX311146</t>
  </si>
  <si>
    <t>TZ025</t>
  </si>
  <si>
    <t>PX311147</t>
  </si>
  <si>
    <t>TZ026</t>
  </si>
  <si>
    <t>PX311148</t>
  </si>
  <si>
    <t>TZ027</t>
  </si>
  <si>
    <t>PX311149</t>
  </si>
  <si>
    <t>TZ028</t>
  </si>
  <si>
    <t>PX311150</t>
  </si>
  <si>
    <t>TZ029</t>
  </si>
  <si>
    <t>PX311157</t>
  </si>
  <si>
    <t>TZ038</t>
  </si>
  <si>
    <t>PX311158</t>
  </si>
  <si>
    <t>TZ039</t>
  </si>
  <si>
    <t>PX311159</t>
  </si>
  <si>
    <t>TZ040</t>
  </si>
  <si>
    <t>PX311160</t>
  </si>
  <si>
    <t>TZ041</t>
  </si>
  <si>
    <t>PX311162</t>
  </si>
  <si>
    <t>TZ043</t>
  </si>
  <si>
    <t>PX311163</t>
  </si>
  <si>
    <t>TZ044</t>
  </si>
  <si>
    <t>PX311164</t>
  </si>
  <si>
    <t>TZ045</t>
  </si>
  <si>
    <t>PX311165</t>
  </si>
  <si>
    <t>TZ046</t>
  </si>
  <si>
    <t>PX311166</t>
  </si>
  <si>
    <t>TZ047</t>
  </si>
  <si>
    <t>PX311167</t>
  </si>
  <si>
    <t>TZ048</t>
  </si>
  <si>
    <t>PX311168</t>
  </si>
  <si>
    <t>TZ049</t>
  </si>
  <si>
    <t>PX311169</t>
  </si>
  <si>
    <t>TZ050</t>
  </si>
  <si>
    <t>PX311170</t>
  </si>
  <si>
    <t>TZ051</t>
  </si>
  <si>
    <t>PX311171</t>
  </si>
  <si>
    <t>TZ052</t>
  </si>
  <si>
    <t>PX311172</t>
  </si>
  <si>
    <t>TZ053</t>
  </si>
  <si>
    <t>PX311173</t>
  </si>
  <si>
    <t>TZ054</t>
  </si>
  <si>
    <t>PX311174</t>
  </si>
  <si>
    <t>TZ055</t>
  </si>
  <si>
    <t>PX311189</t>
  </si>
  <si>
    <t>TZ070</t>
  </si>
  <si>
    <t>PX311190</t>
  </si>
  <si>
    <t>TZ071</t>
  </si>
  <si>
    <t>PX311192</t>
  </si>
  <si>
    <t>TZ074</t>
  </si>
  <si>
    <t>PX311216</t>
  </si>
  <si>
    <t>TZ149</t>
  </si>
  <si>
    <t>PX311217</t>
  </si>
  <si>
    <t>TZ150</t>
  </si>
  <si>
    <t>PX311219</t>
  </si>
  <si>
    <t>TZ152</t>
  </si>
  <si>
    <t>PX311109</t>
  </si>
  <si>
    <t>MG433</t>
  </si>
  <si>
    <t>PX311110</t>
  </si>
  <si>
    <t>MG434</t>
  </si>
  <si>
    <t>PX311111</t>
  </si>
  <si>
    <t>MG620</t>
  </si>
  <si>
    <t>PX311112</t>
  </si>
  <si>
    <t>MG621</t>
  </si>
  <si>
    <t>PX311106</t>
  </si>
  <si>
    <t>MG101</t>
  </si>
  <si>
    <t>Coptodon rendalli</t>
  </si>
  <si>
    <t>PX311113</t>
  </si>
  <si>
    <t>MG674</t>
  </si>
  <si>
    <t>PX311119</t>
  </si>
  <si>
    <t>Site16A</t>
  </si>
  <si>
    <t>PX311120</t>
  </si>
  <si>
    <t>Site16B</t>
  </si>
  <si>
    <t>PX311121</t>
  </si>
  <si>
    <t>Site16C</t>
  </si>
  <si>
    <t>PX311135</t>
  </si>
  <si>
    <t>TZ012</t>
  </si>
  <si>
    <t>PX311220</t>
  </si>
  <si>
    <t>TZ153</t>
  </si>
  <si>
    <t>PX311187</t>
  </si>
  <si>
    <t>TZ068</t>
  </si>
  <si>
    <t>Astatotilapia gigliolii</t>
  </si>
  <si>
    <t>PX311188</t>
  </si>
  <si>
    <t>TZ069</t>
  </si>
  <si>
    <t>PX311193</t>
  </si>
  <si>
    <t>TZ075</t>
  </si>
  <si>
    <t>PX311201</t>
  </si>
  <si>
    <t>TZ083</t>
  </si>
  <si>
    <t>Astatotilapia sp. 'Ruaha red cheek'</t>
  </si>
  <si>
    <t>PX311202</t>
  </si>
  <si>
    <t>TZ084</t>
  </si>
  <si>
    <t>PX311203</t>
  </si>
  <si>
    <t>TZ085</t>
  </si>
  <si>
    <t>PX311206</t>
  </si>
  <si>
    <t>TZ123</t>
  </si>
  <si>
    <t>PX311212</t>
  </si>
  <si>
    <t>TZ139</t>
  </si>
  <si>
    <t>PX311129</t>
  </si>
  <si>
    <t>TZ006</t>
  </si>
  <si>
    <t>Oreochromis sp.</t>
  </si>
  <si>
    <t>PX311194</t>
  </si>
  <si>
    <t>TZ076</t>
  </si>
  <si>
    <t>PX311114</t>
  </si>
  <si>
    <t>MG675</t>
  </si>
  <si>
    <t>Tilapia sparrmanii</t>
  </si>
  <si>
    <t>PX311209</t>
  </si>
  <si>
    <t>TZ127</t>
  </si>
  <si>
    <t>Pseudocrenilabrus sp.</t>
  </si>
  <si>
    <t>This study - nd5+glu (ND5/ND6)</t>
  </si>
  <si>
    <t>PX311222</t>
  </si>
  <si>
    <t>PX311232</t>
  </si>
  <si>
    <t>PX311226</t>
  </si>
  <si>
    <t>PX311235</t>
  </si>
  <si>
    <t>PX311239</t>
  </si>
  <si>
    <t>PX311238</t>
  </si>
  <si>
    <t>PX311237</t>
  </si>
  <si>
    <t>PX311241</t>
  </si>
  <si>
    <t>PX311240</t>
  </si>
  <si>
    <t>PX311244</t>
  </si>
  <si>
    <t>TZ147</t>
  </si>
  <si>
    <t>PX311242</t>
  </si>
  <si>
    <t>TZ145</t>
  </si>
  <si>
    <t>PX311228</t>
  </si>
  <si>
    <t>PX311229</t>
  </si>
  <si>
    <t>PX311224</t>
  </si>
  <si>
    <t>PX311225</t>
  </si>
  <si>
    <t>PX311231</t>
  </si>
  <si>
    <t>PX311230</t>
  </si>
  <si>
    <t>PX311223</t>
  </si>
  <si>
    <t>PX311236</t>
  </si>
  <si>
    <t>PX311234</t>
  </si>
  <si>
    <t>PX311233</t>
  </si>
  <si>
    <t>PX311243</t>
  </si>
  <si>
    <t>PX311227</t>
  </si>
  <si>
    <t>PX311221</t>
  </si>
  <si>
    <t>Species</t>
  </si>
  <si>
    <t>Assay</t>
  </si>
  <si>
    <t>Oligo type</t>
  </si>
  <si>
    <t>UoB code</t>
  </si>
  <si>
    <t>Base pairs</t>
  </si>
  <si>
    <t>Gene</t>
  </si>
  <si>
    <t>Position</t>
  </si>
  <si>
    <t>Oligonucleotide sequence (5′ -&gt; 3′)</t>
  </si>
  <si>
    <t>leuco</t>
  </si>
  <si>
    <t>Primer Fwd</t>
  </si>
  <si>
    <t>leuco.f2</t>
  </si>
  <si>
    <t>ND5</t>
  </si>
  <si>
    <t>12732:12750</t>
  </si>
  <si>
    <t>CTCTGCCCTACTGCACTCG</t>
  </si>
  <si>
    <t>Primer Rev</t>
  </si>
  <si>
    <t>leuco.r2.new</t>
  </si>
  <si>
    <t>12780:12801</t>
  </si>
  <si>
    <t>CATGGGGCTTATACGGATGAGA</t>
  </si>
  <si>
    <t>Probe</t>
  </si>
  <si>
    <t>leuco.p2</t>
  </si>
  <si>
    <t>12751:12775</t>
  </si>
  <si>
    <t>[FAM] AGCACCATAGTCGTAGCCGGCATCT [BHQ1]</t>
  </si>
  <si>
    <t>nilo</t>
  </si>
  <si>
    <t>nilo.f3.new1</t>
  </si>
  <si>
    <t>ND1</t>
  </si>
  <si>
    <t>3343:3364</t>
  </si>
  <si>
    <t>TGGAGGTTTTACCCTACAGACC</t>
  </si>
  <si>
    <t>nilo.r3.new</t>
  </si>
  <si>
    <t>3451:3469</t>
  </si>
  <si>
    <t>GTCGAAGGGAGCTCGGTTA</t>
  </si>
  <si>
    <t>nilo.p3</t>
  </si>
  <si>
    <t>3383:3410</t>
  </si>
  <si>
    <t>[FAM] AGTGTCTGACTAATCCTTCCCGCCTGAC [BHQ1]</t>
  </si>
  <si>
    <t>uro</t>
  </si>
  <si>
    <t>uro.f6.new</t>
  </si>
  <si>
    <t>ND6</t>
  </si>
  <si>
    <t>13848:13869</t>
  </si>
  <si>
    <t>CTAAGCCTCGTGTTAACTCCAG</t>
  </si>
  <si>
    <t>uro.r6.new</t>
  </si>
  <si>
    <t>13921:13942</t>
  </si>
  <si>
    <t>TTTGATGTATTCGGCAGGTGGA</t>
  </si>
  <si>
    <t>uro.p6.new</t>
  </si>
  <si>
    <t>13879:13904</t>
  </si>
  <si>
    <t>[FAM] CAACGTCAACAACAACACTCACGCCC [BHQ1]</t>
  </si>
  <si>
    <t>All</t>
  </si>
  <si>
    <t>ND1.sanger</t>
  </si>
  <si>
    <t>leu.outer.f</t>
  </si>
  <si>
    <t>2776:2796</t>
  </si>
  <si>
    <t>GGCTTGTTAAAGTGGCAGAGC</t>
  </si>
  <si>
    <t>ile.outer.r</t>
  </si>
  <si>
    <t>3881:3903</t>
  </si>
  <si>
    <t>AAGGAGTTGGAGGGACTTTAACC</t>
  </si>
  <si>
    <t>ND5.sanger</t>
  </si>
  <si>
    <t>nd5.outer.f</t>
  </si>
  <si>
    <t>ND5/ND6</t>
  </si>
  <si>
    <t>12192:12218</t>
  </si>
  <si>
    <t>CAGTTGAACTTGAATAAATACCCACAC</t>
  </si>
  <si>
    <t>glu.outer.r</t>
  </si>
  <si>
    <t>14340:14364</t>
  </si>
  <si>
    <t>GTTAAAGTCCTGGCAGAAACTATGG</t>
  </si>
  <si>
    <t>CTCTGCCCTACTGCACTCGAGCACCATAGTCGTAGCCGGCATCTTCCTTCTCATCCGTATAAGCCCCATG</t>
  </si>
  <si>
    <t>CTCTGCCCTACTGCATTCAAGTACCATAGTAGTAGCAGGCATCTTCCTCCTTATCCGTATGAGCCCCATG</t>
  </si>
  <si>
    <t>CTCTGCCCTACTACATTCAAGCACCATAGTAGTAGCAGGCATCTTCCTCCTCATCCGTATGAGCCCTATG</t>
  </si>
  <si>
    <t>CTCTGCCCTACTGCATTCAAGCACCATAGTCGTAGCAGGCATCTTCCTCCTCATCCGCATGAGCCCAATA</t>
  </si>
  <si>
    <r>
      <rPr>
        <i/>
        <sz val="12"/>
        <color theme="1"/>
        <rFont val="Aptos Narrow"/>
        <family val="2"/>
        <charset val="1"/>
      </rPr>
      <t>Astatotilapia</t>
    </r>
    <r>
      <rPr>
        <sz val="12"/>
        <color theme="1"/>
        <rFont val="Aptos Narrow"/>
        <family val="2"/>
        <charset val="1"/>
      </rPr>
      <t xml:space="preserve"> sp. 'Ruaha red cheek'</t>
    </r>
  </si>
  <si>
    <t>CTCTGCCCTACTGCATTCAAGTACTATAGTCGTAGCAGGCATCTTCCTCCTTATCCGCATAAGCCCTATA</t>
  </si>
  <si>
    <t>CTCTGCCCTACTGCATTCCAGCACCATAGTAGTAGCAGGCATCTTTCTCCTTATCCGCATAAGCCCCATG</t>
  </si>
  <si>
    <t>TGGAGGCTTTACCCTACAAACATTCAGCGTCGCTCAAGAAAGTATTTGATTAATTTTTCCCGCCTGACCTTTAGCCGCTATATGGTACATTTCCACACTTGCAGAGACAAACCGGGCCCCCTTCGAC</t>
  </si>
  <si>
    <t>TGGAGGTTTTACCCTACAGACCTTTAGCATTGCTCAAGAAAGTGTCTGACTAATCCTTCCCGCCTGACCTTTAGCCGCTATATGATACATTTCCACACTTGCAGAAACTAACCGAGCTCCCTTCGAC</t>
  </si>
  <si>
    <t>TGGAGGTTTTACTCTACAGACATTTAGCGTCGCTCAAGAAAGCATTTGATTAATTTTTCCCGCCTGACCTTTAGCCGCTATATGATACATTTCCACACTTGCAGAAACAAACCGAGCCCCCTTCGAC</t>
  </si>
  <si>
    <t>TGGAGGCTTCACCCTACAAACATTTAGCGTCGCCCAAGAAAGTGTCTGACTAATTCTCCCCGCCTGACCCTTAGCCGCTATATGGTACATCTCCACACTTGCAGAAACAAACCGAGCCCCGTTTGAC</t>
  </si>
  <si>
    <t>TGGAGGCTTTACCCTGCAAACATTTAGCGTCGCCCAAGAAAGTGTCTGACTAATCCTCCCCGCCTGGCCCTTAGCCGCTATATGATACATTTCCACACTTGCAGAAACAAACCGAGCCCCTTTTGAC</t>
  </si>
  <si>
    <t>CGGGGGTTTTACTCTACAAACATTCAGCGTCGCCCAAGAGAGCGTCTGACTGATCCTTCCCGCCTGGCCCCTAGCTGCCATATGATATATTTCCACACTTGCAGAAACAAACCGTGCCCCCTTTGAC</t>
  </si>
  <si>
    <t>CTAATCCCCGCGTTAATTCCAACACCACAAACAACGTTAACAATAACACTCAAGCCCCCAGAACCAAGACACCCCCACCTGCCGAATACATCAAA</t>
  </si>
  <si>
    <t>CTAATCCCCGTGTTAGCTCCAATACCACAAACAACGTTAACAATAGTACTCAAGCCCCCAACACCAAAACTCCACCGCCTGCCGAATACATCAAA</t>
  </si>
  <si>
    <t>CTAAGCCTCGTGTTAACTCCAGTACCACAAACAACGTCAACAACAACACTCACGCCCCCAACACCAAAACACCTCCACCTGCCGAATACATCAAA</t>
  </si>
  <si>
    <t>TTAAACCTCGTGTTAGCTCCAACACCACAAACAACGTTAACAACAATACTCAAGCCCCAGTCACCAAAACACCCCCACCCATCGAGTACATTAAA</t>
  </si>
  <si>
    <t>TTAGCCCCCGCGTTAGCTCCAATACTACAAACAAGGTCAACAACAGCACCCAGGCCCCCATCACCAAGATCCCTCCACCCATCGAGTACATCAAA</t>
  </si>
  <si>
    <t>eventID</t>
  </si>
  <si>
    <t>fieldID</t>
  </si>
  <si>
    <t>partnerID</t>
  </si>
  <si>
    <t>county</t>
  </si>
  <si>
    <t>localitySite</t>
  </si>
  <si>
    <t>localityID</t>
  </si>
  <si>
    <t>nickname</t>
  </si>
  <si>
    <t>verbatimLocality</t>
  </si>
  <si>
    <t>decimalLatitude</t>
  </si>
  <si>
    <t>decimalLongitude</t>
  </si>
  <si>
    <t>recordedBy</t>
  </si>
  <si>
    <t>year</t>
  </si>
  <si>
    <t>month</t>
  </si>
  <si>
    <t>day</t>
  </si>
  <si>
    <t>eventTime</t>
  </si>
  <si>
    <t>samplingProtocol</t>
  </si>
  <si>
    <t>pumpType</t>
  </si>
  <si>
    <t>numReps</t>
  </si>
  <si>
    <t>repVol</t>
  </si>
  <si>
    <t>eDNA_amplications_successfully_obtained</t>
  </si>
  <si>
    <t>TAFIRI-2019.05.16-MG01-A</t>
  </si>
  <si>
    <t>MG01-A</t>
  </si>
  <si>
    <t>TAFIRI</t>
  </si>
  <si>
    <t>Morogoro Region</t>
  </si>
  <si>
    <t>Kingolwira</t>
  </si>
  <si>
    <t>Kingolwira National Aquaculture Centre</t>
  </si>
  <si>
    <t>Rupert Collins; Asilatu Shechonge; Benjamin Ngatunga</t>
  </si>
  <si>
    <t>Sterivex-0.22</t>
  </si>
  <si>
    <t>Syringe 50 mL</t>
  </si>
  <si>
    <t>Yes</t>
  </si>
  <si>
    <t>TAFIRI-2019.05.16-MG01-B</t>
  </si>
  <si>
    <t>MG01-B</t>
  </si>
  <si>
    <t>TAFIRI-2019.05.16-MG01-C</t>
  </si>
  <si>
    <t>MG01-C</t>
  </si>
  <si>
    <t>TAFIRI-2019.05.16-MG02-A</t>
  </si>
  <si>
    <t>MG02-A</t>
  </si>
  <si>
    <t>Msauzi</t>
  </si>
  <si>
    <t>Farm of Mr Msauzi</t>
  </si>
  <si>
    <t>TAFIRI-2019.05.16-MG02-B</t>
  </si>
  <si>
    <t>MG02-B</t>
  </si>
  <si>
    <t>TAFIRI-2019.05.16-MG02-C</t>
  </si>
  <si>
    <t>MG02-C</t>
  </si>
  <si>
    <t>TAFIRI-2019.05.17-MG03-A</t>
  </si>
  <si>
    <t>MG03-A</t>
  </si>
  <si>
    <t>Mangwele</t>
  </si>
  <si>
    <t>Mvomero, farm of Mr Mangwele</t>
  </si>
  <si>
    <t>TAFIRI-2019.05.17-MG04-A</t>
  </si>
  <si>
    <t>MG04-A</t>
  </si>
  <si>
    <t>Saguti</t>
  </si>
  <si>
    <t>Mvomero, farm of Mr Saguti</t>
  </si>
  <si>
    <t>TAFIRI-2019.05.18-MG05-A</t>
  </si>
  <si>
    <t>MG05-A</t>
  </si>
  <si>
    <t>Japhet</t>
  </si>
  <si>
    <t>Ulaya, Kilosa, Farm of Mr Japhet, Nazaret Group</t>
  </si>
  <si>
    <t>TAFIRI-2019.05.18-MG05-B</t>
  </si>
  <si>
    <t>MG05-B</t>
  </si>
  <si>
    <t>TAFIRI-2019.05.18-MG05-C</t>
  </si>
  <si>
    <t>MG05-C</t>
  </si>
  <si>
    <t>Burugu</t>
  </si>
  <si>
    <t>Ulaya, Kilosa, Farm of Mr Burugu, Tupendane Group</t>
  </si>
  <si>
    <t>TAFIRI-2019.05.18-MG06-A</t>
  </si>
  <si>
    <t>MG06-A</t>
  </si>
  <si>
    <t>WorldVision</t>
  </si>
  <si>
    <t>Ulaya, Kilosa, Wangamakazi Ponds, World Vision Project</t>
  </si>
  <si>
    <t>TAFIRI-2019.05.18-MG07-A</t>
  </si>
  <si>
    <t>MG07-A</t>
  </si>
  <si>
    <t>Resthouse</t>
  </si>
  <si>
    <t>Ulaya, Kilosa, Resthouse Lake, Wami River drainage</t>
  </si>
  <si>
    <t>No</t>
  </si>
  <si>
    <t>TAFIRI-2019.05.19-MG08-A</t>
  </si>
  <si>
    <t>MG08-A</t>
  </si>
  <si>
    <t>Mala</t>
  </si>
  <si>
    <t>Kilosa, Mala Lake, Wami River drainage</t>
  </si>
  <si>
    <t>TAFIRI-2019.05.20-MG09-A</t>
  </si>
  <si>
    <t>MG09-A</t>
  </si>
  <si>
    <t>Majicka</t>
  </si>
  <si>
    <t>Kidatu, Mangula A, Mr Majicka fish pond</t>
  </si>
  <si>
    <t>TAFIRI-2019.05.20-MG10-A</t>
  </si>
  <si>
    <t>MG10-A</t>
  </si>
  <si>
    <t>Ahmed</t>
  </si>
  <si>
    <t>Kidatu, Mangula B, School, Mr Ahmed fish pond</t>
  </si>
  <si>
    <t>TAFIRI-2019.05.24-MG11-A</t>
  </si>
  <si>
    <t>MG11-A</t>
  </si>
  <si>
    <t>Mindu</t>
  </si>
  <si>
    <t>Morogoro, Mindu Dam</t>
  </si>
  <si>
    <t>TAFIRI-2019.05.24-MG11-B</t>
  </si>
  <si>
    <t>MG12-A</t>
  </si>
  <si>
    <t>TAFIRI-2020.10.19-MG12-A</t>
  </si>
  <si>
    <t>MG01 (site 1)</t>
  </si>
  <si>
    <t>Yotham</t>
  </si>
  <si>
    <t xml:space="preserve">Ifakara Mbasa, Mr John Yotham </t>
  </si>
  <si>
    <t>Asilatu Shechonge</t>
  </si>
  <si>
    <t>TAFIRI-2020.10.19-MG14-A</t>
  </si>
  <si>
    <t>MG02 (site 2)</t>
  </si>
  <si>
    <t>Mwanaisha</t>
  </si>
  <si>
    <t>Ifakara Maendeleo, Mwanaisha Leso/Mpemba</t>
  </si>
  <si>
    <t>TAFIRI-2020.10.19-MG15-A</t>
  </si>
  <si>
    <t>MG03 (site 3)</t>
  </si>
  <si>
    <t>Arafa</t>
  </si>
  <si>
    <t>Ifakara Sagamaganga, Miss Arafa/Balozi</t>
  </si>
  <si>
    <t>TAFIRI-2020.10.20-MG13-A</t>
  </si>
  <si>
    <t>MG04 (site 4)</t>
  </si>
  <si>
    <t>Ramadhan</t>
  </si>
  <si>
    <t>Kiberege Mkaswi, Mr.Ramadhan Said Makung'uto</t>
  </si>
  <si>
    <t>TAFIRI-2020.10.20-MG16-A</t>
  </si>
  <si>
    <t>MG05 Pond A (site 5)</t>
  </si>
  <si>
    <t>Mfungahema</t>
  </si>
  <si>
    <t>Kisawasawa k2, Dr Mfungahema</t>
  </si>
  <si>
    <t>TAFIRI-2020.10.20-MG17-A</t>
  </si>
  <si>
    <t>MG06 (site 6)</t>
  </si>
  <si>
    <t>Dennis</t>
  </si>
  <si>
    <t>Kisawasawa Kiburugutu, Mr Dennis</t>
  </si>
  <si>
    <t>TAFIRI-2020.10.20-MG18-A</t>
  </si>
  <si>
    <t>MG07 Pond B (site 7)</t>
  </si>
  <si>
    <t>MfungahemaNgapanya</t>
  </si>
  <si>
    <t>Kisawasawa Ngapanya, Dr Mfungahema</t>
  </si>
  <si>
    <t>TAFIRI-2020.10.20-MG19-A</t>
  </si>
  <si>
    <t>MG08 Pond C (site 8)</t>
  </si>
  <si>
    <t>MfungahemaMayai</t>
  </si>
  <si>
    <t>Kisawasawa Mayai, Dr Mfungahema</t>
  </si>
  <si>
    <t>TAFIRI-2020.10.20-MG20-A</t>
  </si>
  <si>
    <t>MG09 (site 9)</t>
  </si>
  <si>
    <t>Festo</t>
  </si>
  <si>
    <t>Mang'ula B Mshikamano, Mr John Festo</t>
  </si>
  <si>
    <t>TAFIRI-2020.10.22-MG01-D</t>
  </si>
  <si>
    <t>MG12 Pond A (site 11)</t>
  </si>
  <si>
    <t>Kingolwira, Ministry</t>
  </si>
  <si>
    <t>TAFIRI-2020.10.22-MG01-E</t>
  </si>
  <si>
    <t>MG13 Pond B (site 11)</t>
  </si>
  <si>
    <t>TAFIRI-2020.10.22-MG21-A</t>
  </si>
  <si>
    <t>MG10 Pond A (site 10)</t>
  </si>
  <si>
    <t>Sua</t>
  </si>
  <si>
    <t>Magadu fish farm, SUA</t>
  </si>
  <si>
    <t>TAFIRI-2020.10.22-MG21-B</t>
  </si>
  <si>
    <t>MG11 Pond B (site 10)</t>
  </si>
  <si>
    <t>TAFIRI-2020.10.22-MG22-A</t>
  </si>
  <si>
    <t>MG14 Pond A (site 12)</t>
  </si>
  <si>
    <t>Patric</t>
  </si>
  <si>
    <t>Konga Kidangawa, Mr Asu Patric</t>
  </si>
  <si>
    <t>TAFIRI-2020.10.22-MG22-B</t>
  </si>
  <si>
    <t>MG15 Pond B (site 12)</t>
  </si>
  <si>
    <t>TAFIRI-2020.10.22-MG22-C</t>
  </si>
  <si>
    <t>MG16 Pond C (site 12)</t>
  </si>
  <si>
    <t>TAFIRI-2020.10.23-MG23-A</t>
  </si>
  <si>
    <t>MG17 Pond A (site 13)</t>
  </si>
  <si>
    <t>Pwani Region</t>
  </si>
  <si>
    <t>Ruvu</t>
  </si>
  <si>
    <t>Ruvu, Misweduka, Ruvu fish farm</t>
  </si>
  <si>
    <t>TAFIRI-2020.10.23-MG23-B</t>
  </si>
  <si>
    <t>MG18 Pond B (site 13)</t>
  </si>
  <si>
    <t>TAFIRI-2020.10.23-MG24-A</t>
  </si>
  <si>
    <t>MG19 Pond A (site 14)</t>
  </si>
  <si>
    <t>Feta</t>
  </si>
  <si>
    <t>Bagamoyo, Mbegani, FETA-Mbegani</t>
  </si>
  <si>
    <t>TAFIRI-2020.10.24-MG24-B</t>
  </si>
  <si>
    <t>MG20 Pond A (site 14)</t>
  </si>
  <si>
    <t>TAFIRI-2020.10.24-MG25-A</t>
  </si>
  <si>
    <t>MG21 Pond A (site 15)</t>
  </si>
  <si>
    <t>Sobo</t>
  </si>
  <si>
    <t>Mkuranga, Msolokelo, Mrs Sobo</t>
  </si>
  <si>
    <t>TAFIRI-2020.10.24-MG25-B</t>
  </si>
  <si>
    <t>MG22 Pond B (site 15)</t>
  </si>
  <si>
    <t>TAFIRI-2020.10.24-MG26-A</t>
  </si>
  <si>
    <t>MG23 Pond A (site 16)</t>
  </si>
  <si>
    <t>Asifiwe</t>
  </si>
  <si>
    <t>Mkuranga, Msolwa, Mr Asifiwe</t>
  </si>
  <si>
    <t>TAFIRI-2020.10.24-MG26-B</t>
  </si>
  <si>
    <t>MG24 Pond B (site 16)</t>
  </si>
  <si>
    <t>TAFIRI-2020.10.24-MG27-A</t>
  </si>
  <si>
    <t>MG25 (site 17)</t>
  </si>
  <si>
    <t>Noni</t>
  </si>
  <si>
    <t>Mkuranga, Kisayani, Mr Noni</t>
  </si>
  <si>
    <t>TAFIRI-2020.10.25-MG28-A</t>
  </si>
  <si>
    <t>MG26 Pond A (site 18)</t>
  </si>
  <si>
    <t>Dar es Salaam Region</t>
  </si>
  <si>
    <t>BigFish</t>
  </si>
  <si>
    <t xml:space="preserve">Shangwe, Kibuda-Kigamboni, BigFish </t>
  </si>
  <si>
    <t>TAFIRI-2020.10.25-MG28-B</t>
  </si>
  <si>
    <t>MG27 Pond B (site 18)</t>
  </si>
  <si>
    <t>TAFIRI-2020.10.25-MG28-C</t>
  </si>
  <si>
    <t>MG28 Pond C (site 18)</t>
  </si>
  <si>
    <t>TAFIRI-2020.10.25-MG29-A</t>
  </si>
  <si>
    <t>MG29 Pond A (site 19)</t>
  </si>
  <si>
    <t>Eden</t>
  </si>
  <si>
    <t>Pugu, Kigamboni, Eden</t>
  </si>
  <si>
    <t>TAFIRI-2020.10.25-MG29-B</t>
  </si>
  <si>
    <t>MG30 Pond B (site 19)</t>
  </si>
  <si>
    <t>TAFIRI-2020.10.27-MG30-A</t>
  </si>
  <si>
    <t>MG31 (site 20)</t>
  </si>
  <si>
    <t>Kibona</t>
  </si>
  <si>
    <t>Tabata, Liwiti, Mchungaji Kibona</t>
  </si>
  <si>
    <t>TAFIRI-2020.10.27-MG31-A</t>
  </si>
  <si>
    <t>MG32 (site 21)</t>
  </si>
  <si>
    <t>Msangi</t>
  </si>
  <si>
    <t>Kawe, Mlalakuwa, Mr Msangi</t>
  </si>
  <si>
    <t>TAFIRI-2020.10.30-MG32-A</t>
  </si>
  <si>
    <t>MG33 Pond A (site 22)</t>
  </si>
  <si>
    <t>UDSM</t>
  </si>
  <si>
    <t>Kunduchi, UDSM campus</t>
  </si>
  <si>
    <t>TAFIRI-2020.10.30-MG32-B</t>
  </si>
  <si>
    <t>MG34 Pond B (site 22)</t>
  </si>
  <si>
    <t>otherCatalogNumbers</t>
  </si>
  <si>
    <t>basisOfRecord</t>
  </si>
  <si>
    <t>preparations</t>
  </si>
  <si>
    <t>imageLocation</t>
  </si>
  <si>
    <t>genus</t>
  </si>
  <si>
    <t>specificEpithet</t>
  </si>
  <si>
    <t>scientificNameAuthorship</t>
  </si>
  <si>
    <t>identifiedBy</t>
  </si>
  <si>
    <t>waterBody</t>
  </si>
  <si>
    <t>stateProvince</t>
  </si>
  <si>
    <t>eventDate</t>
  </si>
  <si>
    <t>PreservedSpecimen</t>
  </si>
  <si>
    <t>EtOH</t>
  </si>
  <si>
    <t>DSC00360</t>
  </si>
  <si>
    <t>Oreochromis</t>
  </si>
  <si>
    <t>niloticus</t>
  </si>
  <si>
    <t>(Linnaeus, 1758)</t>
  </si>
  <si>
    <t>mtDNA</t>
  </si>
  <si>
    <t>Ruvu River</t>
  </si>
  <si>
    <t>Kingolwira National Aquaculture Centre, pond A</t>
  </si>
  <si>
    <t>Seine</t>
  </si>
  <si>
    <t>DSC00361</t>
  </si>
  <si>
    <t>DSC00362</t>
  </si>
  <si>
    <t>DSC00364</t>
  </si>
  <si>
    <t>DSC00365</t>
  </si>
  <si>
    <t>TissueSample</t>
  </si>
  <si>
    <t>DSC00371</t>
  </si>
  <si>
    <t>Kingolwira National Aquaculture Centre, pond B</t>
  </si>
  <si>
    <t>DSC00373</t>
  </si>
  <si>
    <t>DSC00374</t>
  </si>
  <si>
    <t>DSC00375</t>
  </si>
  <si>
    <t>urolepis</t>
  </si>
  <si>
    <t>(Norman, 1922)</t>
  </si>
  <si>
    <t>DSC00377</t>
  </si>
  <si>
    <t>DSC00379</t>
  </si>
  <si>
    <t>DSC00395</t>
  </si>
  <si>
    <t>DSC00397</t>
  </si>
  <si>
    <t>Kingolwira National Aquaculture Centre, pond C</t>
  </si>
  <si>
    <t>DSC00398</t>
  </si>
  <si>
    <t>DSC00400</t>
  </si>
  <si>
    <t>DSC00401</t>
  </si>
  <si>
    <t>DSC00402</t>
  </si>
  <si>
    <t>DSC00408</t>
  </si>
  <si>
    <t>Farm of Mr Msauzi, pond B</t>
  </si>
  <si>
    <t>DSC00410</t>
  </si>
  <si>
    <t>DSC00411</t>
  </si>
  <si>
    <t>DSC00412</t>
  </si>
  <si>
    <t>Farm of Mr Msauzi, pond A</t>
  </si>
  <si>
    <t>DSC00413</t>
  </si>
  <si>
    <t>DSC00414</t>
  </si>
  <si>
    <t>DSC00415</t>
  </si>
  <si>
    <t>DSC00425</t>
  </si>
  <si>
    <t>Wami River</t>
  </si>
  <si>
    <t>Mvomero, farm pond of Mr Mangwele</t>
  </si>
  <si>
    <t>DSC00426</t>
  </si>
  <si>
    <t>DSC00427</t>
  </si>
  <si>
    <t>DSC00429</t>
  </si>
  <si>
    <t>leucostictus</t>
  </si>
  <si>
    <t>(Trewavas, 1933)</t>
  </si>
  <si>
    <t>Mvomero, farm pond of Mr Saguti</t>
  </si>
  <si>
    <t>DSC00431</t>
  </si>
  <si>
    <t>DSC00432</t>
  </si>
  <si>
    <t>DSC00435</t>
  </si>
  <si>
    <t>Ulaya, Kilosa, Farm of Mr Japhet, Nazaret Group, pond A</t>
  </si>
  <si>
    <t>DSC00444</t>
  </si>
  <si>
    <t>DSC00445</t>
  </si>
  <si>
    <t>DSC00447</t>
  </si>
  <si>
    <t>DSC00450</t>
  </si>
  <si>
    <t>Ulaya, Kilosa, Farm of Mr Burugu, Tupendane Group, pond C</t>
  </si>
  <si>
    <t>DSC00452</t>
  </si>
  <si>
    <t>DSC00462</t>
  </si>
  <si>
    <t>DSC00464</t>
  </si>
  <si>
    <t>DSC00470</t>
  </si>
  <si>
    <t>DSC00483</t>
  </si>
  <si>
    <t>Ulaya, Kilosa, Resthouse Lake</t>
  </si>
  <si>
    <t>Gill net</t>
  </si>
  <si>
    <t>DSC00487</t>
  </si>
  <si>
    <t>Kilosa, Mala Lake</t>
  </si>
  <si>
    <t>DSC00516</t>
  </si>
  <si>
    <t>Kilosa, Mala Lake, Kipera pond</t>
  </si>
  <si>
    <t>DSC00523</t>
  </si>
  <si>
    <t>DSC00540</t>
  </si>
  <si>
    <t>Great Ruaha River</t>
  </si>
  <si>
    <t>DSC00542</t>
  </si>
  <si>
    <t>P5240449</t>
  </si>
  <si>
    <t>Purchased, local fishermen</t>
  </si>
  <si>
    <t>P5240453</t>
  </si>
  <si>
    <t>P5240468</t>
  </si>
  <si>
    <t>P5240470</t>
  </si>
  <si>
    <t>P5240455</t>
  </si>
  <si>
    <t>P5240459</t>
  </si>
  <si>
    <t>P5240461</t>
  </si>
  <si>
    <t>`</t>
  </si>
  <si>
    <t>N</t>
  </si>
  <si>
    <t>assay</t>
  </si>
  <si>
    <t>extractionTubeLabel</t>
  </si>
  <si>
    <t>extractionDate</t>
  </si>
  <si>
    <t>dilutionFactor</t>
  </si>
  <si>
    <t>copies</t>
  </si>
  <si>
    <t>fish_collected</t>
  </si>
  <si>
    <t>niloticus_present_in_fish</t>
  </si>
  <si>
    <t>copies_l_corrected</t>
  </si>
  <si>
    <t>use_occupancy_analysis</t>
  </si>
  <si>
    <t>Site01-Kingolwira</t>
  </si>
  <si>
    <t>Site01-Kingolwira-A</t>
  </si>
  <si>
    <t>10.06.19/01</t>
  </si>
  <si>
    <t>10.06.19/02</t>
  </si>
  <si>
    <t>10.06.19/03</t>
  </si>
  <si>
    <t>Site01-Kingolwira-B</t>
  </si>
  <si>
    <t>11.06.19/01</t>
  </si>
  <si>
    <t>11.06.19/02</t>
  </si>
  <si>
    <t>11.06.19/03</t>
  </si>
  <si>
    <t>Site01-Kingolwira-C</t>
  </si>
  <si>
    <t>11.06.19/04</t>
  </si>
  <si>
    <t>11.06.19/05</t>
  </si>
  <si>
    <t>11.06.19/06</t>
  </si>
  <si>
    <t>Site02-Msauzi</t>
  </si>
  <si>
    <t>Site02-Msauzi-A</t>
  </si>
  <si>
    <t>11.06.19/08</t>
  </si>
  <si>
    <t>11.06.19/09</t>
  </si>
  <si>
    <t>11.06.19/10</t>
  </si>
  <si>
    <t>Site02-Msauzi-B</t>
  </si>
  <si>
    <t>12.06.19/01</t>
  </si>
  <si>
    <t>No (only two samples, three needed)</t>
  </si>
  <si>
    <t>12.06.19/02</t>
  </si>
  <si>
    <t>Site02-Msauzi-C</t>
  </si>
  <si>
    <t>12.06.19/04</t>
  </si>
  <si>
    <t>No (only one sample, three needed)</t>
  </si>
  <si>
    <t>Site03-Mangwele</t>
  </si>
  <si>
    <t>Site03-Mangwele-A</t>
  </si>
  <si>
    <t>12.06.19/05</t>
  </si>
  <si>
    <t>12.06.19/06</t>
  </si>
  <si>
    <t>12.06.19/07</t>
  </si>
  <si>
    <t>Site04-Saguti</t>
  </si>
  <si>
    <t>Site04-Saguti-A</t>
  </si>
  <si>
    <t>12.06.19/08</t>
  </si>
  <si>
    <t>12.06.19/09</t>
  </si>
  <si>
    <t>12.06.19/10</t>
  </si>
  <si>
    <t>Site05-Japhet</t>
  </si>
  <si>
    <t>Site05-Japhet-A</t>
  </si>
  <si>
    <t>12.06.19/11</t>
  </si>
  <si>
    <t>12.06.19/12</t>
  </si>
  <si>
    <t>12.06.19/13</t>
  </si>
  <si>
    <t>Site05-Japhet-B</t>
  </si>
  <si>
    <t>12.06.19/14</t>
  </si>
  <si>
    <t>12.06.19/15</t>
  </si>
  <si>
    <t>12.06.19/16</t>
  </si>
  <si>
    <t>Site05-Burugu</t>
  </si>
  <si>
    <t>Site05-Burugu-C</t>
  </si>
  <si>
    <t>12.06.19/17</t>
  </si>
  <si>
    <t>12.06.19/18</t>
  </si>
  <si>
    <t>12.06.19/19</t>
  </si>
  <si>
    <t>Site06-WorldVision</t>
  </si>
  <si>
    <t>Site06-WorldVision-A</t>
  </si>
  <si>
    <t>13.06.19/01</t>
  </si>
  <si>
    <t>13.06.19/02</t>
  </si>
  <si>
    <t>13.06.19/03</t>
  </si>
  <si>
    <t>Site07-Resthouse</t>
  </si>
  <si>
    <t>Site07-Resthouse-A</t>
  </si>
  <si>
    <t>13.06.19/05</t>
  </si>
  <si>
    <t>13.06.19/06</t>
  </si>
  <si>
    <t>13.06.19/07</t>
  </si>
  <si>
    <t>13.06.19/08</t>
  </si>
  <si>
    <t>No (only 3 sample replicates required)</t>
  </si>
  <si>
    <t>Site08-Mala</t>
  </si>
  <si>
    <t>Site08-Mala-A</t>
  </si>
  <si>
    <t>13.06.19/09</t>
  </si>
  <si>
    <t>13.06.19/10</t>
  </si>
  <si>
    <t>13.06.19/11</t>
  </si>
  <si>
    <t>13.06.19/12</t>
  </si>
  <si>
    <t>Site09-Majicka</t>
  </si>
  <si>
    <t>Site09-Majicka-A</t>
  </si>
  <si>
    <t>13.06.19/13</t>
  </si>
  <si>
    <t>13.06.19/14</t>
  </si>
  <si>
    <t>13.06.19/15</t>
  </si>
  <si>
    <t>Site10-Ahmed</t>
  </si>
  <si>
    <t>Site10-Ahmed-A</t>
  </si>
  <si>
    <t>13.06.19/16</t>
  </si>
  <si>
    <t>13.06.19/17</t>
  </si>
  <si>
    <t>13.06.19/18</t>
  </si>
  <si>
    <t>Site11-Mindu</t>
  </si>
  <si>
    <t>Site11-Mindu-A</t>
  </si>
  <si>
    <t>13.06.19/19</t>
  </si>
  <si>
    <t>13.06.19/20</t>
  </si>
  <si>
    <t>13.06.19/21</t>
  </si>
  <si>
    <t>13.06.19/22</t>
  </si>
  <si>
    <t>13.06.19/23</t>
  </si>
  <si>
    <t>13.06.19/24</t>
  </si>
  <si>
    <t>Site11-Mindu-B</t>
  </si>
  <si>
    <t>17.06.19/02</t>
  </si>
  <si>
    <t>17.06.19/03</t>
  </si>
  <si>
    <t>17.06.19/04</t>
  </si>
  <si>
    <t>17.06.19/05</t>
  </si>
  <si>
    <t>17.06.19/06</t>
  </si>
  <si>
    <t>17.06.19/07</t>
  </si>
  <si>
    <t>Site12-Yotham</t>
  </si>
  <si>
    <t>Site12-Yotham-A</t>
  </si>
  <si>
    <t>MG01/01</t>
  </si>
  <si>
    <t>MG01/02</t>
  </si>
  <si>
    <t>MG01/03</t>
  </si>
  <si>
    <t>Site14-Mwanaisha</t>
  </si>
  <si>
    <t>Site14-Mwanaisha-A</t>
  </si>
  <si>
    <t>MG02/01</t>
  </si>
  <si>
    <t>MG02/02</t>
  </si>
  <si>
    <t>MG02/03</t>
  </si>
  <si>
    <t>Site15-Arafa</t>
  </si>
  <si>
    <t>Site15-Arafa-A</t>
  </si>
  <si>
    <t>MG03/01</t>
  </si>
  <si>
    <t>MG03/02</t>
  </si>
  <si>
    <t>MG03/03</t>
  </si>
  <si>
    <t>Site13-Ramadhan</t>
  </si>
  <si>
    <t>Site13-Ramadhan-A</t>
  </si>
  <si>
    <t>MG04/01</t>
  </si>
  <si>
    <t>MG04/02</t>
  </si>
  <si>
    <t>MG04/03</t>
  </si>
  <si>
    <t>Site16-Mfungahema</t>
  </si>
  <si>
    <t>Site16-Mfungahema-A</t>
  </si>
  <si>
    <t>MG05/01</t>
  </si>
  <si>
    <t>MG05/02</t>
  </si>
  <si>
    <t>MG05/03</t>
  </si>
  <si>
    <t>Site17-Dennis</t>
  </si>
  <si>
    <t>Site17-Dennis-A</t>
  </si>
  <si>
    <t>MG06/01</t>
  </si>
  <si>
    <t>MG06/02</t>
  </si>
  <si>
    <t>MG06/03</t>
  </si>
  <si>
    <t>Site18-MfungahemaNgapanya</t>
  </si>
  <si>
    <t>Site18-MfungahemaNgapanya-A</t>
  </si>
  <si>
    <t>MG07/01</t>
  </si>
  <si>
    <t>MG07/02</t>
  </si>
  <si>
    <t>MG07/03</t>
  </si>
  <si>
    <t>Site19-MfungahemaMayai</t>
  </si>
  <si>
    <t>Site19-MfungahemaMayai-A</t>
  </si>
  <si>
    <t>MG08/01</t>
  </si>
  <si>
    <t>MG08/02</t>
  </si>
  <si>
    <t>Site20-Festo</t>
  </si>
  <si>
    <t>Site20-Festo-A</t>
  </si>
  <si>
    <t>MG09/01</t>
  </si>
  <si>
    <t>MG09/02</t>
  </si>
  <si>
    <t>MG09/03</t>
  </si>
  <si>
    <t>Site01-Kingolwira-D</t>
  </si>
  <si>
    <t>MG12/01</t>
  </si>
  <si>
    <t>MG12/02</t>
  </si>
  <si>
    <t>MG12/03</t>
  </si>
  <si>
    <t>Site01-Kingolwira-E</t>
  </si>
  <si>
    <t>MG13/01</t>
  </si>
  <si>
    <t>MG13/02</t>
  </si>
  <si>
    <t>MG13/03</t>
  </si>
  <si>
    <t>Site21-Sua</t>
  </si>
  <si>
    <t>Site21-Sua-A</t>
  </si>
  <si>
    <t>MG10/01</t>
  </si>
  <si>
    <t>MG10/02</t>
  </si>
  <si>
    <t>MG10/03</t>
  </si>
  <si>
    <t>Site21-Sua-B</t>
  </si>
  <si>
    <t>MG11/01</t>
  </si>
  <si>
    <t>MG11/02</t>
  </si>
  <si>
    <t>MG11/03</t>
  </si>
  <si>
    <t>Site22-Patric</t>
  </si>
  <si>
    <t>Site22-Patric-A</t>
  </si>
  <si>
    <t>MG14/01</t>
  </si>
  <si>
    <t>MG14/02</t>
  </si>
  <si>
    <t>MG14/03</t>
  </si>
  <si>
    <t>Site22-Patric-B</t>
  </si>
  <si>
    <t>MG15/02</t>
  </si>
  <si>
    <t>Site22-Patric-C</t>
  </si>
  <si>
    <t>MG16/01</t>
  </si>
  <si>
    <t>Site23-Ruvu</t>
  </si>
  <si>
    <t>Site23-Ruvu-A</t>
  </si>
  <si>
    <t>MG17/01</t>
  </si>
  <si>
    <t>MG17/02</t>
  </si>
  <si>
    <t>MG17/03</t>
  </si>
  <si>
    <t>Site23-Ruvu-B</t>
  </si>
  <si>
    <t>MG18/01</t>
  </si>
  <si>
    <t>MG18/02</t>
  </si>
  <si>
    <t>MG18/03</t>
  </si>
  <si>
    <t>Site24-Feta</t>
  </si>
  <si>
    <t>Site24-Feta-A</t>
  </si>
  <si>
    <t>MG19/01</t>
  </si>
  <si>
    <t>MG19/02</t>
  </si>
  <si>
    <t>MG19/03</t>
  </si>
  <si>
    <t>Site24-Feta-B</t>
  </si>
  <si>
    <t>MG20/01</t>
  </si>
  <si>
    <t>MG20/02</t>
  </si>
  <si>
    <t>MG20/03</t>
  </si>
  <si>
    <t>Site25-Sobo</t>
  </si>
  <si>
    <t>Site25-Sobo-A</t>
  </si>
  <si>
    <t>MG21/01</t>
  </si>
  <si>
    <t>MG21/02</t>
  </si>
  <si>
    <t>MG21/03</t>
  </si>
  <si>
    <t>Site25-Sobo-B</t>
  </si>
  <si>
    <t>MG22/01</t>
  </si>
  <si>
    <t>MG22/02</t>
  </si>
  <si>
    <t>MG22/03</t>
  </si>
  <si>
    <t>Site26-Asifiwe</t>
  </si>
  <si>
    <t>Site26-Asifiwe-A</t>
  </si>
  <si>
    <t>MG23/01</t>
  </si>
  <si>
    <t>MG23/02</t>
  </si>
  <si>
    <t>MG23/03</t>
  </si>
  <si>
    <t>Site26-Asifiwe-B</t>
  </si>
  <si>
    <t>MG24/01</t>
  </si>
  <si>
    <t>MG24/02</t>
  </si>
  <si>
    <t>MG24/03</t>
  </si>
  <si>
    <t>Site27-Noni</t>
  </si>
  <si>
    <t>Site27-Noni-A</t>
  </si>
  <si>
    <t>MG25/01</t>
  </si>
  <si>
    <t>MG25/02</t>
  </si>
  <si>
    <t>MG25/03</t>
  </si>
  <si>
    <t>Site28-BigFish</t>
  </si>
  <si>
    <t>Site28-BigFish-A</t>
  </si>
  <si>
    <t>MG26/01</t>
  </si>
  <si>
    <t>MG26/02</t>
  </si>
  <si>
    <t>MG26/03</t>
  </si>
  <si>
    <t>Site28-BigFish-B</t>
  </si>
  <si>
    <t>MG27/01</t>
  </si>
  <si>
    <t>MG27/02</t>
  </si>
  <si>
    <t>MG27/03</t>
  </si>
  <si>
    <t>Site28-BigFish-C</t>
  </si>
  <si>
    <t>MG28/01</t>
  </si>
  <si>
    <t>MG28/02</t>
  </si>
  <si>
    <t>MG28/03</t>
  </si>
  <si>
    <t>Site29-Eden</t>
  </si>
  <si>
    <t>Site29-Eden-A</t>
  </si>
  <si>
    <t>MG29/01</t>
  </si>
  <si>
    <t>MG29/02</t>
  </si>
  <si>
    <t>MG29/03</t>
  </si>
  <si>
    <t>Site29-Eden-B</t>
  </si>
  <si>
    <t>MG30/01</t>
  </si>
  <si>
    <t>MG30/02</t>
  </si>
  <si>
    <t>MG30/03</t>
  </si>
  <si>
    <t>Site30-Kibona</t>
  </si>
  <si>
    <t>Site30-Kibona-A</t>
  </si>
  <si>
    <t>MG31/01</t>
  </si>
  <si>
    <t>MG31/02</t>
  </si>
  <si>
    <t>MG31/03</t>
  </si>
  <si>
    <t>Site31-Msangi</t>
  </si>
  <si>
    <t>Site31-Msangi-A</t>
  </si>
  <si>
    <t>MG32/01</t>
  </si>
  <si>
    <t>MG32/02</t>
  </si>
  <si>
    <t>MG32/03</t>
  </si>
  <si>
    <t>Site32-UDSM</t>
  </si>
  <si>
    <t>Site32-UDSM-A</t>
  </si>
  <si>
    <t>MG33/01</t>
  </si>
  <si>
    <t>MG33/02</t>
  </si>
  <si>
    <t>MG33/03</t>
  </si>
  <si>
    <t>Site32-UDSM-B</t>
  </si>
  <si>
    <t>MG34/01</t>
  </si>
  <si>
    <t>MG34/02</t>
  </si>
  <si>
    <t>MG34/03</t>
  </si>
  <si>
    <t>urolepis_present_in_fish</t>
  </si>
  <si>
    <t>leucostictus_present_in_fish</t>
  </si>
  <si>
    <t>Analysis</t>
  </si>
  <si>
    <t>Event</t>
  </si>
  <si>
    <t>Sample_Rep1_PositiveAmps</t>
  </si>
  <si>
    <t>Sample_Rep2_PositiveAmps</t>
  </si>
  <si>
    <t>Sample_Rep3_PositiveAmps</t>
  </si>
  <si>
    <t>Niloticus_Sampled</t>
  </si>
  <si>
    <t>presence_Posterior Mean</t>
  </si>
  <si>
    <t>Main occupancy analysis</t>
  </si>
  <si>
    <t>Number copies</t>
  </si>
  <si>
    <t>Number positive amplifications</t>
  </si>
  <si>
    <t>Mean Cq</t>
  </si>
  <si>
    <t>6/6</t>
  </si>
  <si>
    <t>5/6</t>
  </si>
  <si>
    <t>0/6</t>
  </si>
  <si>
    <t>2/6</t>
  </si>
  <si>
    <t>3/6</t>
  </si>
  <si>
    <t>1/6</t>
  </si>
  <si>
    <t>0/3</t>
  </si>
  <si>
    <r>
      <rPr>
        <i/>
        <sz val="12"/>
        <color theme="1"/>
        <rFont val="Aptos Narrow"/>
        <family val="2"/>
        <charset val="1"/>
      </rPr>
      <t xml:space="preserve">Astatotilapia </t>
    </r>
    <r>
      <rPr>
        <sz val="12"/>
        <color theme="1"/>
        <rFont val="Aptos Narrow"/>
        <family val="2"/>
        <charset val="1"/>
      </rPr>
      <t>sp. 'Ruaha red cheek'</t>
    </r>
  </si>
  <si>
    <t>3/3</t>
  </si>
  <si>
    <t>1/3</t>
  </si>
  <si>
    <t>2/3</t>
  </si>
  <si>
    <t>Urolepis_Sampled</t>
  </si>
  <si>
    <t>Leucostictus_Sampled</t>
  </si>
  <si>
    <t>EventID</t>
  </si>
  <si>
    <t>O. niloticus (mean copies_l_corrected)</t>
  </si>
  <si>
    <t>O. urolepis (mean copies_l_corrected)</t>
  </si>
  <si>
    <t>O. leucostictus (mean copies_l_corrected)</t>
  </si>
  <si>
    <t>O. niloticus (%)</t>
  </si>
  <si>
    <t>O. urolepis (%)</t>
  </si>
  <si>
    <t>O. leucostictus (%)</t>
  </si>
  <si>
    <t>Occupancy_nilo</t>
  </si>
  <si>
    <t>Occupancy_uro</t>
  </si>
  <si>
    <t>Occupancy_leuco</t>
  </si>
  <si>
    <t>Percentage_composition</t>
  </si>
  <si>
    <t>locationCode</t>
  </si>
  <si>
    <t>Site</t>
  </si>
  <si>
    <t>NumberWaterBodies</t>
  </si>
  <si>
    <t>Nilo_MeanProb</t>
  </si>
  <si>
    <t>Uro_MeanProb</t>
  </si>
  <si>
    <t>Leuco_MeanProb</t>
  </si>
  <si>
    <t>Average of O. niloticus (%)</t>
  </si>
  <si>
    <t>Average of O. urolepis (%)</t>
  </si>
  <si>
    <t>Average of O. leucostictus (%)</t>
  </si>
  <si>
    <t>Genome Accession</t>
  </si>
  <si>
    <t>ERR13333463</t>
  </si>
  <si>
    <t>T2C05</t>
  </si>
  <si>
    <t>ERR7224458</t>
  </si>
  <si>
    <t>T1D5</t>
  </si>
  <si>
    <t>ERR7224463</t>
  </si>
  <si>
    <t>T1E5</t>
  </si>
  <si>
    <t>ERR7224522</t>
  </si>
  <si>
    <t>T7A10</t>
  </si>
  <si>
    <t>ERR7224548</t>
  </si>
  <si>
    <t>T7F3</t>
  </si>
  <si>
    <t>ERR7224549</t>
  </si>
  <si>
    <t>T6I4</t>
  </si>
  <si>
    <t>ERR7224553</t>
  </si>
  <si>
    <t>T6I5</t>
  </si>
  <si>
    <t>ERR7224554</t>
  </si>
  <si>
    <t>T7A9</t>
  </si>
  <si>
    <t>ERR7224557</t>
  </si>
  <si>
    <t>T6I6</t>
  </si>
  <si>
    <t>ERR7224560</t>
  </si>
  <si>
    <t>T7E6</t>
  </si>
  <si>
    <t>ERR7224566</t>
  </si>
  <si>
    <t>T6H10</t>
  </si>
  <si>
    <t>ERR13333340</t>
  </si>
  <si>
    <t>T9A2</t>
  </si>
  <si>
    <t>ERR13333350</t>
  </si>
  <si>
    <t>T9B9</t>
  </si>
  <si>
    <t>ERR13333357</t>
  </si>
  <si>
    <t>T9B10</t>
  </si>
  <si>
    <t>ERR13333362</t>
  </si>
  <si>
    <t>SUA-01-A06</t>
  </si>
  <si>
    <t>ERR13333363</t>
  </si>
  <si>
    <t>T9A5</t>
  </si>
  <si>
    <t>ERR13333368</t>
  </si>
  <si>
    <t>T9B4</t>
  </si>
  <si>
    <t>ERR13333369</t>
  </si>
  <si>
    <t>T9C2</t>
  </si>
  <si>
    <t>ERR13333374</t>
  </si>
  <si>
    <t>T9A7</t>
  </si>
  <si>
    <t>ERR13333376</t>
  </si>
  <si>
    <t>T9B5</t>
  </si>
  <si>
    <t>ERR13333377</t>
  </si>
  <si>
    <t>T9C3</t>
  </si>
  <si>
    <t>ERR13333381</t>
  </si>
  <si>
    <t>T9A8</t>
  </si>
  <si>
    <t>ERR13333382</t>
  </si>
  <si>
    <t>T9B6</t>
  </si>
  <si>
    <t>ERR13333383</t>
  </si>
  <si>
    <t>T9C4</t>
  </si>
  <si>
    <t>ERR13333387</t>
  </si>
  <si>
    <t>SUA-01-A02</t>
  </si>
  <si>
    <t>ERR13333388</t>
  </si>
  <si>
    <t>SUA-01-A07</t>
  </si>
  <si>
    <t>ERR13333396</t>
  </si>
  <si>
    <t>SUA-01-A08</t>
  </si>
  <si>
    <t>ERR13333437</t>
  </si>
  <si>
    <t>T6F10_A</t>
  </si>
  <si>
    <t>ERR13333457</t>
  </si>
  <si>
    <t>T2C04</t>
  </si>
  <si>
    <t>ERR13333465</t>
  </si>
  <si>
    <t>T5F05</t>
  </si>
  <si>
    <t>ERR13333466</t>
  </si>
  <si>
    <t>T5I06</t>
  </si>
  <si>
    <t>ERR13333468</t>
  </si>
  <si>
    <t>T2C06</t>
  </si>
  <si>
    <t>ERR13333476</t>
  </si>
  <si>
    <t>T5J09</t>
  </si>
  <si>
    <t>ERR13333492</t>
  </si>
  <si>
    <t>T6D4</t>
  </si>
  <si>
    <t>ERR13333494</t>
  </si>
  <si>
    <t>T6D6</t>
  </si>
  <si>
    <t>ERR13333496</t>
  </si>
  <si>
    <t>T6D8</t>
  </si>
  <si>
    <t>ERR13333497</t>
  </si>
  <si>
    <t>T6D9</t>
  </si>
  <si>
    <t>ERR13333498</t>
  </si>
  <si>
    <t>T6D10</t>
  </si>
  <si>
    <t>ERR13333499</t>
  </si>
  <si>
    <t>T6E1</t>
  </si>
  <si>
    <t>ERR13333500</t>
  </si>
  <si>
    <t>T6E2</t>
  </si>
  <si>
    <t>ERR13333502</t>
  </si>
  <si>
    <t>T6E8</t>
  </si>
  <si>
    <t>ERR13333504</t>
  </si>
  <si>
    <t>T6E10</t>
  </si>
  <si>
    <t>ERR13333505</t>
  </si>
  <si>
    <t>T6F2</t>
  </si>
  <si>
    <t>ERR13333506</t>
  </si>
  <si>
    <t>T6F3</t>
  </si>
  <si>
    <t>ERR13333507</t>
  </si>
  <si>
    <t>T6F8</t>
  </si>
  <si>
    <t>ERR13333508</t>
  </si>
  <si>
    <t>T6F9</t>
  </si>
  <si>
    <t>ERR13333603</t>
  </si>
  <si>
    <t>2B3-A</t>
  </si>
  <si>
    <t>ERR13333604</t>
  </si>
  <si>
    <t>2B4-A</t>
  </si>
  <si>
    <t>ERR13333605</t>
  </si>
  <si>
    <t>2B5-A</t>
  </si>
  <si>
    <t>ERR13333960</t>
  </si>
  <si>
    <t>T6D7</t>
  </si>
  <si>
    <t>ERR7224467</t>
  </si>
  <si>
    <t>T1F10</t>
  </si>
  <si>
    <t>ERR7224469</t>
  </si>
  <si>
    <t>T1J2</t>
  </si>
  <si>
    <t>ERR7224475</t>
  </si>
  <si>
    <t>T1G7</t>
  </si>
  <si>
    <t>ERR7224540</t>
  </si>
  <si>
    <t>T7E9</t>
  </si>
  <si>
    <t>ERR7224550</t>
  </si>
  <si>
    <t>T7A8</t>
  </si>
  <si>
    <t>ERR7224551</t>
  </si>
  <si>
    <t>T7E3</t>
  </si>
  <si>
    <t>ERR7224552</t>
  </si>
  <si>
    <t>T7F5</t>
  </si>
  <si>
    <t>ERR7224556</t>
  </si>
  <si>
    <t>T7F6</t>
  </si>
  <si>
    <t>ERR7224558</t>
  </si>
  <si>
    <t>T7B1</t>
  </si>
  <si>
    <t>ERR7224568</t>
  </si>
  <si>
    <t>T6J6</t>
  </si>
  <si>
    <t>ERR13333338</t>
  </si>
  <si>
    <t>T9I7</t>
  </si>
  <si>
    <t>ERR13333345</t>
  </si>
  <si>
    <t>T9I8</t>
  </si>
  <si>
    <t>ERR13333346</t>
  </si>
  <si>
    <t>T9J6</t>
  </si>
  <si>
    <t>ERR13333360</t>
  </si>
  <si>
    <t>T9I10</t>
  </si>
  <si>
    <t>ERR13333361</t>
  </si>
  <si>
    <t>T9J8</t>
  </si>
  <si>
    <t>ERR13333366</t>
  </si>
  <si>
    <t>T9J1</t>
  </si>
  <si>
    <t>ERR13333372</t>
  </si>
  <si>
    <t>T9J2</t>
  </si>
  <si>
    <t>ERR13333373</t>
  </si>
  <si>
    <t>T9J10</t>
  </si>
  <si>
    <t>ERR13333380</t>
  </si>
  <si>
    <t>T9J3</t>
  </si>
  <si>
    <t>ERR13333385</t>
  </si>
  <si>
    <t>T9I6</t>
  </si>
  <si>
    <t>ERR13333386</t>
  </si>
  <si>
    <t>T9J4</t>
  </si>
  <si>
    <t>ERR13333438</t>
  </si>
  <si>
    <t>ERR13333440</t>
  </si>
  <si>
    <t>T7G03</t>
  </si>
  <si>
    <t>ERR13333441</t>
  </si>
  <si>
    <t>T2A04</t>
  </si>
  <si>
    <t>ERR13333443</t>
  </si>
  <si>
    <t>ERR13333445</t>
  </si>
  <si>
    <t>T5G06</t>
  </si>
  <si>
    <t>ERR13333446</t>
  </si>
  <si>
    <t>T7G05</t>
  </si>
  <si>
    <t>ERR13333447</t>
  </si>
  <si>
    <t>T2A07</t>
  </si>
  <si>
    <t>ERR13333456</t>
  </si>
  <si>
    <t>T1G10</t>
  </si>
  <si>
    <t>ERR13333459</t>
  </si>
  <si>
    <t>ERR13333460</t>
  </si>
  <si>
    <t>T5F03</t>
  </si>
  <si>
    <t>ERR13333462</t>
  </si>
  <si>
    <t>T1H08</t>
  </si>
  <si>
    <t>ERR13333464</t>
  </si>
  <si>
    <t>ERR13333469</t>
  </si>
  <si>
    <t>ERR13333470</t>
  </si>
  <si>
    <t>T5F10</t>
  </si>
  <si>
    <t>ERR13333472</t>
  </si>
  <si>
    <t>T1J05</t>
  </si>
  <si>
    <t>ERR13333473</t>
  </si>
  <si>
    <t>T2C09</t>
  </si>
  <si>
    <t>ERR13333474</t>
  </si>
  <si>
    <t>ERR13333478</t>
  </si>
  <si>
    <t>T2D06</t>
  </si>
  <si>
    <t>ERR13333493</t>
  </si>
  <si>
    <t>T6D5</t>
  </si>
  <si>
    <t>ERR13333562</t>
  </si>
  <si>
    <t>F3</t>
  </si>
  <si>
    <t>ERR13333563</t>
  </si>
  <si>
    <t>F4</t>
  </si>
  <si>
    <t>ERR7224465</t>
  </si>
  <si>
    <t>T1F5</t>
  </si>
  <si>
    <t>ERR7224472</t>
  </si>
  <si>
    <t>14_1D9</t>
  </si>
  <si>
    <t>ERR7224473</t>
  </si>
  <si>
    <t>14_1E1</t>
  </si>
  <si>
    <t>ERR7224474</t>
  </si>
  <si>
    <t>T2C10</t>
  </si>
  <si>
    <t>ERR7224476</t>
  </si>
  <si>
    <t>T1G8</t>
  </si>
  <si>
    <t>ERR7224477</t>
  </si>
  <si>
    <t>T2D8</t>
  </si>
  <si>
    <t>ERR7224478</t>
  </si>
  <si>
    <t>T2E5</t>
  </si>
  <si>
    <t>ERR7224479</t>
  </si>
  <si>
    <t>T6A3</t>
  </si>
  <si>
    <t>ERR7224480</t>
  </si>
  <si>
    <t>T6A4</t>
  </si>
  <si>
    <t>ERR7224481</t>
  </si>
  <si>
    <t>T6A6</t>
  </si>
  <si>
    <t>ERR7224482</t>
  </si>
  <si>
    <t>T6A8</t>
  </si>
  <si>
    <t>ERR7224483</t>
  </si>
  <si>
    <t>T6B2</t>
  </si>
  <si>
    <t>ERR7224484</t>
  </si>
  <si>
    <t>T6B5</t>
  </si>
  <si>
    <t>ERR7224485</t>
  </si>
  <si>
    <t>T6B6</t>
  </si>
  <si>
    <t>ERR7224486</t>
  </si>
  <si>
    <t>T6B9</t>
  </si>
  <si>
    <t>ERR7224487</t>
  </si>
  <si>
    <t>T6B10</t>
  </si>
  <si>
    <t>ERR7224498</t>
  </si>
  <si>
    <t>T7F10</t>
  </si>
  <si>
    <t>ERR7224499</t>
  </si>
  <si>
    <t>T7G1</t>
  </si>
  <si>
    <t>ERR7224502</t>
  </si>
  <si>
    <t>T7I7</t>
  </si>
  <si>
    <t>ERR7224541</t>
  </si>
  <si>
    <t>T6I2</t>
  </si>
  <si>
    <t>ERR7224555</t>
  </si>
  <si>
    <t>T7E5</t>
  </si>
  <si>
    <t>ERR7224559</t>
  </si>
  <si>
    <t>T6A5</t>
  </si>
  <si>
    <t>ERR7224561</t>
  </si>
  <si>
    <t>T6H9</t>
  </si>
  <si>
    <t>ERR7224562</t>
  </si>
  <si>
    <t>T6G4</t>
  </si>
  <si>
    <t>ERR7224564</t>
  </si>
  <si>
    <t>T6A7</t>
  </si>
  <si>
    <t>ERR7224565</t>
  </si>
  <si>
    <t>T7E7</t>
  </si>
  <si>
    <t>ERR7224571</t>
  </si>
  <si>
    <t>T6I1</t>
  </si>
  <si>
    <t>ERR13333475</t>
  </si>
  <si>
    <t>T5G01</t>
  </si>
  <si>
    <t>ERR7224542</t>
  </si>
  <si>
    <t>T7A3</t>
  </si>
  <si>
    <t>ERR13333461</t>
  </si>
  <si>
    <t>T5I05</t>
  </si>
  <si>
    <t>ERR7224500</t>
  </si>
  <si>
    <t>T7H7</t>
  </si>
  <si>
    <t>ERR13333450</t>
  </si>
  <si>
    <t>T5H08</t>
  </si>
  <si>
    <t>ERR13333442</t>
  </si>
  <si>
    <t>ERR7224501</t>
  </si>
  <si>
    <t>T7H8</t>
  </si>
  <si>
    <t>ERR7224503</t>
  </si>
  <si>
    <t>T7I10</t>
  </si>
  <si>
    <t>Sample_ID</t>
  </si>
  <si>
    <t>mtDNA_haplogroup</t>
  </si>
  <si>
    <t>Genotypic_ancestry</t>
  </si>
  <si>
    <t>O_leucostictus_ancestry</t>
  </si>
  <si>
    <t>O_niloticus_ancestry</t>
  </si>
  <si>
    <t>O_urolepis_ancestry</t>
  </si>
  <si>
    <t>O_esculentus_ancestry</t>
  </si>
  <si>
    <t>O. urolepis</t>
  </si>
  <si>
    <t>O. urolepis (1.00)</t>
  </si>
  <si>
    <t>O. niloticus</t>
  </si>
  <si>
    <t>O. niloticus (1.00)</t>
  </si>
  <si>
    <t>O. niloticus (0.99)</t>
  </si>
  <si>
    <t>O. esculentus (0.01), O. niloticus (0.98)</t>
  </si>
  <si>
    <t>ERR13333347</t>
  </si>
  <si>
    <t>SUA-01-A04</t>
  </si>
  <si>
    <t>ERR7224456</t>
  </si>
  <si>
    <t>T1D3</t>
  </si>
  <si>
    <t>O. leucostictus</t>
  </si>
  <si>
    <t>O. leucostictus (1.00)</t>
  </si>
  <si>
    <t>ERR7224459</t>
  </si>
  <si>
    <t>T1E3</t>
  </si>
  <si>
    <t>O. leucostictus (0.44), O. niloticus (0.14), O. urolepis (0.36)</t>
  </si>
  <si>
    <t>ERR7224464</t>
  </si>
  <si>
    <t>T1F1</t>
  </si>
  <si>
    <t>O. leucostictus (0.49), O. urolepis (0.51)</t>
  </si>
  <si>
    <t>ERR7224466</t>
  </si>
  <si>
    <t>T1F8</t>
  </si>
  <si>
    <t>O. leucostictus (0.26), O. urolepis (0.70)</t>
  </si>
  <si>
    <t>O. leucostictus (0.26), O. niloticus (0.05), O. urolepis (0.65)</t>
  </si>
  <si>
    <t>ERR7224468</t>
  </si>
  <si>
    <t>T1G3</t>
  </si>
  <si>
    <t>O. niloticus (0.32), O. urolepis (0.64)</t>
  </si>
  <si>
    <t>O. niloticus (0.48), O. urolepis (0.51)</t>
  </si>
  <si>
    <t>O. leucostictus (0.33), O. urolepis (0.63)</t>
  </si>
  <si>
    <t>ERR7224460</t>
  </si>
  <si>
    <t>T1H2</t>
  </si>
  <si>
    <t>ERR13333467</t>
  </si>
  <si>
    <t>T1I08</t>
  </si>
  <si>
    <t>O. niloticus (0.32), O. urolepis (0.65)</t>
  </si>
  <si>
    <t>ERR7224461</t>
  </si>
  <si>
    <t>T1I7</t>
  </si>
  <si>
    <t>ERR7224462</t>
  </si>
  <si>
    <t>T1I9</t>
  </si>
  <si>
    <t>O. leucostictus (0.25), O. urolepis (0.72)</t>
  </si>
  <si>
    <t>ERR13333477</t>
  </si>
  <si>
    <t>T2A02</t>
  </si>
  <si>
    <t>O. leucostictus (0.29), O. niloticus (0.48), O. urolepis (0.18)</t>
  </si>
  <si>
    <t>O. leucostictus (0.70), O. urolepis (0.25)</t>
  </si>
  <si>
    <t>O. niloticus (0.36), O. urolepis (0.61)</t>
  </si>
  <si>
    <t>ERR13333452</t>
  </si>
  <si>
    <t>T2B01</t>
  </si>
  <si>
    <t>O. leucostictus (0.25), O. urolepis (0.71)</t>
  </si>
  <si>
    <t>O. niloticus (0.70), O. urolepis (0.25)</t>
  </si>
  <si>
    <t>O. leucostictus (0.57), O. urolepis (0.40)</t>
  </si>
  <si>
    <t>O. niloticus (0.79), O. urolepis (0.16)</t>
  </si>
  <si>
    <t>O. leucostictus (0.16), O. urolepis (0.80)</t>
  </si>
  <si>
    <t>O. leucostictus (0.51), O. urolepis (0.49)</t>
  </si>
  <si>
    <t>O. leucostictus (0.08), O. urolepis (0.88)</t>
  </si>
  <si>
    <t>ERR13333634</t>
  </si>
  <si>
    <t>T2E09</t>
  </si>
  <si>
    <t>O. niloticus (0.21), O. urolepis (0.74)</t>
  </si>
  <si>
    <t>ERR13333635</t>
  </si>
  <si>
    <t>T2E10</t>
  </si>
  <si>
    <t>O. leucostictus (0.11), O. niloticus (0.46), O. urolepis (0.39)</t>
  </si>
  <si>
    <t>O. leucostictus (0.53), O. urolepis (0.41)</t>
  </si>
  <si>
    <t>ERR13333636</t>
  </si>
  <si>
    <t>T2F06</t>
  </si>
  <si>
    <t>O. niloticus (0.46), O. urolepis (0.54)</t>
  </si>
  <si>
    <t>ERR13333637</t>
  </si>
  <si>
    <t>T2G08</t>
  </si>
  <si>
    <t>O. niloticus (0.47), O. urolepis (0.53)</t>
  </si>
  <si>
    <t>ERR13333638</t>
  </si>
  <si>
    <t>T2H01</t>
  </si>
  <si>
    <t>O. niloticus (0.91), O. urolepis (0.03)</t>
  </si>
  <si>
    <t>ERR13333639</t>
  </si>
  <si>
    <t>T2H04</t>
  </si>
  <si>
    <t>O. leucostictus (0.22), O. urolepis (0.73)</t>
  </si>
  <si>
    <t>ERR13333640</t>
  </si>
  <si>
    <t>T2H06</t>
  </si>
  <si>
    <t>O. niloticus (0.69), O. urolepis (0.26)</t>
  </si>
  <si>
    <t>ERR13333641</t>
  </si>
  <si>
    <t>T2H08</t>
  </si>
  <si>
    <t>ERR13333642</t>
  </si>
  <si>
    <t>T2H10</t>
  </si>
  <si>
    <t>ERR13333643</t>
  </si>
  <si>
    <t>T2I02</t>
  </si>
  <si>
    <t>O. leucostictus (0.15), O. urolepis (0.81)</t>
  </si>
  <si>
    <t>ERR13333644</t>
  </si>
  <si>
    <t>T2I05</t>
  </si>
  <si>
    <t>O. leucostictus (0.10), O. urolepis (0.86)</t>
  </si>
  <si>
    <t>ERR13333645</t>
  </si>
  <si>
    <t>T2I06</t>
  </si>
  <si>
    <t>ERR13333646</t>
  </si>
  <si>
    <t>T2I08</t>
  </si>
  <si>
    <t>O. leucostictus (0.28), O. urolepis (0.68)</t>
  </si>
  <si>
    <t>ERR7224453</t>
  </si>
  <si>
    <t>T2I10</t>
  </si>
  <si>
    <t>ERR4508020</t>
  </si>
  <si>
    <t>ERR7224454</t>
  </si>
  <si>
    <t>T3D1</t>
  </si>
  <si>
    <t>ERR7224455</t>
  </si>
  <si>
    <t>T3D7</t>
  </si>
  <si>
    <t>O. urolepis (0.25), O. niloticus (0.71)</t>
  </si>
  <si>
    <t>O. urolepis (0.19), O. niloticus (0.77)</t>
  </si>
  <si>
    <t>O. urolepis (0.05), O. niloticus (0.90)</t>
  </si>
  <si>
    <t>Exceptional haplotype</t>
  </si>
  <si>
    <t>O. urolepis (0.13), O. niloticus (0.82)</t>
  </si>
  <si>
    <t>Not considered</t>
  </si>
  <si>
    <t>ERR13333455</t>
  </si>
  <si>
    <t>T5I03</t>
  </si>
  <si>
    <t>O. urolepis (0.10), O. niloticus (0.85)</t>
  </si>
  <si>
    <t>ERR13333471</t>
  </si>
  <si>
    <t>T5I10</t>
  </si>
  <si>
    <t>O. urolepis (0.09), O. niloticus (0.85)</t>
  </si>
  <si>
    <t xml:space="preserve">ERR4552330	</t>
  </si>
  <si>
    <t>T6A2</t>
  </si>
  <si>
    <t>ERR13333501</t>
  </si>
  <si>
    <t>T6E3</t>
  </si>
  <si>
    <t>ERR7224523</t>
  </si>
  <si>
    <t>T6E4</t>
  </si>
  <si>
    <t>ERR7224524</t>
  </si>
  <si>
    <t>T6E5</t>
  </si>
  <si>
    <t>ERR7224525</t>
  </si>
  <si>
    <t>T6E6</t>
  </si>
  <si>
    <t>ERR13333647</t>
  </si>
  <si>
    <t>T6E9</t>
  </si>
  <si>
    <t>ERR13333649</t>
  </si>
  <si>
    <t>T6F1</t>
  </si>
  <si>
    <t>ERR13333648</t>
  </si>
  <si>
    <t>T6F10</t>
  </si>
  <si>
    <t>O. urolepis (0.20), O. niloticus (0.75)</t>
  </si>
  <si>
    <t>ERR7224538</t>
  </si>
  <si>
    <t>T6G10_A</t>
  </si>
  <si>
    <t>O. urolepis (0.90), O. esculentus (0.03), O. leucostictus (0.04)</t>
  </si>
  <si>
    <t>T6G10_B</t>
  </si>
  <si>
    <t>O. urolepis (0.34), O. niloticus (0.63)</t>
  </si>
  <si>
    <t>ERR7224567</t>
  </si>
  <si>
    <t>T6G9</t>
  </si>
  <si>
    <t>O. urolepis (0.72), O. niloticus (0.24)</t>
  </si>
  <si>
    <t>O. urolepis (0.92), O. leucostictus (0.05)</t>
  </si>
  <si>
    <t>ERR13333453</t>
  </si>
  <si>
    <t>T6I09</t>
  </si>
  <si>
    <t>ERR7224545</t>
  </si>
  <si>
    <t>T6I3</t>
  </si>
  <si>
    <t>O. urolepis (0.28), O. niloticus (0.14), O. leucostictus (0.53)</t>
  </si>
  <si>
    <t>T6J06</t>
  </si>
  <si>
    <t>O. urolepis (0.99), O. leucostictus (0.01)</t>
  </si>
  <si>
    <t>T6J07</t>
  </si>
  <si>
    <t>O. urolepis (0.97), O. leucostictus (0.03)</t>
  </si>
  <si>
    <t>T7A01</t>
  </si>
  <si>
    <t>O. urolepis (0.97), O. leucostictus (0.02)</t>
  </si>
  <si>
    <t>T7A06</t>
  </si>
  <si>
    <t>O. urolepis (0.34), O. niloticus (0.64)</t>
  </si>
  <si>
    <t>T7A07</t>
  </si>
  <si>
    <t>O. urolepis (0.92), O. niloticus (0.08)</t>
  </si>
  <si>
    <t>T7A08</t>
  </si>
  <si>
    <t>O. urolepis (0.94), O. leucostictus (0.06)</t>
  </si>
  <si>
    <t>ERR13333449</t>
  </si>
  <si>
    <t>T7A09</t>
  </si>
  <si>
    <t>O. urolepis (0.96), O. leucostictus (0.04)</t>
  </si>
  <si>
    <t>ERR7224520</t>
  </si>
  <si>
    <t>T7A1</t>
  </si>
  <si>
    <t>ERR13333454</t>
  </si>
  <si>
    <t>O. urolepis (0.96), O. leucostictus (0.03)</t>
  </si>
  <si>
    <t>ERR7224572</t>
  </si>
  <si>
    <t>T7A2</t>
  </si>
  <si>
    <t>ERR7224546</t>
  </si>
  <si>
    <t>T7A6</t>
  </si>
  <si>
    <t>ERR7224521</t>
  </si>
  <si>
    <t>T7A7</t>
  </si>
  <si>
    <t>ERR13333451</t>
  </si>
  <si>
    <t>T7B10</t>
  </si>
  <si>
    <t>ERR7224563</t>
  </si>
  <si>
    <t>T7B2</t>
  </si>
  <si>
    <t>O. urolepis (0.27), O. niloticus (0.16), O. leucostictus (0.52)</t>
  </si>
  <si>
    <t>ERR13333650</t>
  </si>
  <si>
    <t>T7C2</t>
  </si>
  <si>
    <t>ERR13333651</t>
  </si>
  <si>
    <t>T7C3</t>
  </si>
  <si>
    <t>ERR7224516</t>
  </si>
  <si>
    <t>T7E1</t>
  </si>
  <si>
    <t>ERR7224517</t>
  </si>
  <si>
    <t>T7E2</t>
  </si>
  <si>
    <t>ERR7224518</t>
  </si>
  <si>
    <t>T7E4</t>
  </si>
  <si>
    <t>O. urolepis (0.54), O. leucostictus (0.43)</t>
  </si>
  <si>
    <t>O. urolepis (0.49), O. leucostictus (0.48)</t>
  </si>
  <si>
    <t>O. urolepis (0.14), O. leucostictus (0.81)</t>
  </si>
  <si>
    <t>ERR7224570</t>
  </si>
  <si>
    <t>T7E8</t>
  </si>
  <si>
    <t>ERR7224544</t>
  </si>
  <si>
    <t>T7F1</t>
  </si>
  <si>
    <t>ERR7224519</t>
  </si>
  <si>
    <t>T7F2</t>
  </si>
  <si>
    <t>O. urolepis (0.99), O. leucostictus (0.00)</t>
  </si>
  <si>
    <t>O. urolepis (0.32), O. niloticus (0.66)</t>
  </si>
  <si>
    <t>O. urolepis (0.30), O. niloticus (0.67)</t>
  </si>
  <si>
    <t>ERR13333333</t>
  </si>
  <si>
    <t>T9A1</t>
  </si>
  <si>
    <t>ERR13333341</t>
  </si>
  <si>
    <t>T9A10</t>
  </si>
  <si>
    <t>ERR13333348</t>
  </si>
  <si>
    <t>T9A3</t>
  </si>
  <si>
    <t>ERR13333355</t>
  </si>
  <si>
    <t>T9A4</t>
  </si>
  <si>
    <t>ERR13333367</t>
  </si>
  <si>
    <t>T9A6</t>
  </si>
  <si>
    <t>ERR13333334</t>
  </si>
  <si>
    <t>T9A9</t>
  </si>
  <si>
    <t>ERR13333349</t>
  </si>
  <si>
    <t>T9B1</t>
  </si>
  <si>
    <t>ERR13333356</t>
  </si>
  <si>
    <t>T9B2</t>
  </si>
  <si>
    <t>ERR13333364</t>
  </si>
  <si>
    <t>T9B3</t>
  </si>
  <si>
    <t>ERR13333335</t>
  </si>
  <si>
    <t>T9B7</t>
  </si>
  <si>
    <t>ERR13333342</t>
  </si>
  <si>
    <t>T9B8</t>
  </si>
  <si>
    <t>ERR13333336</t>
  </si>
  <si>
    <t>T9C5</t>
  </si>
  <si>
    <t>ERR13333343</t>
  </si>
  <si>
    <t>T9C6</t>
  </si>
  <si>
    <t>ERR13333353</t>
  </si>
  <si>
    <t>T9I9</t>
  </si>
  <si>
    <t>ERR13333339</t>
  </si>
  <si>
    <t>T9J5</t>
  </si>
  <si>
    <t>ERR13333354</t>
  </si>
  <si>
    <t>T9J7</t>
  </si>
  <si>
    <t>Percentage of copies</t>
  </si>
  <si>
    <t>GenBank</t>
  </si>
  <si>
    <t>Oreochromis sp. 'gift strain'</t>
  </si>
  <si>
    <t>Oreochromis sp. 'mtera'</t>
  </si>
  <si>
    <t>accession</t>
  </si>
  <si>
    <t>phylum</t>
  </si>
  <si>
    <t>class</t>
  </si>
  <si>
    <t>order</t>
  </si>
  <si>
    <t>family</t>
  </si>
  <si>
    <t>species</t>
  </si>
  <si>
    <t>primerEfficiency</t>
  </si>
  <si>
    <t>probeEfficiency</t>
  </si>
  <si>
    <t>ampliconLength</t>
  </si>
  <si>
    <t>Chordata</t>
  </si>
  <si>
    <t>Actinopteri</t>
  </si>
  <si>
    <t>Cichliformes</t>
  </si>
  <si>
    <t>Cichlidae</t>
  </si>
  <si>
    <t>MK029350</t>
  </si>
  <si>
    <t>Atheriniformes</t>
  </si>
  <si>
    <t>Atherinidae</t>
  </si>
  <si>
    <t>Craterocephalus stramineus</t>
  </si>
  <si>
    <t>AP006805</t>
  </si>
  <si>
    <t>Synbranchiformes</t>
  </si>
  <si>
    <t>Mastacembelidae</t>
  </si>
  <si>
    <t>Mastacembelus erythrotaenia</t>
  </si>
  <si>
    <t>KJ556976</t>
  </si>
  <si>
    <t>Carangiformes</t>
  </si>
  <si>
    <t>Carangidae</t>
  </si>
  <si>
    <t>Trachinotus carolinus</t>
  </si>
  <si>
    <t>EU043377</t>
  </si>
  <si>
    <t>Perciformes</t>
  </si>
  <si>
    <t>Serranidae</t>
  </si>
  <si>
    <t>Epinephelus akaara</t>
  </si>
  <si>
    <t>KY132101</t>
  </si>
  <si>
    <t>Epinephelus akaara x Epinephelus lanceolatus</t>
  </si>
  <si>
    <t>MN337034</t>
  </si>
  <si>
    <t>Epinephelus akaara x Epinephelus tukula</t>
  </si>
  <si>
    <t>AB282843</t>
  </si>
  <si>
    <t>Lophiiformes</t>
  </si>
  <si>
    <t>Oneirodidae</t>
  </si>
  <si>
    <t>Oneirodes thompsoni</t>
  </si>
  <si>
    <t>OP056886</t>
  </si>
  <si>
    <t>Trachinotus falcatus</t>
  </si>
  <si>
    <t>OR582719</t>
  </si>
  <si>
    <t>Lampriformes</t>
  </si>
  <si>
    <t>Lophotidae</t>
  </si>
  <si>
    <t>Lophotus capellei</t>
  </si>
  <si>
    <t>AP012971</t>
  </si>
  <si>
    <t>KC593378</t>
  </si>
  <si>
    <t>Cephalopholis sonnerati</t>
  </si>
  <si>
    <t>AF391400</t>
  </si>
  <si>
    <t>Gobiiformes</t>
  </si>
  <si>
    <t>Gobiidae</t>
  </si>
  <si>
    <t>Nemateleotris magnifica</t>
  </si>
  <si>
    <t>MT199210</t>
  </si>
  <si>
    <t>LC545417</t>
  </si>
  <si>
    <t>Epinephelus aeneus</t>
  </si>
  <si>
    <t>MW560467</t>
  </si>
  <si>
    <t>Cephalopholis leopardus</t>
  </si>
  <si>
    <t>PV670485</t>
  </si>
  <si>
    <t>Triglidae</t>
  </si>
  <si>
    <t>Prionotus roseus</t>
  </si>
  <si>
    <t>OR231239</t>
  </si>
  <si>
    <t>Pleuronectiformes</t>
  </si>
  <si>
    <t>Psettodidae</t>
  </si>
  <si>
    <t>Psettodes belcheri</t>
  </si>
  <si>
    <t>KC554065</t>
  </si>
  <si>
    <t>Rhombosoleidae</t>
  </si>
  <si>
    <t>Pelotretis flavilatus</t>
  </si>
  <si>
    <t>AP018134</t>
  </si>
  <si>
    <t>Craterocephalus eyresii</t>
  </si>
  <si>
    <t>AB282839</t>
  </si>
  <si>
    <t>Himantolophidae</t>
  </si>
  <si>
    <t>Himantolophus albinares</t>
  </si>
  <si>
    <t>AB282854</t>
  </si>
  <si>
    <t>Linophrynidae</t>
  </si>
  <si>
    <t>Linophryne bicornis</t>
  </si>
  <si>
    <t>JF911710</t>
  </si>
  <si>
    <t>Mugiliformes</t>
  </si>
  <si>
    <t>Mugilidae</t>
  </si>
  <si>
    <t>Mugil curema</t>
  </si>
  <si>
    <t>KP033452</t>
  </si>
  <si>
    <t>Pomacanthidae</t>
  </si>
  <si>
    <t>Chaetodontoplus conspicillatus</t>
  </si>
  <si>
    <t>PP818748</t>
  </si>
  <si>
    <t>Pomacentridae</t>
  </si>
  <si>
    <t>Dascyllus reticulatus</t>
  </si>
  <si>
    <t>AP014592</t>
  </si>
  <si>
    <t>Citharidae</t>
  </si>
  <si>
    <t>Lepidoblepharon ophthalmolepis</t>
  </si>
  <si>
    <t>AP017437</t>
  </si>
  <si>
    <t>Grammistes sexlineatus</t>
  </si>
  <si>
    <t>AP012510</t>
  </si>
  <si>
    <t>Scombriformes</t>
  </si>
  <si>
    <t>Scombridae</t>
  </si>
  <si>
    <t>Gymnosarda unicolor</t>
  </si>
  <si>
    <t>MT810460</t>
  </si>
  <si>
    <t>Pogonoperca punctata</t>
  </si>
  <si>
    <t>OP882630</t>
  </si>
  <si>
    <t>Craterocephalus fluviatilis</t>
  </si>
  <si>
    <t>PP316125</t>
  </si>
  <si>
    <t>Chaetodontoplus melanosoma</t>
  </si>
  <si>
    <t>PP467619</t>
  </si>
  <si>
    <t>Cypriniformes</t>
  </si>
  <si>
    <t>Leuciscidae</t>
  </si>
  <si>
    <t>Notropis buccula</t>
  </si>
  <si>
    <t>ON260847</t>
  </si>
  <si>
    <t>Cyclopteridae</t>
  </si>
  <si>
    <t>Cyclopterus lumpus</t>
  </si>
  <si>
    <t>MH123893</t>
  </si>
  <si>
    <t>FJ472837</t>
  </si>
  <si>
    <t>Epinephelus lanceolatus</t>
  </si>
  <si>
    <t>HQ660062</t>
  </si>
  <si>
    <t>PP180015</t>
  </si>
  <si>
    <t>Epinephelus lanceolatus x (Epinehelus moara x Epinephelus lanceolatus)</t>
  </si>
  <si>
    <t>MH123894</t>
  </si>
  <si>
    <t>Epinephelus moara x Epinephelus lanceolatus</t>
  </si>
  <si>
    <t>KC527593</t>
  </si>
  <si>
    <t>Epinephelus stictus</t>
  </si>
  <si>
    <t>LC859309</t>
  </si>
  <si>
    <t>Luciogobius sp.</t>
  </si>
  <si>
    <t>OP056931</t>
  </si>
  <si>
    <t>Polynemidae</t>
  </si>
  <si>
    <t>Polydactylus virginicus</t>
  </si>
  <si>
    <t>ON556619</t>
  </si>
  <si>
    <t>Dascyllus trimaculatus</t>
  </si>
  <si>
    <t>AP019346</t>
  </si>
  <si>
    <t>Gobiodon micropus</t>
  </si>
  <si>
    <t>KR349364</t>
  </si>
  <si>
    <t>Bramidae</t>
  </si>
  <si>
    <t>Taractes rubescens</t>
  </si>
  <si>
    <t>AP004204</t>
  </si>
  <si>
    <t>Aulopiformes</t>
  </si>
  <si>
    <t>Bathysauridae</t>
  </si>
  <si>
    <t>Bathysaurus ferox</t>
  </si>
  <si>
    <t>KC959953</t>
  </si>
  <si>
    <t>Epinephelus sexfasciatus</t>
  </si>
  <si>
    <t>MK118167</t>
  </si>
  <si>
    <t>Oneirodes bradburyae</t>
  </si>
  <si>
    <t>KP874185</t>
  </si>
  <si>
    <t>Lutjaniformes</t>
  </si>
  <si>
    <t>Lutjanidae</t>
  </si>
  <si>
    <t>Caesio cuning</t>
  </si>
  <si>
    <t>PP316124</t>
  </si>
  <si>
    <t>Chaetodontoplus meredithi</t>
  </si>
  <si>
    <t>AP006007</t>
  </si>
  <si>
    <t>Chaetodontoplus septentrionalis</t>
  </si>
  <si>
    <t>JQ518289</t>
  </si>
  <si>
    <t>Epinephelus bruneus</t>
  </si>
  <si>
    <t>FJ594964</t>
  </si>
  <si>
    <t>JQ518290</t>
  </si>
  <si>
    <t>Epinephelus moara</t>
  </si>
  <si>
    <t>OR979471</t>
  </si>
  <si>
    <t>Epinephelus moara x (Epinephelus moara x Epinephelus lanceolatus)</t>
  </si>
  <si>
    <t>KX147236</t>
  </si>
  <si>
    <t>KU881800</t>
  </si>
  <si>
    <t>MH748091</t>
  </si>
  <si>
    <t>Epinephelus moara x Epinephelus tukula</t>
  </si>
  <si>
    <t>KU981051</t>
  </si>
  <si>
    <t>Epinephelus moara x Hyporthodus septemfasciatus</t>
  </si>
  <si>
    <t>KC790539</t>
  </si>
  <si>
    <t>Epinephelus quoyans</t>
  </si>
  <si>
    <t>AP004420</t>
  </si>
  <si>
    <t>Hypoatherina tsurugae</t>
  </si>
  <si>
    <t>OR546229</t>
  </si>
  <si>
    <t>Centrarchiformes</t>
  </si>
  <si>
    <t>Cirrhitidae</t>
  </si>
  <si>
    <t>Amblycirrhitus pinos</t>
  </si>
  <si>
    <t>MH517023</t>
  </si>
  <si>
    <t>Chaetodontoplus poliourus</t>
  </si>
  <si>
    <t>OM370929</t>
  </si>
  <si>
    <t>Epinephelus amblycephalus</t>
  </si>
  <si>
    <t>AP005991</t>
  </si>
  <si>
    <t>Epinephelus merra</t>
  </si>
  <si>
    <t>KC593372</t>
  </si>
  <si>
    <t>Epinephelus trimaculatus</t>
  </si>
  <si>
    <t>JN184061</t>
  </si>
  <si>
    <t>Chondrichthyes</t>
  </si>
  <si>
    <t>Myliobatiformes</t>
  </si>
  <si>
    <t>Hexatrygonidae</t>
  </si>
  <si>
    <t>Hexatrygon bickelli</t>
  </si>
  <si>
    <t>MW047075</t>
  </si>
  <si>
    <t>Himantolophus groenlandicus</t>
  </si>
  <si>
    <t>OP057078</t>
  </si>
  <si>
    <t>Himantolophus sagamius</t>
  </si>
  <si>
    <t>KP013102</t>
  </si>
  <si>
    <t>Labriformes</t>
  </si>
  <si>
    <t>Labridae</t>
  </si>
  <si>
    <t>Macropharyngodon negrosensis</t>
  </si>
  <si>
    <t>AF391399</t>
  </si>
  <si>
    <t>KF481951</t>
  </si>
  <si>
    <t>Osteoglossiformes</t>
  </si>
  <si>
    <t>Osteoglossidae</t>
  </si>
  <si>
    <t>Osteoglossum ferreirai</t>
  </si>
  <si>
    <t>OP056927</t>
  </si>
  <si>
    <t>Rypticus subbifrenatus</t>
  </si>
  <si>
    <t>HQ536776</t>
  </si>
  <si>
    <t>Cryptocentrus lutheri</t>
  </si>
  <si>
    <t>OP326280</t>
  </si>
  <si>
    <t>Stomiiformes</t>
  </si>
  <si>
    <t>Stomiidae</t>
  </si>
  <si>
    <t>Malacosteus niger</t>
  </si>
  <si>
    <t>PQ359444</t>
  </si>
  <si>
    <t>Acanthuriformes</t>
  </si>
  <si>
    <t>Acanthuridae</t>
  </si>
  <si>
    <t>Acanthurus coeruleus</t>
  </si>
  <si>
    <t>OP035153</t>
  </si>
  <si>
    <t>MH823675</t>
  </si>
  <si>
    <t>Lamniformes</t>
  </si>
  <si>
    <t>Odontaspididae</t>
  </si>
  <si>
    <t>Carcharias taurus</t>
  </si>
  <si>
    <t>AY722271</t>
  </si>
  <si>
    <t>Eleotridae</t>
  </si>
  <si>
    <t>Eleotris picta</t>
  </si>
  <si>
    <t>KP072053</t>
  </si>
  <si>
    <t>Epinephelus corallicola</t>
  </si>
  <si>
    <t>PV555488</t>
  </si>
  <si>
    <t>KC480085</t>
  </si>
  <si>
    <t>Epinephelus fasciatomaculosus</t>
  </si>
  <si>
    <t>PP032973</t>
  </si>
  <si>
    <t>Epinephelus morio</t>
  </si>
  <si>
    <t>OR575599</t>
  </si>
  <si>
    <t>OP210315</t>
  </si>
  <si>
    <t>Epinephelus undulosus</t>
  </si>
  <si>
    <t>AP009307</t>
  </si>
  <si>
    <t>Leucaspius delineatus</t>
  </si>
  <si>
    <t>AF391419</t>
  </si>
  <si>
    <t>Microdesmus bahianus</t>
  </si>
  <si>
    <t>OP035253</t>
  </si>
  <si>
    <t>Naso lituratus</t>
  </si>
  <si>
    <t>MT702386</t>
  </si>
  <si>
    <t>Odontaspis ferox</t>
  </si>
  <si>
    <t>PP033000</t>
  </si>
  <si>
    <t>Prionotus nudigula</t>
  </si>
  <si>
    <t>KU255082</t>
  </si>
  <si>
    <t>Gasterosteidae</t>
  </si>
  <si>
    <t>Pungitius tymensis</t>
  </si>
  <si>
    <t>OP035204</t>
  </si>
  <si>
    <t>Pseudojuloides cerasinus</t>
  </si>
  <si>
    <t>AP004108</t>
  </si>
  <si>
    <t>Osmeriformes</t>
  </si>
  <si>
    <t>Retropinnidae</t>
  </si>
  <si>
    <t>Retropinna retropinna</t>
  </si>
  <si>
    <t>PV077897</t>
  </si>
  <si>
    <t>Eleutheronema rhadinum</t>
  </si>
  <si>
    <t>KC878730</t>
  </si>
  <si>
    <t>Eleutheronema tetradactylum</t>
  </si>
  <si>
    <t>MW496123</t>
  </si>
  <si>
    <t>Lepidosauria</t>
  </si>
  <si>
    <t>Squamata</t>
  </si>
  <si>
    <t>Lacertidae</t>
  </si>
  <si>
    <t>Acanthodactylus guineensis</t>
  </si>
  <si>
    <t>MT232658</t>
  </si>
  <si>
    <t>Nototheniidae</t>
  </si>
  <si>
    <t>Aethotaxis mitopteryx</t>
  </si>
  <si>
    <t>AF391426</t>
  </si>
  <si>
    <t>Bathygobius curacao</t>
  </si>
  <si>
    <t>OP057043</t>
  </si>
  <si>
    <t>Caranx caballus</t>
  </si>
  <si>
    <t>PV185773</t>
  </si>
  <si>
    <t>Caranx crysos</t>
  </si>
  <si>
    <t>MW435597</t>
  </si>
  <si>
    <t>PV742880</t>
  </si>
  <si>
    <t>Malacanthidae</t>
  </si>
  <si>
    <t>Caulolatilus cyanops</t>
  </si>
  <si>
    <t>AP004417</t>
  </si>
  <si>
    <t>Caulophrynidae</t>
  </si>
  <si>
    <t>Caulophryne jordani</t>
  </si>
  <si>
    <t>MZ411547</t>
  </si>
  <si>
    <t>Cephalopholis urodeta</t>
  </si>
  <si>
    <t>KU891818</t>
  </si>
  <si>
    <t>AP010881</t>
  </si>
  <si>
    <t>Beryciformes</t>
  </si>
  <si>
    <t>Cetomimidae</t>
  </si>
  <si>
    <t>Cetomimus sp. AMS I34481001</t>
  </si>
  <si>
    <t>MZ964309</t>
  </si>
  <si>
    <t>Sinipercidae</t>
  </si>
  <si>
    <t>Coreoperca liui</t>
  </si>
  <si>
    <t>KJ149811</t>
  </si>
  <si>
    <t>Coreoperca whiteheadi</t>
  </si>
  <si>
    <t>OP882629</t>
  </si>
  <si>
    <t>Craterocephalus amniculus</t>
  </si>
  <si>
    <t>OP035083</t>
  </si>
  <si>
    <t>Dascyllus albisella</t>
  </si>
  <si>
    <t>JX109835</t>
  </si>
  <si>
    <t>Epinephelus awoara</t>
  </si>
  <si>
    <t>MN879323</t>
  </si>
  <si>
    <t>Epinephelus awoara x Epinephelus tukula</t>
  </si>
  <si>
    <t>MW752082</t>
  </si>
  <si>
    <t>Epinephelus coioides</t>
  </si>
  <si>
    <t>OP056827</t>
  </si>
  <si>
    <t>Epinephelus itajara</t>
  </si>
  <si>
    <t>AP004208</t>
  </si>
  <si>
    <t>Evermannellidae</t>
  </si>
  <si>
    <t>Evermannella indica</t>
  </si>
  <si>
    <t>PV370335</t>
  </si>
  <si>
    <t>Tetraodontiformes</t>
  </si>
  <si>
    <t>Triacanthodidae</t>
  </si>
  <si>
    <t>Hollardia hollardi</t>
  </si>
  <si>
    <t>AB282837</t>
  </si>
  <si>
    <t>Neoceratiidae</t>
  </si>
  <si>
    <t>Neoceratias spinifer</t>
  </si>
  <si>
    <t>PV329697</t>
  </si>
  <si>
    <t>Ophidiiformes</t>
  </si>
  <si>
    <t>Bythitidae</t>
  </si>
  <si>
    <t>Ogilbia jeffwilliamsi</t>
  </si>
  <si>
    <t>AB043025</t>
  </si>
  <si>
    <t>Osteoglossum bicirrhosum</t>
  </si>
  <si>
    <t>KJ174514</t>
  </si>
  <si>
    <t>Platycaranx malabaricus</t>
  </si>
  <si>
    <t>LC549803</t>
  </si>
  <si>
    <t>Pterocaesio digramma</t>
  </si>
  <si>
    <t>OP056951</t>
  </si>
  <si>
    <t>Rypticus bistrispinus</t>
  </si>
  <si>
    <t>KJ194275</t>
  </si>
  <si>
    <t>Synodontidae</t>
  </si>
  <si>
    <t>Saurida microlepis</t>
  </si>
  <si>
    <t>KU057952</t>
  </si>
  <si>
    <t>Orectolobiformes</t>
  </si>
  <si>
    <t>Stegostomatidae</t>
  </si>
  <si>
    <t>Stegostoma tigrinum</t>
  </si>
  <si>
    <t>KC593370</t>
  </si>
  <si>
    <t>Variola albimarginata</t>
  </si>
  <si>
    <t>MH988066</t>
  </si>
  <si>
    <t>Amphibia</t>
  </si>
  <si>
    <t>Anura</t>
  </si>
  <si>
    <t>Centrolenidae</t>
  </si>
  <si>
    <t>Vitreorana eurygnatha</t>
  </si>
  <si>
    <t>PV704604</t>
  </si>
  <si>
    <t>Zeiformes</t>
  </si>
  <si>
    <t>Zenionidae</t>
  </si>
  <si>
    <t>Zenion sp.</t>
  </si>
  <si>
    <t>PV704603</t>
  </si>
  <si>
    <t>ON116347</t>
  </si>
  <si>
    <t>Zeidae</t>
  </si>
  <si>
    <t>Zeus faber</t>
  </si>
  <si>
    <t>PP033004</t>
  </si>
  <si>
    <t>Rypticus randalli</t>
  </si>
  <si>
    <t>AF234900</t>
  </si>
  <si>
    <t>Haemulidae</t>
  </si>
  <si>
    <t>Haemulon plumierii</t>
  </si>
  <si>
    <t>HQ536744</t>
  </si>
  <si>
    <t>Cryptocentrus sp. A (Myers, 1999)</t>
  </si>
  <si>
    <t>MT506030</t>
  </si>
  <si>
    <t>Synanceiidae</t>
  </si>
  <si>
    <t>Inimicus japonicus</t>
  </si>
  <si>
    <t>OR668918</t>
  </si>
  <si>
    <t>Alepes kleinii</t>
  </si>
  <si>
    <t>OP035314</t>
  </si>
  <si>
    <t>Naso unicornis</t>
  </si>
  <si>
    <t>OR030804</t>
  </si>
  <si>
    <t>Lobotiformes</t>
  </si>
  <si>
    <t>Hapalogenyidae</t>
  </si>
  <si>
    <t>Hapalogenys kishinouyei</t>
  </si>
  <si>
    <t>OP056968</t>
  </si>
  <si>
    <t>Rypticus saponaceus</t>
  </si>
  <si>
    <t>KP973960</t>
  </si>
  <si>
    <t>Centropyge flavissima</t>
  </si>
  <si>
    <t>MF001440</t>
  </si>
  <si>
    <t>Centropyge vrolikii</t>
  </si>
  <si>
    <t>AP017434</t>
  </si>
  <si>
    <t>Priacanthiformes</t>
  </si>
  <si>
    <t>Cepolidae (in: ray-finned fishes)</t>
  </si>
  <si>
    <t>Acanthocepola krusensternii</t>
  </si>
  <si>
    <t>OP035278</t>
  </si>
  <si>
    <t>Acanthurus bahianus</t>
  </si>
  <si>
    <t>OP056937</t>
  </si>
  <si>
    <t>Acanthurus chirurgus</t>
  </si>
  <si>
    <t>OP035275</t>
  </si>
  <si>
    <t>Acanthurus triostegus</t>
  </si>
  <si>
    <t>AP004211</t>
  </si>
  <si>
    <t>Alepisauridae</t>
  </si>
  <si>
    <t>Alepisaurus ferox</t>
  </si>
  <si>
    <t>OP035279</t>
  </si>
  <si>
    <t>OL628871</t>
  </si>
  <si>
    <t>KF020876</t>
  </si>
  <si>
    <t>Alopiidae</t>
  </si>
  <si>
    <t>Alopias pelagicus</t>
  </si>
  <si>
    <t>AY081882</t>
  </si>
  <si>
    <t>Arapaima gigas</t>
  </si>
  <si>
    <t>KJ200625</t>
  </si>
  <si>
    <t>Arapaima sp. 'Guyana arapaima'</t>
  </si>
  <si>
    <t>KJ159903</t>
  </si>
  <si>
    <t>Arapaima sp. E1</t>
  </si>
  <si>
    <t>AP012237</t>
  </si>
  <si>
    <t>Myctophiformes</t>
  </si>
  <si>
    <t>Myctophidae</t>
  </si>
  <si>
    <t>Centrobranchus choerocephalus</t>
  </si>
  <si>
    <t>KP013100</t>
  </si>
  <si>
    <t>Centropyge bispinosa</t>
  </si>
  <si>
    <t>KT001113</t>
  </si>
  <si>
    <t>Centropyge eibli</t>
  </si>
  <si>
    <t>KT275257</t>
  </si>
  <si>
    <t>KU365899</t>
  </si>
  <si>
    <t>Centropyge interrupta</t>
  </si>
  <si>
    <t>PP316128</t>
  </si>
  <si>
    <t>Centropyge multispinis</t>
  </si>
  <si>
    <t>KR870993</t>
  </si>
  <si>
    <t>Centropyge nox</t>
  </si>
  <si>
    <t>KT001112</t>
  </si>
  <si>
    <t>Centropyge woodheadi</t>
  </si>
  <si>
    <t>OP057110</t>
  </si>
  <si>
    <t>Chaetodontiformes</t>
  </si>
  <si>
    <t>Chaetodontidae</t>
  </si>
  <si>
    <t>Chaetodon ocellatus</t>
  </si>
  <si>
    <t>PP316126</t>
  </si>
  <si>
    <t>Chaetodontoplus duboulayi</t>
  </si>
  <si>
    <t>OR499745</t>
  </si>
  <si>
    <t>Chlorophthalmidae</t>
  </si>
  <si>
    <t>Chlorophthalmus sp. AC-2023</t>
  </si>
  <si>
    <t>PV276246</t>
  </si>
  <si>
    <t>Priacanthidae</t>
  </si>
  <si>
    <t>Cookeolus japonicus</t>
  </si>
  <si>
    <t>AP012311</t>
  </si>
  <si>
    <t>Syngnathiformes</t>
  </si>
  <si>
    <t>Dactylopteridae</t>
  </si>
  <si>
    <t>Dactyloptena orientalis</t>
  </si>
  <si>
    <t>MT627202</t>
  </si>
  <si>
    <t>Aromobatidae</t>
  </si>
  <si>
    <t>Dryadobates olfersioides</t>
  </si>
  <si>
    <t>KR872887</t>
  </si>
  <si>
    <t>Epinephelus chlorostigma</t>
  </si>
  <si>
    <t>OR552046</t>
  </si>
  <si>
    <t>Percidae</t>
  </si>
  <si>
    <t>Etheostoma stigmaeum</t>
  </si>
  <si>
    <t>KJ082038</t>
  </si>
  <si>
    <t>Eugnathogobius oligactis</t>
  </si>
  <si>
    <t>AP012946</t>
  </si>
  <si>
    <t>Euthynnus affinis</t>
  </si>
  <si>
    <t>OP057037</t>
  </si>
  <si>
    <t>Euthynnus lineatus</t>
  </si>
  <si>
    <t>MZ042267</t>
  </si>
  <si>
    <t>Heteropriacanthus cruentatus</t>
  </si>
  <si>
    <t>LC647029</t>
  </si>
  <si>
    <t>Megachasmidae</t>
  </si>
  <si>
    <t>Megachasma pelagios</t>
  </si>
  <si>
    <t>PV624604</t>
  </si>
  <si>
    <t>Notropis anogenus</t>
  </si>
  <si>
    <t>OR552086</t>
  </si>
  <si>
    <t>Notropis nubilus</t>
  </si>
  <si>
    <t>PV329703</t>
  </si>
  <si>
    <t>Odontaspis noronhai</t>
  </si>
  <si>
    <t>OK583894</t>
  </si>
  <si>
    <t>Oregonichthys crameri</t>
  </si>
  <si>
    <t>OK583905</t>
  </si>
  <si>
    <t>Oregonichthys kalawatseti</t>
  </si>
  <si>
    <t>AP006816</t>
  </si>
  <si>
    <t>Uranoscopiformes</t>
  </si>
  <si>
    <t>Pinguipedidae</t>
  </si>
  <si>
    <t>Parapercis sexfasciata</t>
  </si>
  <si>
    <t>AB355918</t>
  </si>
  <si>
    <t>Polydactylus plebeius</t>
  </si>
  <si>
    <t>OP035082</t>
  </si>
  <si>
    <t>Pomacanthus semicirculatus</t>
  </si>
  <si>
    <t>MN703417</t>
  </si>
  <si>
    <t>Prionurus biafraensis</t>
  </si>
  <si>
    <t>MW232482</t>
  </si>
  <si>
    <t>Danionidae</t>
  </si>
  <si>
    <t>Rasbora trilineata</t>
  </si>
  <si>
    <t>KX421785</t>
  </si>
  <si>
    <t>Retropinna semoni</t>
  </si>
  <si>
    <t>AB120717</t>
  </si>
  <si>
    <t>Scomber scombrus</t>
  </si>
  <si>
    <t>LC006297</t>
  </si>
  <si>
    <t>Scombropidae</t>
  </si>
  <si>
    <t>Scombrops boops</t>
  </si>
  <si>
    <t>LC055190</t>
  </si>
  <si>
    <t>Scombrops gilberti</t>
  </si>
  <si>
    <t>LC208773</t>
  </si>
  <si>
    <t>Scombrops sp. SI-2017</t>
  </si>
  <si>
    <t>AP004201</t>
  </si>
  <si>
    <t>Notosudidae</t>
  </si>
  <si>
    <t>Scopelosaurus hoedti</t>
  </si>
  <si>
    <t>OR896915</t>
  </si>
  <si>
    <t>Anthiadidae</t>
  </si>
  <si>
    <t>Selenanthias analis</t>
  </si>
  <si>
    <t>AP012249</t>
  </si>
  <si>
    <t>Neoscopelidae</t>
  </si>
  <si>
    <t>Solivomer arenidens</t>
  </si>
  <si>
    <t>KX929088</t>
  </si>
  <si>
    <t>Terapontidae</t>
  </si>
  <si>
    <t>Terapon jarbua</t>
  </si>
  <si>
    <t>AP006024</t>
  </si>
  <si>
    <t>Trachinidae</t>
  </si>
  <si>
    <t>Trachinus draco</t>
  </si>
  <si>
    <t>OR499749</t>
  </si>
  <si>
    <t>Turrum fulvoguttatum</t>
  </si>
  <si>
    <t>KC593369</t>
  </si>
  <si>
    <t>Variola louti</t>
  </si>
  <si>
    <t>OP805601</t>
  </si>
  <si>
    <t>Neolamprologus kungweensis</t>
  </si>
  <si>
    <t>OR482572</t>
  </si>
  <si>
    <t>Cottidae</t>
  </si>
  <si>
    <t>Triglops pingelii</t>
  </si>
  <si>
    <t>PP032963</t>
  </si>
  <si>
    <t>Conodon nobilis</t>
  </si>
  <si>
    <t>JF911705</t>
  </si>
  <si>
    <t>Chaenomugil proboscideus</t>
  </si>
  <si>
    <t>PV710545</t>
  </si>
  <si>
    <t>Decodon puellaris</t>
  </si>
  <si>
    <t>AB370892</t>
  </si>
  <si>
    <t>Beloniformes</t>
  </si>
  <si>
    <t>Hemiramphidae</t>
  </si>
  <si>
    <t>Hyporhamphus sajori</t>
  </si>
  <si>
    <t>AB915406</t>
  </si>
  <si>
    <t>Boulengerochromis microlepis</t>
  </si>
  <si>
    <t>OP611422</t>
  </si>
  <si>
    <t>Pseudanthias pascalus</t>
  </si>
  <si>
    <t>OR209333</t>
  </si>
  <si>
    <t>Pseudanthias tuka</t>
  </si>
  <si>
    <t>AP004432</t>
  </si>
  <si>
    <t>Holocentriformes</t>
  </si>
  <si>
    <t>Holocentridae</t>
  </si>
  <si>
    <t>Sargocentron rubrum</t>
  </si>
  <si>
    <t>AB915408</t>
  </si>
  <si>
    <t>Cyprichromis leptosoma</t>
  </si>
  <si>
    <t>OR482545</t>
  </si>
  <si>
    <t>Triglops scepticus</t>
  </si>
  <si>
    <t>OP035290</t>
  </si>
  <si>
    <t>Calotomus carolinus</t>
  </si>
  <si>
    <t>MW732165</t>
  </si>
  <si>
    <t>Cottocomephorus grewingki</t>
  </si>
  <si>
    <t>MW732163</t>
  </si>
  <si>
    <t>Cottocomephorus inermis</t>
  </si>
  <si>
    <t>EF521344</t>
  </si>
  <si>
    <t>Hemilepidotus hemilepidotus</t>
  </si>
  <si>
    <t>OR582691</t>
  </si>
  <si>
    <t>Agonidae</t>
  </si>
  <si>
    <t>Bothragonus swanii</t>
  </si>
  <si>
    <t>OL806587</t>
  </si>
  <si>
    <t>Embiotocidae</t>
  </si>
  <si>
    <t>Embiotoca lateralis</t>
  </si>
  <si>
    <t>AP011062</t>
  </si>
  <si>
    <t>Kyphosidae</t>
  </si>
  <si>
    <t>Labracoglossa argenteiventris</t>
  </si>
  <si>
    <t>MK391749</t>
  </si>
  <si>
    <t>Ostraciidae</t>
  </si>
  <si>
    <t>Lactoria fornasini</t>
  </si>
  <si>
    <t>PV742869</t>
  </si>
  <si>
    <t>Caulolatilus microps</t>
  </si>
  <si>
    <t>PV742845</t>
  </si>
  <si>
    <t>AP002944</t>
  </si>
  <si>
    <t>Gasterosteus aculeatus</t>
  </si>
  <si>
    <t>PP764783</t>
  </si>
  <si>
    <t>Gasterosteus nipponicus</t>
  </si>
  <si>
    <t>JF894132</t>
  </si>
  <si>
    <t>Sarotherodon melanotheron</t>
  </si>
  <si>
    <t>AP006787</t>
  </si>
  <si>
    <t>Ereuniidae</t>
  </si>
  <si>
    <t>Marukawichthys ambulator</t>
  </si>
  <si>
    <t>OR521034</t>
  </si>
  <si>
    <t>Toxotidae</t>
  </si>
  <si>
    <t>Toxotes jaculatrix</t>
  </si>
  <si>
    <t>OR582690</t>
  </si>
  <si>
    <t>Zaproridae</t>
  </si>
  <si>
    <t>Zaprora silenus</t>
  </si>
  <si>
    <t>AP004418</t>
  </si>
  <si>
    <t>Melanocetidae</t>
  </si>
  <si>
    <t>Melanocetus murrayi</t>
  </si>
  <si>
    <t>KY563344</t>
  </si>
  <si>
    <t>Cottus volki</t>
  </si>
  <si>
    <t>OP271693</t>
  </si>
  <si>
    <t>Anabantiformes</t>
  </si>
  <si>
    <t>Channidae</t>
  </si>
  <si>
    <t>Channa pulchra</t>
  </si>
  <si>
    <t>MH367497</t>
  </si>
  <si>
    <t>Eleotris klunzingerii</t>
  </si>
  <si>
    <t>OP056956</t>
  </si>
  <si>
    <t>Haemulon carbonarium</t>
  </si>
  <si>
    <t>OR499733</t>
  </si>
  <si>
    <t>Psychrolutidae</t>
  </si>
  <si>
    <t>Psychrolutes paradoxus</t>
  </si>
  <si>
    <t>OP056928</t>
  </si>
  <si>
    <t>Haemulon macrostomum</t>
  </si>
  <si>
    <t>AP004428</t>
  </si>
  <si>
    <t>Trachichthyiformes</t>
  </si>
  <si>
    <t>Anomalopidae</t>
  </si>
  <si>
    <t>Anomalops katoptron</t>
  </si>
  <si>
    <t>AP011365</t>
  </si>
  <si>
    <t>Cyprinidae</t>
  </si>
  <si>
    <t>Thynnichthys thynnoides</t>
  </si>
  <si>
    <t>MW376910</t>
  </si>
  <si>
    <t>Siganidae</t>
  </si>
  <si>
    <t>Siganus rivulatus</t>
  </si>
  <si>
    <t>PP032960</t>
  </si>
  <si>
    <t>Ephippiformes</t>
  </si>
  <si>
    <t>Ephippidae</t>
  </si>
  <si>
    <t>Chaetodipterus faber</t>
  </si>
  <si>
    <t>PV170569</t>
  </si>
  <si>
    <t>Etelis coruscans</t>
  </si>
  <si>
    <t>PV170563</t>
  </si>
  <si>
    <t>OR482472</t>
  </si>
  <si>
    <t>Etelis oculatus</t>
  </si>
  <si>
    <t>OP035109</t>
  </si>
  <si>
    <t>Myripristis amaena</t>
  </si>
  <si>
    <t>LC093396</t>
  </si>
  <si>
    <t>Zoarcidae</t>
  </si>
  <si>
    <t>Lycodes ygreknotatus</t>
  </si>
  <si>
    <t>OR482550</t>
  </si>
  <si>
    <t>Triglops forficatus</t>
  </si>
  <si>
    <t>OR482575</t>
  </si>
  <si>
    <t>Triglops macellus</t>
  </si>
  <si>
    <t>LC493907</t>
  </si>
  <si>
    <t>Triglops murrayi</t>
  </si>
  <si>
    <t>ON959145</t>
  </si>
  <si>
    <t>Zoarces gillii</t>
  </si>
  <si>
    <t>AF234894</t>
  </si>
  <si>
    <t>AF234898</t>
  </si>
  <si>
    <t>AF234897</t>
  </si>
  <si>
    <t>KT277287</t>
  </si>
  <si>
    <t>Alticorpus geoffreyi</t>
  </si>
  <si>
    <t>KT943516</t>
  </si>
  <si>
    <t>Aulonocara stuartgranti</t>
  </si>
  <si>
    <t>KX631426</t>
  </si>
  <si>
    <t>Buccochromis nototaenia</t>
  </si>
  <si>
    <t>JN252050</t>
  </si>
  <si>
    <t>Cheilochromis euchilus</t>
  </si>
  <si>
    <t>MF033353</t>
  </si>
  <si>
    <t>Chilotilapia rhoadesii</t>
  </si>
  <si>
    <t>OQ558013</t>
  </si>
  <si>
    <t>Copadichromis borleyi</t>
  </si>
  <si>
    <t>KX196155</t>
  </si>
  <si>
    <t>Copadichromis mloto</t>
  </si>
  <si>
    <t>KX272653</t>
  </si>
  <si>
    <t>Copadichromis quadrimaculatus</t>
  </si>
  <si>
    <t>MF033352</t>
  </si>
  <si>
    <t>Copadichromis trimaculatus</t>
  </si>
  <si>
    <t>KU144677</t>
  </si>
  <si>
    <t>Copadichromis virginalis</t>
  </si>
  <si>
    <t>MF033354</t>
  </si>
  <si>
    <t>Cyathochromis obliquidens</t>
  </si>
  <si>
    <t>JN628861</t>
  </si>
  <si>
    <t>Cynotilapia afra</t>
  </si>
  <si>
    <t>JN628856</t>
  </si>
  <si>
    <t>Dimidiochromis compressiceps</t>
  </si>
  <si>
    <t>KX346235</t>
  </si>
  <si>
    <t>Dimidiochromis strigatus</t>
  </si>
  <si>
    <t>JN628851</t>
  </si>
  <si>
    <t>Diplotaxodon limnothrissa</t>
  </si>
  <si>
    <t>KT290557</t>
  </si>
  <si>
    <t>Fossorochromis rostratus</t>
  </si>
  <si>
    <t>JN628858</t>
  </si>
  <si>
    <t>Genyochromis mento</t>
  </si>
  <si>
    <t>AB915413</t>
  </si>
  <si>
    <t>Haplochromis burtoni</t>
  </si>
  <si>
    <t>KX594381</t>
  </si>
  <si>
    <t>Hemitilapia oxyrhynchus</t>
  </si>
  <si>
    <t>AB915410</t>
  </si>
  <si>
    <t>Labidochromis caeruleus</t>
  </si>
  <si>
    <t>KX595334</t>
  </si>
  <si>
    <t>Lethrinops lethrinus</t>
  </si>
  <si>
    <t>KT221043</t>
  </si>
  <si>
    <t>Maylandia zebra</t>
  </si>
  <si>
    <t>KU056478</t>
  </si>
  <si>
    <t>Mylochromis lateristriga</t>
  </si>
  <si>
    <t>JN628853</t>
  </si>
  <si>
    <t>Nimbochromis linni</t>
  </si>
  <si>
    <t>JN628852</t>
  </si>
  <si>
    <t>Petrotilapia nigra</t>
  </si>
  <si>
    <t>KT715810</t>
  </si>
  <si>
    <t>Placidochromis longimanus</t>
  </si>
  <si>
    <t>KT188786</t>
  </si>
  <si>
    <t>Protomelas annectens</t>
  </si>
  <si>
    <t>JN628854</t>
  </si>
  <si>
    <t>Pseudotropheus crabro</t>
  </si>
  <si>
    <t>JN628860</t>
  </si>
  <si>
    <t>Rhamphochromis esox</t>
  </si>
  <si>
    <t>AB915409</t>
  </si>
  <si>
    <t>Rhamphochromis sp. LMw</t>
  </si>
  <si>
    <t>KX595333</t>
  </si>
  <si>
    <t>Serranochromis robustus</t>
  </si>
  <si>
    <t>JN628850</t>
  </si>
  <si>
    <t>Trematocranus placodon</t>
  </si>
  <si>
    <t>KR527219</t>
  </si>
  <si>
    <t>Osphronemidae</t>
  </si>
  <si>
    <t>Betta splendens</t>
  </si>
  <si>
    <t>AP009209</t>
  </si>
  <si>
    <t>Balistidae</t>
  </si>
  <si>
    <t>Pseudobalistes flavimarginatus</t>
  </si>
  <si>
    <t>KX156764</t>
  </si>
  <si>
    <t>Hemilepidotus gilberti</t>
  </si>
  <si>
    <t>OP035113</t>
  </si>
  <si>
    <t>Atherinomorus insularum</t>
  </si>
  <si>
    <t>OP035261</t>
  </si>
  <si>
    <t>Acanthocybium solandri</t>
  </si>
  <si>
    <t>OL628870</t>
  </si>
  <si>
    <t>MW232429</t>
  </si>
  <si>
    <t>Katsuwonus pelamis</t>
  </si>
  <si>
    <t>KM605252</t>
  </si>
  <si>
    <t>MG851912</t>
  </si>
  <si>
    <t>Hyporhamphus quoyi</t>
  </si>
  <si>
    <t>AB915412</t>
  </si>
  <si>
    <t>Haplochromis pyrrhocephalus</t>
  </si>
  <si>
    <t>KT222896</t>
  </si>
  <si>
    <t>Pundamilia nyererei</t>
  </si>
  <si>
    <t>KX266758</t>
  </si>
  <si>
    <t>Dimidiochromis kiwinge</t>
  </si>
  <si>
    <t>AF234899</t>
  </si>
  <si>
    <t>OQ862831</t>
  </si>
  <si>
    <t>Lamprologus teugelsi</t>
  </si>
  <si>
    <t>AP006015</t>
  </si>
  <si>
    <t>Tropheus duboisi</t>
  </si>
  <si>
    <t>OR482571</t>
  </si>
  <si>
    <t>OP056941</t>
  </si>
  <si>
    <t>Haemulon flavolineatum</t>
  </si>
  <si>
    <t>MK170262</t>
  </si>
  <si>
    <t>Myaka myaka</t>
  </si>
  <si>
    <t>MK170261</t>
  </si>
  <si>
    <t>Pungu maclareni</t>
  </si>
  <si>
    <t>MK170260</t>
  </si>
  <si>
    <t>Sarotherodon linnellii</t>
  </si>
  <si>
    <t>MK170264</t>
  </si>
  <si>
    <t>Sarotherodon lohbergeri</t>
  </si>
  <si>
    <t>MK170265</t>
  </si>
  <si>
    <t>Stomatepia pindu</t>
  </si>
  <si>
    <t>AP009183</t>
  </si>
  <si>
    <t>Monacanthidae</t>
  </si>
  <si>
    <t>Aluterus scriptus</t>
  </si>
  <si>
    <t>OR482497</t>
  </si>
  <si>
    <t>Caranx hippos</t>
  </si>
  <si>
    <t>MT023107</t>
  </si>
  <si>
    <t>Gerreiformes</t>
  </si>
  <si>
    <t>Gerreidae</t>
  </si>
  <si>
    <t>Gerres decacanthus</t>
  </si>
  <si>
    <t>OR482495</t>
  </si>
  <si>
    <t>Nomeidae</t>
  </si>
  <si>
    <t>Psenes maculatus</t>
  </si>
  <si>
    <t>AP006009</t>
  </si>
  <si>
    <t>Microcanthus strigatus</t>
  </si>
  <si>
    <t>OP404118</t>
  </si>
  <si>
    <t>Istiophoriformes</t>
  </si>
  <si>
    <t>Istiophoridae</t>
  </si>
  <si>
    <t>Istiophorus platypterus</t>
  </si>
  <si>
    <t>MW292561</t>
  </si>
  <si>
    <t>Betta smaragdina</t>
  </si>
  <si>
    <t>AY722293</t>
  </si>
  <si>
    <t>Gobiomorphus hubbsi</t>
  </si>
  <si>
    <t>AY722295</t>
  </si>
  <si>
    <t>MH538877</t>
  </si>
  <si>
    <t>Atherinopsidae</t>
  </si>
  <si>
    <t>Menidia menidia</t>
  </si>
  <si>
    <t>MH538891</t>
  </si>
  <si>
    <t>MH538752</t>
  </si>
  <si>
    <t>MH538749</t>
  </si>
  <si>
    <t>MH538733</t>
  </si>
  <si>
    <t>MH538792</t>
  </si>
  <si>
    <t>HQ536732</t>
  </si>
  <si>
    <t>Oplopomus oplopomus</t>
  </si>
  <si>
    <t>OP057104</t>
  </si>
  <si>
    <t>Ogilbia cayorum</t>
  </si>
  <si>
    <t>KJ513134</t>
  </si>
  <si>
    <t>Soleidae</t>
  </si>
  <si>
    <t>Brachirus orientalis</t>
  </si>
  <si>
    <t>AB915411</t>
  </si>
  <si>
    <t>OQ076695</t>
  </si>
  <si>
    <t>Lamprologus ornatipinnis</t>
  </si>
  <si>
    <t>MZ427900</t>
  </si>
  <si>
    <t>Lamprologus signatus</t>
  </si>
  <si>
    <t>AP006014</t>
  </si>
  <si>
    <t>Neolamprologus brichardi</t>
  </si>
  <si>
    <t>OR726654</t>
  </si>
  <si>
    <t>Chaetodon vagabundus</t>
  </si>
  <si>
    <t>KF039715</t>
  </si>
  <si>
    <t>Enophrys diceraus</t>
  </si>
  <si>
    <t>OR552099</t>
  </si>
  <si>
    <t>Etheostoma euzonum</t>
  </si>
  <si>
    <t>KP793919</t>
  </si>
  <si>
    <t>Planiliza macrolepis</t>
  </si>
  <si>
    <t>LC377784</t>
  </si>
  <si>
    <t>Tactostoma macropus</t>
  </si>
  <si>
    <t>OP057047</t>
  </si>
  <si>
    <t>Idiacanthus fasciola</t>
  </si>
  <si>
    <t>AP012514</t>
  </si>
  <si>
    <t>Tetragonuridae</t>
  </si>
  <si>
    <t>Tetragonurus cuvieri</t>
  </si>
  <si>
    <t>OR482451</t>
  </si>
  <si>
    <t>MW689259</t>
  </si>
  <si>
    <t>Toxotes chatareus</t>
  </si>
  <si>
    <t>GU937112</t>
  </si>
  <si>
    <t>Channa argus</t>
  </si>
  <si>
    <t>JX978725</t>
  </si>
  <si>
    <t>Channa argus x Channa maculata</t>
  </si>
  <si>
    <t>KC823607</t>
  </si>
  <si>
    <t>KC310861</t>
  </si>
  <si>
    <t>Channa maculata</t>
  </si>
  <si>
    <t>JX978724</t>
  </si>
  <si>
    <t>PV720026</t>
  </si>
  <si>
    <t>Seriola rivoliana</t>
  </si>
  <si>
    <t>OP930817</t>
  </si>
  <si>
    <t>Neolamprologus leleupi</t>
  </si>
  <si>
    <t>KX151656</t>
  </si>
  <si>
    <t>Ptychidio jordani</t>
  </si>
  <si>
    <t>KJ620837</t>
  </si>
  <si>
    <t>AP002940</t>
  </si>
  <si>
    <t>Myripristis berndti</t>
  </si>
  <si>
    <t>OP035317</t>
  </si>
  <si>
    <t>Myripristis kuntee</t>
  </si>
  <si>
    <t>OR148895</t>
  </si>
  <si>
    <t>Myripristis murdjan</t>
  </si>
  <si>
    <t>OP805600</t>
  </si>
  <si>
    <t>Lamprologus stappersi</t>
  </si>
  <si>
    <t>OP930818</t>
  </si>
  <si>
    <t>Neolamprologus brevis</t>
  </si>
  <si>
    <t>AP009505</t>
  </si>
  <si>
    <t>Pseudetroplus maculatus</t>
  </si>
  <si>
    <t>KM350211</t>
  </si>
  <si>
    <t>Sillaginidae</t>
  </si>
  <si>
    <t>Sillago asiatica</t>
  </si>
  <si>
    <t>OP057004</t>
  </si>
  <si>
    <t>Sciaenidae</t>
  </si>
  <si>
    <t>Pogonias cromis</t>
  </si>
  <si>
    <t>OP354258</t>
  </si>
  <si>
    <t>Gempylidae</t>
  </si>
  <si>
    <t>Neoepinnula orientalis</t>
  </si>
  <si>
    <t>PP059113</t>
  </si>
  <si>
    <t>Leiopotherapon unicolor</t>
  </si>
  <si>
    <t>OP882653</t>
  </si>
  <si>
    <t>OP035247</t>
  </si>
  <si>
    <t>Melichthys niger</t>
  </si>
  <si>
    <t>AP009208</t>
  </si>
  <si>
    <t>Odonus niger</t>
  </si>
  <si>
    <t>OR546182</t>
  </si>
  <si>
    <t>Paralichthyidae</t>
  </si>
  <si>
    <t>Ancylopsetta ommata</t>
  </si>
  <si>
    <t>OP056909</t>
  </si>
  <si>
    <t>Anisotremus surinamensis</t>
  </si>
  <si>
    <t>PP032952</t>
  </si>
  <si>
    <t>AB282842</t>
  </si>
  <si>
    <t>Diceratiidae</t>
  </si>
  <si>
    <t>Diceratias pileatus</t>
  </si>
  <si>
    <t>KP939271</t>
  </si>
  <si>
    <t>Lutjanus erythropterus</t>
  </si>
  <si>
    <t>OP035081</t>
  </si>
  <si>
    <t>Lutjanus gibbus</t>
  </si>
  <si>
    <t>PV742859</t>
  </si>
  <si>
    <t>Pareques iwamotoi</t>
  </si>
  <si>
    <t>MW856874</t>
  </si>
  <si>
    <t>Etheostoma osburni</t>
  </si>
  <si>
    <t>KC133862</t>
  </si>
  <si>
    <t>Melanotaeniidae</t>
  </si>
  <si>
    <t>Melanotaenia batanta</t>
  </si>
  <si>
    <t>KC133866</t>
  </si>
  <si>
    <t>Melanotaenia fredericki</t>
  </si>
  <si>
    <t>KC133867</t>
  </si>
  <si>
    <t>Melanotaenia irianjaya</t>
  </si>
  <si>
    <t>KC133788</t>
  </si>
  <si>
    <t>Melanotaenia maccullochi</t>
  </si>
  <si>
    <t>KC133789</t>
  </si>
  <si>
    <t>KC133870</t>
  </si>
  <si>
    <t>Melanotaenia misoolensis</t>
  </si>
  <si>
    <t>KC133869</t>
  </si>
  <si>
    <t>KC133793</t>
  </si>
  <si>
    <t>Melanotaenia sexlineata</t>
  </si>
  <si>
    <t>OR786469</t>
  </si>
  <si>
    <t>Macrognathus aculeatus</t>
  </si>
  <si>
    <t>OR286605</t>
  </si>
  <si>
    <t>Lamprologus lethops</t>
  </si>
  <si>
    <t>OQ818000</t>
  </si>
  <si>
    <t>Lamprologus markerti</t>
  </si>
  <si>
    <t>OQ862832</t>
  </si>
  <si>
    <t>Lamprologus tigripictilis</t>
  </si>
  <si>
    <t>HQ536746</t>
  </si>
  <si>
    <t>Amblyeleotris gymnocephala</t>
  </si>
  <si>
    <t>KY014104</t>
  </si>
  <si>
    <t>Cyprinodontiformes</t>
  </si>
  <si>
    <t>Goodeidae</t>
  </si>
  <si>
    <t>Crenichthys baileyi</t>
  </si>
  <si>
    <t>GU187233</t>
  </si>
  <si>
    <t>Ctenogobiops tongaensis</t>
  </si>
  <si>
    <t>HQ536738</t>
  </si>
  <si>
    <t>GU187237</t>
  </si>
  <si>
    <t>HQ536725</t>
  </si>
  <si>
    <t>MH822303</t>
  </si>
  <si>
    <t>Botiidae</t>
  </si>
  <si>
    <t>Parabotia bimaculata</t>
  </si>
  <si>
    <t>PX023272</t>
  </si>
  <si>
    <t>Ptychidio longibarbus</t>
  </si>
  <si>
    <t>MK288030</t>
  </si>
  <si>
    <t>Rhinogobius cliffordpopei</t>
  </si>
  <si>
    <t>OP056910</t>
  </si>
  <si>
    <t>Brachygenys chrysargyrea</t>
  </si>
  <si>
    <t>MN792799</t>
  </si>
  <si>
    <t>Etheostoma trisella</t>
  </si>
  <si>
    <t>KC133850</t>
  </si>
  <si>
    <t>Glossolepis kabia</t>
  </si>
  <si>
    <t>ON921056</t>
  </si>
  <si>
    <t>Oreochromis grahami</t>
  </si>
  <si>
    <t>MK239310</t>
  </si>
  <si>
    <t>Percichthyidae</t>
  </si>
  <si>
    <t>Percilia gillissi</t>
  </si>
  <si>
    <t>AP006792</t>
  </si>
  <si>
    <t>Percilia irwini</t>
  </si>
  <si>
    <t>MN251863</t>
  </si>
  <si>
    <t>Pseudotolithus elongatus</t>
  </si>
  <si>
    <t>AB517558</t>
  </si>
  <si>
    <t>Seriola dumerili</t>
  </si>
  <si>
    <t>OP035283</t>
  </si>
  <si>
    <t>Sufflamen bursa</t>
  </si>
  <si>
    <t>OR582689</t>
  </si>
  <si>
    <t>Artedius fenestralis</t>
  </si>
  <si>
    <t>OP056990</t>
  </si>
  <si>
    <t>Membras martinica</t>
  </si>
  <si>
    <t>OR148900</t>
  </si>
  <si>
    <t>Sargocentron melanospilos</t>
  </si>
  <si>
    <t>MW194078</t>
  </si>
  <si>
    <t>Sarotherodon galilaeus</t>
  </si>
  <si>
    <t>MN617828</t>
  </si>
  <si>
    <t>Favonigobius reichei</t>
  </si>
  <si>
    <t>AP012500</t>
  </si>
  <si>
    <t>Chiasmodontidae</t>
  </si>
  <si>
    <t>Kali indica</t>
  </si>
  <si>
    <t>ON831391</t>
  </si>
  <si>
    <t>Kali macrodon</t>
  </si>
  <si>
    <t>ON831393</t>
  </si>
  <si>
    <t>Kali normani</t>
  </si>
  <si>
    <t>AP012508</t>
  </si>
  <si>
    <t>Trichiuridae</t>
  </si>
  <si>
    <t>Assurger anzac</t>
  </si>
  <si>
    <t>KT380951</t>
  </si>
  <si>
    <t>Melanotaenia boesemani</t>
  </si>
  <si>
    <t>KC133815</t>
  </si>
  <si>
    <t>Melanotaenia lacustris</t>
  </si>
  <si>
    <t>KC133817</t>
  </si>
  <si>
    <t>Melanotaenia monticola</t>
  </si>
  <si>
    <t>HM447240</t>
  </si>
  <si>
    <t>Miichthys miiuy</t>
  </si>
  <si>
    <t>OP056888</t>
  </si>
  <si>
    <t>Dormitator maculatus</t>
  </si>
  <si>
    <t>AY722281</t>
  </si>
  <si>
    <t>OP056898</t>
  </si>
  <si>
    <t>Sargocentron bullisi</t>
  </si>
  <si>
    <t>PV720040</t>
  </si>
  <si>
    <t>Mullidae</t>
  </si>
  <si>
    <t>Upeneus parvus</t>
  </si>
  <si>
    <t>OR095168</t>
  </si>
  <si>
    <t>Blenniiformes</t>
  </si>
  <si>
    <t>Tripterygiidae</t>
  </si>
  <si>
    <t>Enneapterygius hsiojenae</t>
  </si>
  <si>
    <t>MF927495</t>
  </si>
  <si>
    <t>Hemieleotris latifasciata</t>
  </si>
  <si>
    <t>JN678726</t>
  </si>
  <si>
    <t>Collichthys niveatus</t>
  </si>
  <si>
    <t>MK170263</t>
  </si>
  <si>
    <t>Konia dikume</t>
  </si>
  <si>
    <t>OQ862829</t>
  </si>
  <si>
    <t>Lamprologus mocquardi</t>
  </si>
  <si>
    <t>OQ862833</t>
  </si>
  <si>
    <t>Lamprologus tumbanus</t>
  </si>
  <si>
    <t>PV710556</t>
  </si>
  <si>
    <t>Centriscidae</t>
  </si>
  <si>
    <t>Macroramphosus scolopax</t>
  </si>
  <si>
    <t>OQ862828</t>
  </si>
  <si>
    <t>Lamprologus congoensis</t>
  </si>
  <si>
    <t>OQ862835</t>
  </si>
  <si>
    <t>Lamprologus werneri</t>
  </si>
  <si>
    <t>KJ872545</t>
  </si>
  <si>
    <t>Siganus canaliculatus</t>
  </si>
  <si>
    <t>EF025185</t>
  </si>
  <si>
    <t>Siganus fuscescens</t>
  </si>
  <si>
    <t>AP009509</t>
  </si>
  <si>
    <t>Tylochromis polylepis</t>
  </si>
  <si>
    <t>MF804538</t>
  </si>
  <si>
    <t>Channa lucius</t>
  </si>
  <si>
    <t>HQ536713</t>
  </si>
  <si>
    <t>Amblyeleotris steinitzi</t>
  </si>
  <si>
    <t>PV170591</t>
  </si>
  <si>
    <t>Etelis carbunculus</t>
  </si>
  <si>
    <t>PV170590</t>
  </si>
  <si>
    <t>AP009187</t>
  </si>
  <si>
    <t>Lactoria diaphana</t>
  </si>
  <si>
    <t>AP012519</t>
  </si>
  <si>
    <t>Lepidocybium flavobrunneum</t>
  </si>
  <si>
    <t>OP035316</t>
  </si>
  <si>
    <t>KC133787</t>
  </si>
  <si>
    <t>KC133800</t>
  </si>
  <si>
    <t>Melanotaenia nigrans</t>
  </si>
  <si>
    <t>OR499735</t>
  </si>
  <si>
    <t>Podothecus accipenserinus</t>
  </si>
  <si>
    <t>LC707238</t>
  </si>
  <si>
    <t>Spariformes</t>
  </si>
  <si>
    <t>Sparidae</t>
  </si>
  <si>
    <t>Acanthopagrus pacificus</t>
  </si>
  <si>
    <t>AP005990</t>
  </si>
  <si>
    <t>Coreoperca kawamebari</t>
  </si>
  <si>
    <t>MZ547135</t>
  </si>
  <si>
    <t>Girellidae</t>
  </si>
  <si>
    <t>Girella punctata</t>
  </si>
  <si>
    <t>MT561534</t>
  </si>
  <si>
    <t>Hapalogenys analis</t>
  </si>
  <si>
    <t>EF521357</t>
  </si>
  <si>
    <t>Leiocottus hirundo</t>
  </si>
  <si>
    <t>MG677546</t>
  </si>
  <si>
    <t>Siganus sutor</t>
  </si>
  <si>
    <t>OP035089</t>
  </si>
  <si>
    <t>Abudefduf sordidus</t>
  </si>
  <si>
    <t>KX129904</t>
  </si>
  <si>
    <t>Channa micropeltes</t>
  </si>
  <si>
    <t>AB282841</t>
  </si>
  <si>
    <t>Bufoceratias thele</t>
  </si>
  <si>
    <t>MN604078</t>
  </si>
  <si>
    <t>Lactariidae</t>
  </si>
  <si>
    <t>Lactarius lactarius</t>
  </si>
  <si>
    <t>PV185776</t>
  </si>
  <si>
    <t>Seriolina nigrofasciata</t>
  </si>
  <si>
    <t>PP059111</t>
  </si>
  <si>
    <t>Thorichthys meeki</t>
  </si>
  <si>
    <t>LC493937</t>
  </si>
  <si>
    <t>Liparidae</t>
  </si>
  <si>
    <t>Liparis tanakae</t>
  </si>
  <si>
    <t>LC493941</t>
  </si>
  <si>
    <t>Liparis tessellatus</t>
  </si>
  <si>
    <t>AP006827</t>
  </si>
  <si>
    <t>Luvaridae</t>
  </si>
  <si>
    <t>Luvarus imperialis</t>
  </si>
  <si>
    <t>KY065936</t>
  </si>
  <si>
    <t>Syngnathidae</t>
  </si>
  <si>
    <t>Maroubra perserrata</t>
  </si>
  <si>
    <t>MK936041</t>
  </si>
  <si>
    <t>Megalocottus platycephalus</t>
  </si>
  <si>
    <t>OP057017</t>
  </si>
  <si>
    <t>Xyrichtys martinicensis</t>
  </si>
  <si>
    <t>PV434816</t>
  </si>
  <si>
    <t>Bullisichthys caribbaeus</t>
  </si>
  <si>
    <t>MW856906</t>
  </si>
  <si>
    <t>Etheostoma variatum</t>
  </si>
  <si>
    <t>AP002938</t>
  </si>
  <si>
    <t>Trachichthyidae</t>
  </si>
  <si>
    <t>Hoplostethus japonicus</t>
  </si>
  <si>
    <t>MT410903</t>
  </si>
  <si>
    <t>Stichaeidae</t>
  </si>
  <si>
    <t>Leptoclinus maculatus</t>
  </si>
  <si>
    <t>OR482565</t>
  </si>
  <si>
    <t>Lumpenus sagitta</t>
  </si>
  <si>
    <t>KU529305</t>
  </si>
  <si>
    <t>Melanotaenia australis</t>
  </si>
  <si>
    <t>KC133818</t>
  </si>
  <si>
    <t>Melanotaenia mubiensis</t>
  </si>
  <si>
    <t>KC133799</t>
  </si>
  <si>
    <t>KC133791</t>
  </si>
  <si>
    <t>Melanotaenia papuae</t>
  </si>
  <si>
    <t>KP715149</t>
  </si>
  <si>
    <t>Melanotaenia parkinsoni</t>
  </si>
  <si>
    <t>KC133780</t>
  </si>
  <si>
    <t>Melanotaenia rubrostriatus</t>
  </si>
  <si>
    <t>KC133792</t>
  </si>
  <si>
    <t>KC133796</t>
  </si>
  <si>
    <t>Melanotaenia sp. NT</t>
  </si>
  <si>
    <t>KP013093</t>
  </si>
  <si>
    <t>Melanotaenia splendida</t>
  </si>
  <si>
    <t>KC133782</t>
  </si>
  <si>
    <t>OR263620</t>
  </si>
  <si>
    <t>ON843633</t>
  </si>
  <si>
    <t>Chaetodon auriga</t>
  </si>
  <si>
    <t>PV339947</t>
  </si>
  <si>
    <t>Lycenchelys verrillii</t>
  </si>
  <si>
    <t>OP035076</t>
  </si>
  <si>
    <t>Sargocentron punctatissimum</t>
  </si>
  <si>
    <t>OR148901</t>
  </si>
  <si>
    <t>EF521352</t>
  </si>
  <si>
    <t>Artedius notospilotus</t>
  </si>
  <si>
    <t>AP009204</t>
  </si>
  <si>
    <t>Balistes vetula</t>
  </si>
  <si>
    <t>GU187229</t>
  </si>
  <si>
    <t>Ctenogobiops formosa</t>
  </si>
  <si>
    <t>KY014102</t>
  </si>
  <si>
    <t>Empetrichthys latos</t>
  </si>
  <si>
    <t>KF976395</t>
  </si>
  <si>
    <t>Gymnodiptychus pachycheilus</t>
  </si>
  <si>
    <t>OP035078</t>
  </si>
  <si>
    <t>Lactophrys trigonus</t>
  </si>
  <si>
    <t>MT712150</t>
  </si>
  <si>
    <t>Lactoria cornuta</t>
  </si>
  <si>
    <t>OP056955</t>
  </si>
  <si>
    <t>Myripristis jacobus</t>
  </si>
  <si>
    <t>OP930816</t>
  </si>
  <si>
    <t>Neolamprologus caudopunctatus</t>
  </si>
  <si>
    <t>KY012741</t>
  </si>
  <si>
    <t>Ptychobarbus chungtienensis</t>
  </si>
  <si>
    <t>KT215537</t>
  </si>
  <si>
    <t>Ptychobarbus kaznakovi</t>
  </si>
  <si>
    <t>KT316292</t>
  </si>
  <si>
    <t>AP006811</t>
  </si>
  <si>
    <t>Rhynchopelates oxyrhynchus</t>
  </si>
  <si>
    <t>MN229747</t>
  </si>
  <si>
    <t>Semilabeo obscurus</t>
  </si>
  <si>
    <t>OP057014</t>
  </si>
  <si>
    <t>Lactophrys bicaudalis</t>
  </si>
  <si>
    <t>AP002946</t>
  </si>
  <si>
    <t>Mastacembelus favus</t>
  </si>
  <si>
    <t>JF911707</t>
  </si>
  <si>
    <t>Moolgarda crenilabis</t>
  </si>
  <si>
    <t>AP012003</t>
  </si>
  <si>
    <t>Siluriformes</t>
  </si>
  <si>
    <t>Ariidae</t>
  </si>
  <si>
    <t>Ariopsis seemanni</t>
  </si>
  <si>
    <t>AP018133</t>
  </si>
  <si>
    <t>Atherinosoma microstoma</t>
  </si>
  <si>
    <t>AP002939</t>
  </si>
  <si>
    <t>Berycidae</t>
  </si>
  <si>
    <t>Beryx splendens</t>
  </si>
  <si>
    <t>KT724723</t>
  </si>
  <si>
    <t>Lutjanus guttatus</t>
  </si>
  <si>
    <t>EU332750</t>
  </si>
  <si>
    <t>Alpinocottus poecilopus</t>
  </si>
  <si>
    <t>MK784212</t>
  </si>
  <si>
    <t>Nothobranchiidae</t>
  </si>
  <si>
    <t>Aphyosemion coeleste</t>
  </si>
  <si>
    <t>OR482553</t>
  </si>
  <si>
    <t>Artediellus pacificus</t>
  </si>
  <si>
    <t>JF911704</t>
  </si>
  <si>
    <t>Cestraeus oxyrhyncus</t>
  </si>
  <si>
    <t>OR726653</t>
  </si>
  <si>
    <t>Chaetodon melannotus</t>
  </si>
  <si>
    <t>OP035313</t>
  </si>
  <si>
    <t>Chaetodon unimaculatus</t>
  </si>
  <si>
    <t>KC133825</t>
  </si>
  <si>
    <t>Chilatherina lorentzii</t>
  </si>
  <si>
    <t>PP050481</t>
  </si>
  <si>
    <t>Chrysiptera brownriggii</t>
  </si>
  <si>
    <t>OR601299</t>
  </si>
  <si>
    <t>Cichla piquiti</t>
  </si>
  <si>
    <t>OR601301</t>
  </si>
  <si>
    <t>Cichla temensis</t>
  </si>
  <si>
    <t>PV696079</t>
  </si>
  <si>
    <t>Datnioididae</t>
  </si>
  <si>
    <t>Datnioides polota</t>
  </si>
  <si>
    <t>PV720029</t>
  </si>
  <si>
    <t>Echeneidae</t>
  </si>
  <si>
    <t>Echeneis naucrates</t>
  </si>
  <si>
    <t>OP882634</t>
  </si>
  <si>
    <t>Gadopsis marmoratus</t>
  </si>
  <si>
    <t>AP006018</t>
  </si>
  <si>
    <t>Halichoeres melanurus</t>
  </si>
  <si>
    <t>OP035150</t>
  </si>
  <si>
    <t>Halichoeres ornatissimus</t>
  </si>
  <si>
    <t>MN614148</t>
  </si>
  <si>
    <t>Hemigymnus melapterus</t>
  </si>
  <si>
    <t>JF911708</t>
  </si>
  <si>
    <t>Joturus pichardi</t>
  </si>
  <si>
    <t>AP012525</t>
  </si>
  <si>
    <t>Luciocyprinus striolatus</t>
  </si>
  <si>
    <t>OP035162</t>
  </si>
  <si>
    <t>Lutjanus apodus</t>
  </si>
  <si>
    <t>JN182927</t>
  </si>
  <si>
    <t>Lutjanus argentimaculatus</t>
  </si>
  <si>
    <t>MN398650</t>
  </si>
  <si>
    <t>Lutjanus fulgens</t>
  </si>
  <si>
    <t>OP056950</t>
  </si>
  <si>
    <t>Lutjanus jocu</t>
  </si>
  <si>
    <t>OP056926</t>
  </si>
  <si>
    <t>Malacanthus plumieri</t>
  </si>
  <si>
    <t>PV339948</t>
  </si>
  <si>
    <t>Myoxocephalus aenaeus</t>
  </si>
  <si>
    <t>MT410889</t>
  </si>
  <si>
    <t>Myoxocephalus scorpius</t>
  </si>
  <si>
    <t>MK321578</t>
  </si>
  <si>
    <t>KC286046</t>
  </si>
  <si>
    <t>Nannoperca australis</t>
  </si>
  <si>
    <t>OP391482</t>
  </si>
  <si>
    <t>Niphonidae</t>
  </si>
  <si>
    <t>Niphon spinosus</t>
  </si>
  <si>
    <t>MW856847</t>
  </si>
  <si>
    <t>Nothonotus tippecanoe</t>
  </si>
  <si>
    <t>EF521355</t>
  </si>
  <si>
    <t>Oligocottus rimensis</t>
  </si>
  <si>
    <t>KF667528</t>
  </si>
  <si>
    <t>Planiliza haematocheilus</t>
  </si>
  <si>
    <t>KJ622047</t>
  </si>
  <si>
    <t>OP056897</t>
  </si>
  <si>
    <t>Pronotogrammus martinicensis</t>
  </si>
  <si>
    <t>AP004200</t>
  </si>
  <si>
    <t>Scopelarchidae</t>
  </si>
  <si>
    <t>Scopelarchoides danae</t>
  </si>
  <si>
    <t>MK158067</t>
  </si>
  <si>
    <t>Seriola quinqueradiata</t>
  </si>
  <si>
    <t>MT621233</t>
  </si>
  <si>
    <t>Stichaeus punctatus</t>
  </si>
  <si>
    <t>OM320983</t>
  </si>
  <si>
    <t>Typhlias pearsei</t>
  </si>
  <si>
    <t>KY563343</t>
  </si>
  <si>
    <t>AP009585</t>
  </si>
  <si>
    <t>Alepocephaliformes</t>
  </si>
  <si>
    <t>Alepocephalidae</t>
  </si>
  <si>
    <t>Narcetes stomias</t>
  </si>
  <si>
    <t>OP057109</t>
  </si>
  <si>
    <t>Scorpaenidae</t>
  </si>
  <si>
    <t>Scorpaena grandicornis</t>
  </si>
  <si>
    <t>MN229748</t>
  </si>
  <si>
    <t>OQ862836</t>
  </si>
  <si>
    <t>Julidochromis dickfeldi</t>
  </si>
  <si>
    <t>AB915407</t>
  </si>
  <si>
    <t>Julidochromis transcriptus</t>
  </si>
  <si>
    <t>KJ643926</t>
  </si>
  <si>
    <t>Lutjanus johnii</t>
  </si>
  <si>
    <t>KC133874</t>
  </si>
  <si>
    <t>Melanotaenia catherinae</t>
  </si>
  <si>
    <t>MT410885</t>
  </si>
  <si>
    <t>Mullus surmuletus</t>
  </si>
  <si>
    <t>MN973879</t>
  </si>
  <si>
    <t>Pseudotolithus typus</t>
  </si>
  <si>
    <t>LC597109</t>
  </si>
  <si>
    <t>Seriola lalandi</t>
  </si>
  <si>
    <t>OP056980</t>
  </si>
  <si>
    <t>Stomias affinis</t>
  </si>
  <si>
    <t>PV710305</t>
  </si>
  <si>
    <t>Baldwinella vivanus</t>
  </si>
  <si>
    <t>AY722259</t>
  </si>
  <si>
    <t>Cheimarrichthyidae</t>
  </si>
  <si>
    <t>Cheimarrichthys fosteri</t>
  </si>
  <si>
    <t>AP004442</t>
  </si>
  <si>
    <t>Cottus reinii</t>
  </si>
  <si>
    <t>PP032983</t>
  </si>
  <si>
    <t>Lutjanus analis</t>
  </si>
  <si>
    <t>MW856892</t>
  </si>
  <si>
    <t>Percina caprodes</t>
  </si>
  <si>
    <t>EF521338</t>
  </si>
  <si>
    <t>Scorpaenichthys marmoratus</t>
  </si>
  <si>
    <t>KP317810</t>
  </si>
  <si>
    <t>Scortum barcoo</t>
  </si>
  <si>
    <t>MK784227</t>
  </si>
  <si>
    <t>Aphyosemion kouamense</t>
  </si>
  <si>
    <t>AP011357</t>
  </si>
  <si>
    <t>Cirrhinus microlepis</t>
  </si>
  <si>
    <t>OR546174</t>
  </si>
  <si>
    <t>Prionotus evolans</t>
  </si>
  <si>
    <t>OR552091</t>
  </si>
  <si>
    <t>Sander vitreus</t>
  </si>
  <si>
    <t>OR974334</t>
  </si>
  <si>
    <t>Emmelichthyidae</t>
  </si>
  <si>
    <t>Erythrocles schlegelii</t>
  </si>
  <si>
    <t>KC133875</t>
  </si>
  <si>
    <t>MT345889</t>
  </si>
  <si>
    <t>Opisthocentrus ocellatus</t>
  </si>
  <si>
    <t>MT006232</t>
  </si>
  <si>
    <t>Opisthocentrus tenuis</t>
  </si>
  <si>
    <t>OR582713</t>
  </si>
  <si>
    <t>Photonectes albipennis</t>
  </si>
  <si>
    <t>MW548262</t>
  </si>
  <si>
    <t>Sinocyclocheilus angustiporus</t>
  </si>
  <si>
    <t>MW548263</t>
  </si>
  <si>
    <t>Sinocyclocheilus oxycephalus</t>
  </si>
  <si>
    <t>OL806590</t>
  </si>
  <si>
    <t>Enophrys bison</t>
  </si>
  <si>
    <t>KJ510416</t>
  </si>
  <si>
    <t>Istiompax indica</t>
  </si>
  <si>
    <t>OP404107</t>
  </si>
  <si>
    <t>AP002937</t>
  </si>
  <si>
    <t>Rondeletiidae</t>
  </si>
  <si>
    <t>Rondeletia loricata</t>
  </si>
  <si>
    <t>KU315122</t>
  </si>
  <si>
    <t>Tetrapturus belone</t>
  </si>
  <si>
    <t>KU315121</t>
  </si>
  <si>
    <t>Tetrapturus pfluegeri</t>
  </si>
  <si>
    <t>OP035200</t>
  </si>
  <si>
    <t>Zebrasoma rostratum</t>
  </si>
  <si>
    <t>OL404937</t>
  </si>
  <si>
    <t>MN122917</t>
  </si>
  <si>
    <t>MH205729</t>
  </si>
  <si>
    <t>GU187221</t>
  </si>
  <si>
    <t>Ctenogobiops crocineus</t>
  </si>
  <si>
    <t>GU187222</t>
  </si>
  <si>
    <t>Ctenogobiops maculosus</t>
  </si>
  <si>
    <t>AP004429</t>
  </si>
  <si>
    <t>Monocentridae</t>
  </si>
  <si>
    <t>Monocentris japonica</t>
  </si>
  <si>
    <t>ON736740</t>
  </si>
  <si>
    <t>Tetrarogidae</t>
  </si>
  <si>
    <t>Paracentropogon longispinis</t>
  </si>
  <si>
    <t>AP009225</t>
  </si>
  <si>
    <t>Pseudomonacanthus peroni</t>
  </si>
  <si>
    <t>MW046257</t>
  </si>
  <si>
    <t>AP018100</t>
  </si>
  <si>
    <t>Schismatogobius ampluvinculus</t>
  </si>
  <si>
    <t>AP018073</t>
  </si>
  <si>
    <t>KY563345</t>
  </si>
  <si>
    <t>Cottus amblystomopsis</t>
  </si>
  <si>
    <t>KC133827</t>
  </si>
  <si>
    <t>Glossolepis maculosus</t>
  </si>
  <si>
    <t>KC133828</t>
  </si>
  <si>
    <t>Glossolepis ramuensis</t>
  </si>
  <si>
    <t>AY722289</t>
  </si>
  <si>
    <t>Gobiomorphus breviceps</t>
  </si>
  <si>
    <t>KT833112</t>
  </si>
  <si>
    <t>OR582688</t>
  </si>
  <si>
    <t>Lycodes palearis</t>
  </si>
  <si>
    <t>KC133830</t>
  </si>
  <si>
    <t>Melanotaenia affinis</t>
  </si>
  <si>
    <t>KC133829</t>
  </si>
  <si>
    <t>KC133831</t>
  </si>
  <si>
    <t>Melanotaenia iris</t>
  </si>
  <si>
    <t>PV460842</t>
  </si>
  <si>
    <t>Ophidiidae</t>
  </si>
  <si>
    <t>Parophidion schmidti</t>
  </si>
  <si>
    <t>JX316027</t>
  </si>
  <si>
    <t>Procypris mera</t>
  </si>
  <si>
    <t>KM364676</t>
  </si>
  <si>
    <t>Schizopygopsis anteroventris</t>
  </si>
  <si>
    <t>HE961975</t>
  </si>
  <si>
    <t>Tropheus moorii</t>
  </si>
  <si>
    <t>AP017436</t>
  </si>
  <si>
    <t>Anoplopomatidae</t>
  </si>
  <si>
    <t>Erilepis zonifer</t>
  </si>
  <si>
    <t>PQ285641</t>
  </si>
  <si>
    <t>Ateleopodiformes</t>
  </si>
  <si>
    <t>Ateleopodidae</t>
  </si>
  <si>
    <t>Ijimaia loppei</t>
  </si>
  <si>
    <t>OP930815</t>
  </si>
  <si>
    <t>Lamprologus similis</t>
  </si>
  <si>
    <t>AP006828</t>
  </si>
  <si>
    <t>Sphyraenidae</t>
  </si>
  <si>
    <t>Sphyraena barracuda</t>
  </si>
  <si>
    <t>KT445895</t>
  </si>
  <si>
    <t>Sphyraena jello</t>
  </si>
  <si>
    <t>LC259004</t>
  </si>
  <si>
    <t>Gymnogobius isaza</t>
  </si>
  <si>
    <t>OR546241</t>
  </si>
  <si>
    <t>Hypoplectrus floridae</t>
  </si>
  <si>
    <t>FJ848375</t>
  </si>
  <si>
    <t>Hypoplectrus gemma</t>
  </si>
  <si>
    <t>OP056850</t>
  </si>
  <si>
    <t>Hypoplectrus nigricans</t>
  </si>
  <si>
    <t>OR546240</t>
  </si>
  <si>
    <t>Hypoplectrus puella</t>
  </si>
  <si>
    <t>OR546239</t>
  </si>
  <si>
    <t>Hypoplectrus unicolor</t>
  </si>
  <si>
    <t>OR575549</t>
  </si>
  <si>
    <t>PV704615</t>
  </si>
  <si>
    <t>Acropomatiformes</t>
  </si>
  <si>
    <t>Acropomatidae</t>
  </si>
  <si>
    <t>Parascombrops spinosus</t>
  </si>
  <si>
    <t>MK069496</t>
  </si>
  <si>
    <t>Bothrocara hollandi</t>
  </si>
  <si>
    <t>PV370329</t>
  </si>
  <si>
    <t>Centropristis striata</t>
  </si>
  <si>
    <t>MK118160</t>
  </si>
  <si>
    <t>Melanocetus johnsonii</t>
  </si>
  <si>
    <t>OL339402</t>
  </si>
  <si>
    <t>Centrarchidae</t>
  </si>
  <si>
    <t>Micropterus salmoides</t>
  </si>
  <si>
    <t>OR288162</t>
  </si>
  <si>
    <t>Alcichthys elongatus</t>
  </si>
  <si>
    <t>MT682637</t>
  </si>
  <si>
    <t>Betta mahachaiensis</t>
  </si>
  <si>
    <t>AB571120</t>
  </si>
  <si>
    <t>MK371068</t>
  </si>
  <si>
    <t>Channa gachua</t>
  </si>
  <si>
    <t>MG587040</t>
  </si>
  <si>
    <t>Chelon carinatus</t>
  </si>
  <si>
    <t>KP676936</t>
  </si>
  <si>
    <t>Chrysiptera biocellata</t>
  </si>
  <si>
    <t>OP056918</t>
  </si>
  <si>
    <t>Cryptacanthodidae</t>
  </si>
  <si>
    <t>Cryptacanthodes maculatus</t>
  </si>
  <si>
    <t>KP682335</t>
  </si>
  <si>
    <t>OP035226</t>
  </si>
  <si>
    <t>Malacanthus brevirostris</t>
  </si>
  <si>
    <t>AP006239</t>
  </si>
  <si>
    <t>Molidae</t>
  </si>
  <si>
    <t>Masturus lanceolatus</t>
  </si>
  <si>
    <t>KC133877</t>
  </si>
  <si>
    <t>Melanotaenia synergos</t>
  </si>
  <si>
    <t>KC133876</t>
  </si>
  <si>
    <t>OM494539</t>
  </si>
  <si>
    <t>Naso hexacanthus</t>
  </si>
  <si>
    <t>MT548146</t>
  </si>
  <si>
    <t>Opisthocentrus zonope</t>
  </si>
  <si>
    <t>OR487150</t>
  </si>
  <si>
    <t>Parachelon grandisquamis</t>
  </si>
  <si>
    <t>MH301079</t>
  </si>
  <si>
    <t>Perca flavescens</t>
  </si>
  <si>
    <t>OM736839</t>
  </si>
  <si>
    <t>KM925142</t>
  </si>
  <si>
    <t>Planiliza affinis</t>
  </si>
  <si>
    <t>MT906795</t>
  </si>
  <si>
    <t>Porocottus allisi</t>
  </si>
  <si>
    <t>PV170625</t>
  </si>
  <si>
    <t>Pristipomoides argyrogrammicus</t>
  </si>
  <si>
    <t>OR482531</t>
  </si>
  <si>
    <t>Radulinus boleoides</t>
  </si>
  <si>
    <t>MN853162</t>
  </si>
  <si>
    <t>OQ862837</t>
  </si>
  <si>
    <t>Telmatochromis burgeoni</t>
  </si>
  <si>
    <t>PP556339</t>
  </si>
  <si>
    <t>Zoarces viviparus</t>
  </si>
  <si>
    <t>EU095911</t>
  </si>
  <si>
    <t>Anarhichadidae</t>
  </si>
  <si>
    <t>Anarhichas lupus</t>
  </si>
  <si>
    <t>KX117939</t>
  </si>
  <si>
    <t>EU095918</t>
  </si>
  <si>
    <t>Anarhichas minor</t>
  </si>
  <si>
    <t>EU095923</t>
  </si>
  <si>
    <t>KX118008</t>
  </si>
  <si>
    <t>KX118009</t>
  </si>
  <si>
    <t>EU095933</t>
  </si>
  <si>
    <t>Anarhichas orientalis</t>
  </si>
  <si>
    <t>KP777542</t>
  </si>
  <si>
    <t>Anoplopoma fimbria</t>
  </si>
  <si>
    <t>OP238470</t>
  </si>
  <si>
    <t>Brachyistius frenatus</t>
  </si>
  <si>
    <t>OP035133</t>
  </si>
  <si>
    <t>Brotula multibarbata</t>
  </si>
  <si>
    <t>MH923335</t>
  </si>
  <si>
    <t>Etroplus suratensis</t>
  </si>
  <si>
    <t>EF017559</t>
  </si>
  <si>
    <t>Anablepidae</t>
  </si>
  <si>
    <t>Jenynsia lineata</t>
  </si>
  <si>
    <t>AF449342</t>
  </si>
  <si>
    <t>Jenynsia maculata</t>
  </si>
  <si>
    <t>OP035210</t>
  </si>
  <si>
    <t>Ostracion cubicum</t>
  </si>
  <si>
    <t>OL806588</t>
  </si>
  <si>
    <t>Phanerodon furcatus</t>
  </si>
  <si>
    <t>OR974336</t>
  </si>
  <si>
    <t>Plagiogeneion macrolepis</t>
  </si>
  <si>
    <t>KY117237</t>
  </si>
  <si>
    <t>Protonibea diacanthus</t>
  </si>
  <si>
    <t>OQ852681</t>
  </si>
  <si>
    <t>Siganus virgatus</t>
  </si>
  <si>
    <t>MH678615</t>
  </si>
  <si>
    <t>Acentrogobius caninus</t>
  </si>
  <si>
    <t>EF521346</t>
  </si>
  <si>
    <t>Artedius lateralis</t>
  </si>
  <si>
    <t>AP011982</t>
  </si>
  <si>
    <t>Characiformes</t>
  </si>
  <si>
    <t>Acestrorhamphidae</t>
  </si>
  <si>
    <t>Astyanax mexicanus</t>
  </si>
  <si>
    <t>OM974321</t>
  </si>
  <si>
    <t>Atherinomorus stipes</t>
  </si>
  <si>
    <t>EU861053</t>
  </si>
  <si>
    <t>Branchiostegus albus</t>
  </si>
  <si>
    <t>OR552039</t>
  </si>
  <si>
    <t>Centrarchus macropterus</t>
  </si>
  <si>
    <t>PQ333929</t>
  </si>
  <si>
    <t>Channichthyidae</t>
  </si>
  <si>
    <t>Channichthys panticapaei</t>
  </si>
  <si>
    <t>MN782513</t>
  </si>
  <si>
    <t>Channichthys rhinoceratus</t>
  </si>
  <si>
    <t>PP319402</t>
  </si>
  <si>
    <t>Channichthys rugosus</t>
  </si>
  <si>
    <t>PQ333928</t>
  </si>
  <si>
    <t>Channichthys velifer</t>
  </si>
  <si>
    <t>AP002915</t>
  </si>
  <si>
    <t>Chauliodus sloani</t>
  </si>
  <si>
    <t>KT357695</t>
  </si>
  <si>
    <t>Cheilodactylidae</t>
  </si>
  <si>
    <t>Cheilodactylus quadricornis</t>
  </si>
  <si>
    <t>JQ692068</t>
  </si>
  <si>
    <t>Chrysochir aurea</t>
  </si>
  <si>
    <t>KY783660</t>
  </si>
  <si>
    <t>Cottus czerskii</t>
  </si>
  <si>
    <t>OR552041</t>
  </si>
  <si>
    <t>Cottus hypselurus</t>
  </si>
  <si>
    <t>LC773944</t>
  </si>
  <si>
    <t>Bathydraconidae</t>
  </si>
  <si>
    <t>Cygnodraco mawsoni</t>
  </si>
  <si>
    <t>MT559886</t>
  </si>
  <si>
    <t>Artedidraconidae</t>
  </si>
  <si>
    <t>Dolloidraco longedorsalis</t>
  </si>
  <si>
    <t>OR546146</t>
  </si>
  <si>
    <t>Gephyroberyx darwinii</t>
  </si>
  <si>
    <t>MT559887</t>
  </si>
  <si>
    <t>Gerlachea australis</t>
  </si>
  <si>
    <t>OP035245</t>
  </si>
  <si>
    <t>Gnatholepis cauerensis</t>
  </si>
  <si>
    <t>AF391448</t>
  </si>
  <si>
    <t>Gnatholepis scapulostigma</t>
  </si>
  <si>
    <t>AF391415</t>
  </si>
  <si>
    <t>Gnatholepis thompsoni</t>
  </si>
  <si>
    <t>MT559888</t>
  </si>
  <si>
    <t>Gymnodraco acuticeps</t>
  </si>
  <si>
    <t>LC739183</t>
  </si>
  <si>
    <t>LC258617</t>
  </si>
  <si>
    <t>LC258944</t>
  </si>
  <si>
    <t>LC258803</t>
  </si>
  <si>
    <t>LC258872</t>
  </si>
  <si>
    <t>LC258977</t>
  </si>
  <si>
    <t>KT601093</t>
  </si>
  <si>
    <t>Gymnogobius urotaenia</t>
  </si>
  <si>
    <t>KY115688</t>
  </si>
  <si>
    <t>Halichoeres hartzfeldii</t>
  </si>
  <si>
    <t>MT559889</t>
  </si>
  <si>
    <t>Harpagiferidae</t>
  </si>
  <si>
    <t>Harpagifer antarcticus</t>
  </si>
  <si>
    <t>PV742858</t>
  </si>
  <si>
    <t>Holacanthus bermudensis</t>
  </si>
  <si>
    <t>PV742850</t>
  </si>
  <si>
    <t>Holacanthus ciliaris</t>
  </si>
  <si>
    <t>KP965874</t>
  </si>
  <si>
    <t>PQ773495</t>
  </si>
  <si>
    <t>Inimicus didactylus</t>
  </si>
  <si>
    <t>KC133879</t>
  </si>
  <si>
    <t>Iriatherina werneri</t>
  </si>
  <si>
    <t>AP005979</t>
  </si>
  <si>
    <t>OP035202</t>
  </si>
  <si>
    <t>Kuhliidae</t>
  </si>
  <si>
    <t>Kuhlia xenura</t>
  </si>
  <si>
    <t>FJ618559</t>
  </si>
  <si>
    <t>Larimichthys polyactis</t>
  </si>
  <si>
    <t>MT410893</t>
  </si>
  <si>
    <t>Lumpenus lampretaeformis</t>
  </si>
  <si>
    <t>MK133251</t>
  </si>
  <si>
    <t>Lycodes brevipes</t>
  </si>
  <si>
    <t>LC493918</t>
  </si>
  <si>
    <t>Lycodes esmarkii</t>
  </si>
  <si>
    <t>MW691101</t>
  </si>
  <si>
    <t>Lycodes sp. ADK-2014</t>
  </si>
  <si>
    <t>OR804504</t>
  </si>
  <si>
    <t>KC133803</t>
  </si>
  <si>
    <t>Melanotaenia goldiei</t>
  </si>
  <si>
    <t>AP009207</t>
  </si>
  <si>
    <t>Melichthys vidua</t>
  </si>
  <si>
    <t>MH644035</t>
  </si>
  <si>
    <t>Odontobutidae</t>
  </si>
  <si>
    <t>Microdous chalmersi</t>
  </si>
  <si>
    <t>PV276251</t>
  </si>
  <si>
    <t>Micropogonias undulatus</t>
  </si>
  <si>
    <t>DQ536425</t>
  </si>
  <si>
    <t>KR233976</t>
  </si>
  <si>
    <t>Mikrogeophagus ramirezi</t>
  </si>
  <si>
    <t>PP032990</t>
  </si>
  <si>
    <t>Nemadactylus bergi</t>
  </si>
  <si>
    <t>MT559883</t>
  </si>
  <si>
    <t>Neodraco skottsbergi</t>
  </si>
  <si>
    <t>MT559891</t>
  </si>
  <si>
    <t>Neopagetopsis ionah</t>
  </si>
  <si>
    <t>KM373207</t>
  </si>
  <si>
    <t>Nibea coibor</t>
  </si>
  <si>
    <t>KM233452</t>
  </si>
  <si>
    <t>AP006003</t>
  </si>
  <si>
    <t>Nibea mitsukurii</t>
  </si>
  <si>
    <t>MT559892</t>
  </si>
  <si>
    <t>Pagetopsis macropterus</t>
  </si>
  <si>
    <t>MN614417</t>
  </si>
  <si>
    <t>Pogonophryne albipinna</t>
  </si>
  <si>
    <t>PP316129</t>
  </si>
  <si>
    <t>Pomacanthus sexstriatus</t>
  </si>
  <si>
    <t>AP011187</t>
  </si>
  <si>
    <t>Probarbus jullieni</t>
  </si>
  <si>
    <t>KU985150</t>
  </si>
  <si>
    <t>Pseudobalistes fuscus</t>
  </si>
  <si>
    <t>MT832009</t>
  </si>
  <si>
    <t>Scartelaos sp. sckw001-2015</t>
  </si>
  <si>
    <t>OK054500</t>
  </si>
  <si>
    <t>Serranus papilionaceus</t>
  </si>
  <si>
    <t>PV710299</t>
  </si>
  <si>
    <t>Serranus phoebe</t>
  </si>
  <si>
    <t>PV710311</t>
  </si>
  <si>
    <t>OP057070</t>
  </si>
  <si>
    <t>Tetrapturus angustirostris</t>
  </si>
  <si>
    <t>AP006039</t>
  </si>
  <si>
    <t>Trichogaster lalius</t>
  </si>
  <si>
    <t>HQ536763</t>
  </si>
  <si>
    <t>Vanderhorstia ornatissima</t>
  </si>
  <si>
    <t>HQ536762</t>
  </si>
  <si>
    <t>AP011283</t>
  </si>
  <si>
    <t>Xenocyprididae</t>
  </si>
  <si>
    <t>Xenocypris argentea</t>
  </si>
  <si>
    <t>OP057031</t>
  </si>
  <si>
    <t>Xiphiidae</t>
  </si>
  <si>
    <t>Xiphias gladius</t>
  </si>
  <si>
    <t>AP019360</t>
  </si>
  <si>
    <t>Myersina macrostoma</t>
  </si>
  <si>
    <t>OP035170</t>
  </si>
  <si>
    <t>Gobionellus oceanicus</t>
  </si>
  <si>
    <t>MG736083</t>
  </si>
  <si>
    <t>Pagellus acarne</t>
  </si>
  <si>
    <t>AB305023</t>
  </si>
  <si>
    <t>Pagellus bogaraveo</t>
  </si>
  <si>
    <t>ON838225</t>
  </si>
  <si>
    <t>Nematistiidae</t>
  </si>
  <si>
    <t>Nematistius pectoralis</t>
  </si>
  <si>
    <t>DQ028058</t>
  </si>
  <si>
    <t>OR482453</t>
  </si>
  <si>
    <t>Diplospinus multistriatus</t>
  </si>
  <si>
    <t>KP013109</t>
  </si>
  <si>
    <t>Blenniidae</t>
  </si>
  <si>
    <t>Ecsenius bicolor</t>
  </si>
  <si>
    <t>AP011613</t>
  </si>
  <si>
    <t>Clupeiformes</t>
  </si>
  <si>
    <t>Clupeidae</t>
  </si>
  <si>
    <t>Hilsa kelee</t>
  </si>
  <si>
    <t>KJ645979</t>
  </si>
  <si>
    <t>Salangidae</t>
  </si>
  <si>
    <t>Hemisalanx brachyrostralis</t>
  </si>
  <si>
    <t>KJ645978</t>
  </si>
  <si>
    <t>Salanx cuvieri</t>
  </si>
  <si>
    <t>MT559890</t>
  </si>
  <si>
    <t>Lindbergichthys nudifrons</t>
  </si>
  <si>
    <t>AP009217</t>
  </si>
  <si>
    <t>Eubalichthys mosaicus</t>
  </si>
  <si>
    <t>AP004410</t>
  </si>
  <si>
    <t>Lamprogrammus niger</t>
  </si>
  <si>
    <t>KP984503</t>
  </si>
  <si>
    <t>Chlorophthalmus nigromarginatus</t>
  </si>
  <si>
    <t>PV370327</t>
  </si>
  <si>
    <t>Barbulifer antennatus</t>
  </si>
  <si>
    <t>OP035216</t>
  </si>
  <si>
    <t>Carapidae</t>
  </si>
  <si>
    <t>Carapus mourlani</t>
  </si>
  <si>
    <t>PV742865</t>
  </si>
  <si>
    <t>Haemulon striatum</t>
  </si>
  <si>
    <t>OP035094</t>
  </si>
  <si>
    <t>Pseudocheilinus tetrataenia</t>
  </si>
  <si>
    <t>KY962390</t>
  </si>
  <si>
    <t>Pelobatidae</t>
  </si>
  <si>
    <t>Scaphiopus holbrookii</t>
  </si>
  <si>
    <t>KT001111</t>
  </si>
  <si>
    <t>Genicanthus lamarck</t>
  </si>
  <si>
    <t>AB915453</t>
  </si>
  <si>
    <t>AB915452</t>
  </si>
  <si>
    <t>AB915451</t>
  </si>
  <si>
    <t>HE961974</t>
  </si>
  <si>
    <t>Petrochromis trewavasae</t>
  </si>
  <si>
    <t>AB915449</t>
  </si>
  <si>
    <t>OR482577</t>
  </si>
  <si>
    <t>Trichodontidae</t>
  </si>
  <si>
    <t>Trichodon trichodon</t>
  </si>
  <si>
    <t>PV434809</t>
  </si>
  <si>
    <t>Kurtiformes</t>
  </si>
  <si>
    <t>Apogonidae</t>
  </si>
  <si>
    <t>Apogon townsendi</t>
  </si>
  <si>
    <t>MN356240</t>
  </si>
  <si>
    <t>Aves</t>
  </si>
  <si>
    <t>Passeriformes</t>
  </si>
  <si>
    <t>Cotingidae</t>
  </si>
  <si>
    <t>Oxyruncus cristatus</t>
  </si>
  <si>
    <t>MN356165</t>
  </si>
  <si>
    <t>Tyrannidae</t>
  </si>
  <si>
    <t>Tachuris rubrigastra</t>
  </si>
  <si>
    <t>MN356338</t>
  </si>
  <si>
    <t>Coraciiformes</t>
  </si>
  <si>
    <t>Alcedinidae</t>
  </si>
  <si>
    <t>Halcyon senegalensis</t>
  </si>
  <si>
    <t>LC026151</t>
  </si>
  <si>
    <t>Poeciliidae</t>
  </si>
  <si>
    <t>Poecilia sphenops</t>
  </si>
  <si>
    <t>KP033453</t>
  </si>
  <si>
    <t>Pygoplites diacanthus</t>
  </si>
  <si>
    <t>OQ862830</t>
  </si>
  <si>
    <t>OQ862834</t>
  </si>
  <si>
    <t>OR582693</t>
  </si>
  <si>
    <t>Odontopyxis trispinosa</t>
  </si>
  <si>
    <t>AP009213</t>
  </si>
  <si>
    <t>Acreichthys tomentosus</t>
  </si>
  <si>
    <t>KP965870</t>
  </si>
  <si>
    <t>Apolemichthys armitagei</t>
  </si>
  <si>
    <t>KP218261</t>
  </si>
  <si>
    <t>Apolemichthys kingi</t>
  </si>
  <si>
    <t>MZ411565</t>
  </si>
  <si>
    <t>Apolemichthys trimaculatus</t>
  </si>
  <si>
    <t>AP012256</t>
  </si>
  <si>
    <t>Notoscopelus caudispinosus</t>
  </si>
  <si>
    <t>PP059116</t>
  </si>
  <si>
    <t>Nannoperca vittata</t>
  </si>
  <si>
    <t>KP898263</t>
  </si>
  <si>
    <t>Apolemichthys griffisi</t>
  </si>
  <si>
    <t>KT222939</t>
  </si>
  <si>
    <t>Herichthys labridens</t>
  </si>
  <si>
    <t>KJ755565</t>
  </si>
  <si>
    <t>Paraneetroplus synspilus x Amphilophus citrinellus</t>
  </si>
  <si>
    <t>KU531435</t>
  </si>
  <si>
    <t>Thorichthys aureus</t>
  </si>
  <si>
    <t>KF879808</t>
  </si>
  <si>
    <t>Vieja melanura</t>
  </si>
  <si>
    <t>AP009127</t>
  </si>
  <si>
    <t>Astronotus ocellatus</t>
  </si>
  <si>
    <t>MT410878</t>
  </si>
  <si>
    <t>Centrolophidae</t>
  </si>
  <si>
    <t>Schedophilus medusophagus</t>
  </si>
  <si>
    <t>KP898264</t>
  </si>
  <si>
    <t>Holacanthus africanus</t>
  </si>
  <si>
    <t>AP006008</t>
  </si>
  <si>
    <t>Enoplosidae</t>
  </si>
  <si>
    <t>Enoplosus armatus</t>
  </si>
  <si>
    <t>PV170595</t>
  </si>
  <si>
    <t>PQ064522</t>
  </si>
  <si>
    <t>Aplodinotus grunniens</t>
  </si>
  <si>
    <t>PV703755</t>
  </si>
  <si>
    <t>Umbrina canariensis</t>
  </si>
  <si>
    <t>MW856846</t>
  </si>
  <si>
    <t>OP035280</t>
  </si>
  <si>
    <t>Paracirrhites forsteri</t>
  </si>
  <si>
    <t>PV329696</t>
  </si>
  <si>
    <t>Porogadus atripectus</t>
  </si>
  <si>
    <t>OR482461</t>
  </si>
  <si>
    <t>Stomias boa</t>
  </si>
  <si>
    <t>KR150865</t>
  </si>
  <si>
    <t>Aequidens metae</t>
  </si>
  <si>
    <t>OP035287</t>
  </si>
  <si>
    <t>Centropyge potteri</t>
  </si>
  <si>
    <t>KJ914664</t>
  </si>
  <si>
    <t>Petenia splendida</t>
  </si>
  <si>
    <t>PV662066</t>
  </si>
  <si>
    <t>Aluterus schoepfii</t>
  </si>
  <si>
    <t>OP057025</t>
  </si>
  <si>
    <t>Cyprinodontidae</t>
  </si>
  <si>
    <t>Floridichthys carpio</t>
  </si>
  <si>
    <t>AB763992</t>
  </si>
  <si>
    <t>Hexagrammidae</t>
  </si>
  <si>
    <t>Hexagrammos agrammus</t>
  </si>
  <si>
    <t>KJ433567</t>
  </si>
  <si>
    <t>Bothidae</t>
  </si>
  <si>
    <t>Lophonectes gallus</t>
  </si>
  <si>
    <t>OP056890</t>
  </si>
  <si>
    <t>Varicus bucca</t>
  </si>
  <si>
    <t>AP006012</t>
  </si>
  <si>
    <t>Paracirrhites arcatus</t>
  </si>
  <si>
    <t>JF933905</t>
  </si>
  <si>
    <t>Pleuragramma antarctica</t>
  </si>
  <si>
    <t>PV662072</t>
  </si>
  <si>
    <t>Acanthostracion polygonius</t>
  </si>
  <si>
    <t>AP005980</t>
  </si>
  <si>
    <t>Atherinomorus lacunosus</t>
  </si>
  <si>
    <t>FJ848374</t>
  </si>
  <si>
    <t>Clinocottus analis</t>
  </si>
  <si>
    <t>KF841444</t>
  </si>
  <si>
    <t>Decapterus macrosoma</t>
  </si>
  <si>
    <t>AB282852</t>
  </si>
  <si>
    <t>Gigantactinidae</t>
  </si>
  <si>
    <t>Gigantactis vanhoeffeni</t>
  </si>
  <si>
    <t>OK012405</t>
  </si>
  <si>
    <t>Parachaeturichthys polynema</t>
  </si>
  <si>
    <t>AB270760</t>
  </si>
  <si>
    <t>Solea senegalensis</t>
  </si>
  <si>
    <t>MK204282</t>
  </si>
  <si>
    <t>Gymnocanthus tricuspis</t>
  </si>
  <si>
    <t>OP056957</t>
  </si>
  <si>
    <t>Phaeoptyx xenus</t>
  </si>
  <si>
    <t>AP008946</t>
  </si>
  <si>
    <t>Adrianichthyidae</t>
  </si>
  <si>
    <t>Oryzias latipes</t>
  </si>
  <si>
    <t>PP033014</t>
  </si>
  <si>
    <t>Umbrina canosai</t>
  </si>
  <si>
    <t>OR482543</t>
  </si>
  <si>
    <t>Gymnocanthus detrisus</t>
  </si>
  <si>
    <t>KX148473</t>
  </si>
  <si>
    <t>Gymnocanthus intermedius</t>
  </si>
  <si>
    <t>OR482542</t>
  </si>
  <si>
    <t>Gymnocanthus pistilliger</t>
  </si>
  <si>
    <t>OP056841</t>
  </si>
  <si>
    <t>Labrisomidae</t>
  </si>
  <si>
    <t>Stathmonotus stahli</t>
  </si>
  <si>
    <t>LC646806</t>
  </si>
  <si>
    <t>Parastromateus niger</t>
  </si>
  <si>
    <t>AP004406</t>
  </si>
  <si>
    <t>Sirembo imberbis</t>
  </si>
  <si>
    <t>JF519732</t>
  </si>
  <si>
    <t>LC541443</t>
  </si>
  <si>
    <t>Anseriformes</t>
  </si>
  <si>
    <t>Anatidae</t>
  </si>
  <si>
    <t>Branta bernicla</t>
  </si>
  <si>
    <t>AP006809</t>
  </si>
  <si>
    <t>Nandidae</t>
  </si>
  <si>
    <t>Nandus nandus</t>
  </si>
  <si>
    <t>KC992995</t>
  </si>
  <si>
    <t>Poecilia mexicana</t>
  </si>
  <si>
    <t>OR546222</t>
  </si>
  <si>
    <t>Starksia nanodes</t>
  </si>
  <si>
    <t>AP012232</t>
  </si>
  <si>
    <t>Bolinichthys distofax</t>
  </si>
  <si>
    <t>OP057090</t>
  </si>
  <si>
    <t>Scopelarchus analis</t>
  </si>
  <si>
    <t>OP057113</t>
  </si>
  <si>
    <t>Scopelarchus stephensi</t>
  </si>
  <si>
    <t>EU880313</t>
  </si>
  <si>
    <t>Caudata</t>
  </si>
  <si>
    <t>Salamandridae</t>
  </si>
  <si>
    <t>Cynops pyrrhogaster</t>
  </si>
  <si>
    <t>AB124801</t>
  </si>
  <si>
    <t>Pagrus auriga</t>
  </si>
  <si>
    <t>ON357935</t>
  </si>
  <si>
    <t>Paramesotriton fuzhongensis</t>
  </si>
  <si>
    <t>OQ696044</t>
  </si>
  <si>
    <t>Coptodon camerunensis</t>
  </si>
  <si>
    <t>MW149239</t>
  </si>
  <si>
    <t>PV276255</t>
  </si>
  <si>
    <t>Lepidopus altifrons</t>
  </si>
  <si>
    <t>PP032953</t>
  </si>
  <si>
    <t>Uranoscopidae</t>
  </si>
  <si>
    <t>Astroscopus sexspinosus</t>
  </si>
  <si>
    <t>AP005987</t>
  </si>
  <si>
    <t>Fistulariidae</t>
  </si>
  <si>
    <t>Fistularia commersonii</t>
  </si>
  <si>
    <t>MK714015</t>
  </si>
  <si>
    <t>Atrobucca nibe</t>
  </si>
  <si>
    <t>PQ932612</t>
  </si>
  <si>
    <t>AF267375</t>
  </si>
  <si>
    <t>Galaxiiformes</t>
  </si>
  <si>
    <t>Galaxiidae</t>
  </si>
  <si>
    <t>Galaxias fasciatus</t>
  </si>
  <si>
    <t>KF866133</t>
  </si>
  <si>
    <t>Heterotilapia buettikoferi</t>
  </si>
  <si>
    <t>MW408700</t>
  </si>
  <si>
    <t>Pennahia aneus</t>
  </si>
  <si>
    <t>AB915446</t>
  </si>
  <si>
    <t>PP551518</t>
  </si>
  <si>
    <t>Leiognathidae</t>
  </si>
  <si>
    <t>Leiognathus equula</t>
  </si>
  <si>
    <t>MN728946</t>
  </si>
  <si>
    <t>Ostorhinchus fasciatus</t>
  </si>
  <si>
    <t>MW036249</t>
  </si>
  <si>
    <t>Ostorhinchus pleuron</t>
  </si>
  <si>
    <t>AP012317</t>
  </si>
  <si>
    <t>Callionymidae</t>
  </si>
  <si>
    <t>Synchiropus splendidus</t>
  </si>
  <si>
    <t>OK662584</t>
  </si>
  <si>
    <t>Accipitriformes</t>
  </si>
  <si>
    <t>Accipitridae</t>
  </si>
  <si>
    <t>Elanus caeruleus</t>
  </si>
  <si>
    <t>DQ028046</t>
  </si>
  <si>
    <t>Brosmophycis marginata</t>
  </si>
  <si>
    <t>PV972748</t>
  </si>
  <si>
    <t>Butis koilomatodon</t>
  </si>
  <si>
    <t>KR152650</t>
  </si>
  <si>
    <t>Centropyge joculator</t>
  </si>
  <si>
    <t>KP973958</t>
  </si>
  <si>
    <t>Centropyge multicolor</t>
  </si>
  <si>
    <t>OR654976</t>
  </si>
  <si>
    <t>Dascyllus aruanus</t>
  </si>
  <si>
    <t>KP164983</t>
  </si>
  <si>
    <t>Drepaneidae</t>
  </si>
  <si>
    <t>Drepane longimana</t>
  </si>
  <si>
    <t>KM273123</t>
  </si>
  <si>
    <t>Drepane punctata</t>
  </si>
  <si>
    <t>KP728467</t>
  </si>
  <si>
    <t>Parachromis managuensis</t>
  </si>
  <si>
    <t>PV460837</t>
  </si>
  <si>
    <t>Phaeoptyx pigmentaria</t>
  </si>
  <si>
    <t>KR150875</t>
  </si>
  <si>
    <t>Uaru amphiacanthoides</t>
  </si>
  <si>
    <t>PQ412526</t>
  </si>
  <si>
    <t>Acanthurus reversus</t>
  </si>
  <si>
    <t>PV742862</t>
  </si>
  <si>
    <t>KM986880</t>
  </si>
  <si>
    <t>Decapterus macarellus</t>
  </si>
  <si>
    <t>OP459436</t>
  </si>
  <si>
    <t>Decapterus maruadsi</t>
  </si>
  <si>
    <t>MN316630</t>
  </si>
  <si>
    <t>Hemitripterus villosus</t>
  </si>
  <si>
    <t>OM910890</t>
  </si>
  <si>
    <t>Diplodactylidae</t>
  </si>
  <si>
    <t>Hoplodactylus duvaucelii</t>
  </si>
  <si>
    <t>OP035096</t>
  </si>
  <si>
    <t>Kyphosus sectatrix</t>
  </si>
  <si>
    <t>LC564928</t>
  </si>
  <si>
    <t>Lentipes armatus</t>
  </si>
  <si>
    <t>LC564957</t>
  </si>
  <si>
    <t>Lentipes palawanirufus</t>
  </si>
  <si>
    <t>MT789711</t>
  </si>
  <si>
    <t>Myoxocephalus quadricornis</t>
  </si>
  <si>
    <t>PV446213</t>
  </si>
  <si>
    <t>Myoxocephalus thompsonii</t>
  </si>
  <si>
    <t>OP035307</t>
  </si>
  <si>
    <t>AP009163</t>
  </si>
  <si>
    <t>Naso lopezi</t>
  </si>
  <si>
    <t>AP008239</t>
  </si>
  <si>
    <t>Nisaetus alboniger</t>
  </si>
  <si>
    <t>AP008238</t>
  </si>
  <si>
    <t>Nisaetus nipalensis</t>
  </si>
  <si>
    <t>KY965071</t>
  </si>
  <si>
    <t>Nothonotus chuckwachatte</t>
  </si>
  <si>
    <t>PV820012</t>
  </si>
  <si>
    <t>MT437356</t>
  </si>
  <si>
    <t>MT561269</t>
  </si>
  <si>
    <t>Pholidapus dybowskii</t>
  </si>
  <si>
    <t>OR643826</t>
  </si>
  <si>
    <t>Stegastes lacrymatus</t>
  </si>
  <si>
    <t>AP006806</t>
  </si>
  <si>
    <t>LC646820</t>
  </si>
  <si>
    <t>Turrum coeruleopinnatum</t>
  </si>
  <si>
    <t>OP035235</t>
  </si>
  <si>
    <t>Xyelacyba myersi</t>
  </si>
  <si>
    <t>KF000065</t>
  </si>
  <si>
    <t>Aesopia cornuta</t>
  </si>
  <si>
    <t>OR062952</t>
  </si>
  <si>
    <t>Sternoptychidae</t>
  </si>
  <si>
    <t>Argyropelecus hemigymnus</t>
  </si>
  <si>
    <t>PV660495</t>
  </si>
  <si>
    <t>Chaunacidae</t>
  </si>
  <si>
    <t>Chaunax suttkusi</t>
  </si>
  <si>
    <t>MT199211</t>
  </si>
  <si>
    <t>Cryptocentrus cinctus</t>
  </si>
  <si>
    <t>MF927492</t>
  </si>
  <si>
    <t>PV742876</t>
  </si>
  <si>
    <t>Larimus fasciatus</t>
  </si>
  <si>
    <t>MN122842</t>
  </si>
  <si>
    <t>Pomatoschistus microps</t>
  </si>
  <si>
    <t>AP011916</t>
  </si>
  <si>
    <t>Tetraodontidae</t>
  </si>
  <si>
    <t>Sphoeroides testudineus</t>
  </si>
  <si>
    <t>AB854424</t>
  </si>
  <si>
    <t>Trimma macrophthalmum</t>
  </si>
  <si>
    <t>MZ567028</t>
  </si>
  <si>
    <t>Abudefduf saxatilis</t>
  </si>
  <si>
    <t>JF911702</t>
  </si>
  <si>
    <t>Agonostomus monticola</t>
  </si>
  <si>
    <t>AB176924</t>
  </si>
  <si>
    <t>Teiidae</t>
  </si>
  <si>
    <t>Callopistes maculatus</t>
  </si>
  <si>
    <t>AP012974</t>
  </si>
  <si>
    <t>Caristiidae</t>
  </si>
  <si>
    <t>Caristius groenlandicus</t>
  </si>
  <si>
    <t>OP057032</t>
  </si>
  <si>
    <t>Caristius macropus</t>
  </si>
  <si>
    <t>AP005999</t>
  </si>
  <si>
    <t>OP035273</t>
  </si>
  <si>
    <t>Chromis acares</t>
  </si>
  <si>
    <t>AP009177</t>
  </si>
  <si>
    <t>Diodontidae</t>
  </si>
  <si>
    <t>Diodon holocanthus</t>
  </si>
  <si>
    <t>KY682080</t>
  </si>
  <si>
    <t>Diodon liturosus</t>
  </si>
  <si>
    <t>PV710309</t>
  </si>
  <si>
    <t>Diplectrum formosum</t>
  </si>
  <si>
    <t>AP002919</t>
  </si>
  <si>
    <t>Harpadon microchir</t>
  </si>
  <si>
    <t>KR150867</t>
  </si>
  <si>
    <t>Herichthys cyanoguttatus</t>
  </si>
  <si>
    <t>KT222932</t>
  </si>
  <si>
    <t>Herichthys minckleyi</t>
  </si>
  <si>
    <t>OP882648</t>
  </si>
  <si>
    <t>Hypseleotris bucephala</t>
  </si>
  <si>
    <t>PV460849</t>
  </si>
  <si>
    <t>Lophiidae</t>
  </si>
  <si>
    <t>Lophiodes monodi</t>
  </si>
  <si>
    <t>EF514208</t>
  </si>
  <si>
    <t>Lutjanus russellii</t>
  </si>
  <si>
    <t>PP059117</t>
  </si>
  <si>
    <t>Nannatherina balstoni</t>
  </si>
  <si>
    <t>MN510443</t>
  </si>
  <si>
    <t>Paradiplospinus antarcticus</t>
  </si>
  <si>
    <t>OL890693</t>
  </si>
  <si>
    <t>Parupeneus heptacantha</t>
  </si>
  <si>
    <t>AP006825</t>
  </si>
  <si>
    <t>Platax orbicularis</t>
  </si>
  <si>
    <t>OR911367</t>
  </si>
  <si>
    <t>Pomatomidae</t>
  </si>
  <si>
    <t>Pomatomus saltator</t>
  </si>
  <si>
    <t>OP056884</t>
  </si>
  <si>
    <t>Prionotus rubio</t>
  </si>
  <si>
    <t>OP056925</t>
  </si>
  <si>
    <t>Prionotus tribulus</t>
  </si>
  <si>
    <t>KF771320</t>
  </si>
  <si>
    <t>Ranidae</t>
  </si>
  <si>
    <t>Rana chaochiaoensis</t>
  </si>
  <si>
    <t>AB751624</t>
  </si>
  <si>
    <t>Schedophilus velaini</t>
  </si>
  <si>
    <t>OP057039</t>
  </si>
  <si>
    <t>Scopelarchus michaelsarsi</t>
  </si>
  <si>
    <t>AP018927</t>
  </si>
  <si>
    <t>Sphaeramia orbicularis</t>
  </si>
  <si>
    <t>PV662071</t>
  </si>
  <si>
    <t>Sphoeroides spengleri</t>
  </si>
  <si>
    <t>PV357905</t>
  </si>
  <si>
    <t>OP056835</t>
  </si>
  <si>
    <t>Stegastes partitus</t>
  </si>
  <si>
    <t>AP014538</t>
  </si>
  <si>
    <t>Tilodon sexfasciatus</t>
  </si>
  <si>
    <t>OP979108</t>
  </si>
  <si>
    <t>Trachipteridae</t>
  </si>
  <si>
    <t>Trachipterus ishikawae</t>
  </si>
  <si>
    <t>OP056977</t>
  </si>
  <si>
    <t>Ogcocephalidae</t>
  </si>
  <si>
    <t>Zalieutes mcgintyi</t>
  </si>
  <si>
    <t>OR421279</t>
  </si>
  <si>
    <t>Cottus pollux</t>
  </si>
  <si>
    <t>KU315126</t>
  </si>
  <si>
    <t>Kajikia audax</t>
  </si>
  <si>
    <t>OP035303</t>
  </si>
  <si>
    <t>Acanthurus nigroris</t>
  </si>
  <si>
    <t>MF621759</t>
  </si>
  <si>
    <t>Salmoniformes</t>
  </si>
  <si>
    <t>Salmonidae</t>
  </si>
  <si>
    <t>Prosopium cylindraceum</t>
  </si>
  <si>
    <t>OP035282</t>
  </si>
  <si>
    <t>Acanthurus nigrofuscus</t>
  </si>
  <si>
    <t>OR582704</t>
  </si>
  <si>
    <t>Leptocottus armatus</t>
  </si>
  <si>
    <t>AP009212</t>
  </si>
  <si>
    <t>Acanthaluteres brownii</t>
  </si>
  <si>
    <t>MW625807</t>
  </si>
  <si>
    <t>Opsarius canarensis</t>
  </si>
  <si>
    <t>KR061357</t>
  </si>
  <si>
    <t>Cyprinodon variegatus</t>
  </si>
  <si>
    <t>KT288182</t>
  </si>
  <si>
    <t>OQ817999</t>
  </si>
  <si>
    <t>AB915457</t>
  </si>
  <si>
    <t>OR582698</t>
  </si>
  <si>
    <t>Careproctus phasma</t>
  </si>
  <si>
    <t>MW401763</t>
  </si>
  <si>
    <t>Careproctus rastrinus</t>
  </si>
  <si>
    <t>OR582695</t>
  </si>
  <si>
    <t>Careproctus scottae</t>
  </si>
  <si>
    <t>FJ890319</t>
  </si>
  <si>
    <t>Scleropages leichardti</t>
  </si>
  <si>
    <t>AB915454</t>
  </si>
  <si>
    <t>PQ766764</t>
  </si>
  <si>
    <t>Chromis tingting</t>
  </si>
  <si>
    <t>AP012943</t>
  </si>
  <si>
    <t>Epinnula magistralis</t>
  </si>
  <si>
    <t>KJ510417</t>
  </si>
  <si>
    <t>OP056844</t>
  </si>
  <si>
    <t>Stegastes adustus</t>
  </si>
  <si>
    <t>Oreochromis urolepis Forward Primer</t>
  </si>
  <si>
    <t>Oreochromis urolepis Reverse Primer</t>
  </si>
  <si>
    <t>Oreochromis urolepis Probe</t>
  </si>
  <si>
    <t>Description</t>
  </si>
  <si>
    <t>Scientific Name</t>
  </si>
  <si>
    <t>Max Score</t>
  </si>
  <si>
    <t>Total Score</t>
  </si>
  <si>
    <t>Query Cover</t>
  </si>
  <si>
    <t>E value</t>
  </si>
  <si>
    <t>Per. ident</t>
  </si>
  <si>
    <t>Acc. Len</t>
  </si>
  <si>
    <t xml:space="preserve">Accession  </t>
  </si>
  <si>
    <t>Oreochromis sp. 'red tilapia' mitochondrion, complete genome</t>
  </si>
  <si>
    <t>Oreochromis tanganicae mitochondrion, complete genome</t>
  </si>
  <si>
    <t>Oreochromis urolepis isolate TZ145 NADH dehydrogenase subunit 5 (ND5) and NADH dehydrogenase subunit 6 (ND6) genes, partial cds; mitochondrial</t>
  </si>
  <si>
    <t>Oreochromis macrochir mitochondrion, complete genome</t>
  </si>
  <si>
    <t>Oreochromis urolepis isolate T2J6 NADH dehydrogenase subunit 5 (ND5) and NADH dehydrogenase subunit 6 (ND6) genes, partial cds; mitochondrial</t>
  </si>
  <si>
    <t>Oreochromis urolepis isolate T2J5 NADH dehydrogenase subunit 5 (ND5) and NADH dehydrogenase subunit 6 (ND6) genes, partial cds; mitochondrial</t>
  </si>
  <si>
    <t>Oreochromis mossambicus mitochondrion, complete genome</t>
  </si>
  <si>
    <t>Galaxias maculatus mitochondrion, complete genome</t>
  </si>
  <si>
    <t>Galaxias maculatus</t>
  </si>
  <si>
    <t>Oreochromis andersonii mitochondrion, complete genome</t>
  </si>
  <si>
    <t>Cichla temensis mitochondrion, complete genome</t>
  </si>
  <si>
    <t>Galaxias maculatus isolate CES-087 voucher SAMA:F-FISHADD2_B33 mitochondrion, complete genome</t>
  </si>
  <si>
    <t>Oreochromis niloticus strain GIFT mitochondrion, complete genome</t>
  </si>
  <si>
    <t>Rhomboplites aurorubens isolate SJ-10-092 mitochondrion, complete genome</t>
  </si>
  <si>
    <t>Rhomboplites aurorubens</t>
  </si>
  <si>
    <t>Cichla piquiti mitochondrion, complete genome</t>
  </si>
  <si>
    <t>Rhomboplites aurorubens voucher USNM:FISH:471093 mitochondrion, complete genome</t>
  </si>
  <si>
    <t>Rhomboplites aurorubens voucher USNM:FISH:407363 mitochondrion, complete genome</t>
  </si>
  <si>
    <t>PREDICTED: Neolamprologus brichardi cytochrome b-like (LOC102795072), mRNA</t>
  </si>
  <si>
    <t>Rhomboplites aurorubens mitochondrion, complete genome</t>
  </si>
  <si>
    <t>Ciona intestinalis DNA, chromosome 14, sequence</t>
  </si>
  <si>
    <t>Ciona intestinalis</t>
  </si>
  <si>
    <t>Coptodon zillii mitochondrion, complete genome</t>
  </si>
  <si>
    <t>Oreochromis grahami mitochondrion, complete genome</t>
  </si>
  <si>
    <t>Rhomboplites aurorubens voucher USNM:FISH:477604 mitochondrion, complete genome</t>
  </si>
  <si>
    <t>Oreochromis leucostictus isolate 366 NADH dehydrogenase subunit 5 (ND5) and NADH dehydrogenase subunit 6 (ND6) genes, partial cds; mitochondrial</t>
  </si>
  <si>
    <t>Cichla ocellaris mitochondrion, complete genome</t>
  </si>
  <si>
    <t>Cichla ocellaris</t>
  </si>
  <si>
    <t>Ciona intestinalis DNA, sequence_id:UAContig23, sequence</t>
  </si>
  <si>
    <t>Astronotus ocellatus mitochondrion, complete genome</t>
  </si>
  <si>
    <t>MAG: uncultured Poribacteria bacterium isolate d4690918-7cf6-4b6d-bcb0-07eb3c50a363 genome assembly, chromosome: 1</t>
  </si>
  <si>
    <t>uncultured Poribacteria bacterium</t>
  </si>
  <si>
    <t>Oreochromis niloticus isolate MG433 NADH dehydrogenase subunit 5 (ND5) and NADH dehydrogenase subunit 6 (ND6) genes, partial cds; mitochondrial</t>
  </si>
  <si>
    <t>Acanthurus triostegus voucher USNM:442256 mitochondrion, complete genome</t>
  </si>
  <si>
    <t>Sarotherodon melanotheron mitochondrion, complete genome</t>
  </si>
  <si>
    <t>Oreochromis niloticus strain America mitochondrion, complete genome</t>
  </si>
  <si>
    <t>PREDICTED: Neolamprologus brichardi NADH-ubiquinone oxidoreductase chain 5-like (LOC118453436), mRNA</t>
  </si>
  <si>
    <t>Homo sapiens chromosome 1 clone RP11-421L21, complete sequence</t>
  </si>
  <si>
    <t>Homo sapiens</t>
  </si>
  <si>
    <t>Oreochromis niloticus strain Philippines mitochondrion, complete genome</t>
  </si>
  <si>
    <t>Heniochus acuminatus mitochondrion, complete genome</t>
  </si>
  <si>
    <t>Heniochus acuminatus</t>
  </si>
  <si>
    <t>Oreochromis niloticus mitochondrion, complete genome</t>
  </si>
  <si>
    <t>Priestia megaterium strain F16 chromosome, complete genome</t>
  </si>
  <si>
    <t>Priestia megaterium</t>
  </si>
  <si>
    <t>Oreochromis sp. KM-2006 mitochondrion, complete genome</t>
  </si>
  <si>
    <t>Cichla monoculus mitochondrion, complete genome</t>
  </si>
  <si>
    <t>Cichla monoculus</t>
  </si>
  <si>
    <t>Pleurota bicostella genome assembly, chromosome: 22</t>
  </si>
  <si>
    <t>Pleurota bicostella</t>
  </si>
  <si>
    <t>Oreochromis variabilis mitochondrion, complete genome</t>
  </si>
  <si>
    <t>Hyporhamphus quoyi mitochondrion, complete genome</t>
  </si>
  <si>
    <t>PREDICTED: Accipiter gentilis zinc finger protein 644 (ZNF644), transcript variant X4, mRNA</t>
  </si>
  <si>
    <t>Astur gentilis</t>
  </si>
  <si>
    <t>Herichthys cyanoguttatus mitochondrion, complete genome</t>
  </si>
  <si>
    <t>Human DNA sequence from clone RP3-426F10 on chromosome 1p36.21-36.33, complete sequence</t>
  </si>
  <si>
    <t>Oreochromis esculentus mitochondrion, complete genome</t>
  </si>
  <si>
    <t>Paretroplus maculatus mitochondrion, complete genome</t>
  </si>
  <si>
    <t>Paretroplus maculatus</t>
  </si>
  <si>
    <t>Thalassoma duperrey voucher USNM:FISH:442441 mitochondrion, complete genome</t>
  </si>
  <si>
    <t>Thalassoma duperrey</t>
  </si>
  <si>
    <t>Moraxella bovoculi strain 28389, complete genome</t>
  </si>
  <si>
    <t>Moraxella bovoculi</t>
  </si>
  <si>
    <t>Pseudhymenochirus merlini mitochondrion, complete genome</t>
  </si>
  <si>
    <t>Pseudhymenochirus merlini</t>
  </si>
  <si>
    <t>PREDICTED: Haliaeetus albicilla zinc finger protein 644 (ZNF644), transcript variant X9, mRNA</t>
  </si>
  <si>
    <t>Haliaeetus albicilla</t>
  </si>
  <si>
    <t>Moraxella bovoculi strain 22581, complete genome</t>
  </si>
  <si>
    <t>Herichthys minckleyi isolate LosRemojosPap NADH dehydrogenase subunit 6 (ND6) gene, complete cds; mitochondrial</t>
  </si>
  <si>
    <t>Elassoma zonatum mitochondrion, complete genome</t>
  </si>
  <si>
    <t>Elassoma zonatum</t>
  </si>
  <si>
    <t>Neofaculta infernella genome assembly, chromosome: 10</t>
  </si>
  <si>
    <t>Neofaculta infernella</t>
  </si>
  <si>
    <t>Herichthys minckleyi isolate 3379 NADH dehydrogenase subunit 6 (ND6) gene, complete cds; mitochondrial</t>
  </si>
  <si>
    <t>PREDICTED: Haliaeetus albicilla zinc finger protein 644 (ZNF644), transcript variant X10, mRNA</t>
  </si>
  <si>
    <t>PREDICTED: Paramacrobiotus metropolitanus uncharacterized LOC129599942 (LOC129599942), mRNA</t>
  </si>
  <si>
    <t>Paramacrobiotus metropolitanus</t>
  </si>
  <si>
    <t>Herichthys minckleyi isolate 3544 NADH dehydrogenase subunit 6 (ND6) gene, complete cds; mitochondrial</t>
  </si>
  <si>
    <t>PREDICTED: Kogia breviceps epithelial splicing regulatory protein 1 (ESRP1), transcript variant X3, mRNA</t>
  </si>
  <si>
    <t>Kogia breviceps</t>
  </si>
  <si>
    <t>Orchesella villosa genome assembly, chromosome: X</t>
  </si>
  <si>
    <t>Orchesella villosa</t>
  </si>
  <si>
    <t>Herichthys minckleyi isolate 28MojEast NADH dehydrogenase subunit 6 (ND6) gene, complete cds; mitochondrial</t>
  </si>
  <si>
    <t>MAG: uncultured Desulfobacterium sp. isolate 35125921-b51f-40db-957b-bccbeeb29ead genome assembly, chromosome: 1</t>
  </si>
  <si>
    <t>uncultured Desulfobacterium sp.</t>
  </si>
  <si>
    <t>Herichthys minckleyi isolate 30Churince NADH dehydrogenase subunit 6 (ND6) gene, complete cds; mitochondrial</t>
  </si>
  <si>
    <t>PREDICTED: Harpia harpyja zinc finger protein 644 (ZNF644), transcript variant X9, mRNA</t>
  </si>
  <si>
    <t>Harpia harpyja</t>
  </si>
  <si>
    <t>PREDICTED: Ranitomeya imitator TNF alpha induced protein 8 like 3 (TNFAIP8L3), transcript variant X2, mRNA</t>
  </si>
  <si>
    <t>Ranitomeya imitator</t>
  </si>
  <si>
    <t>Herichthys cyanoguttatus isolate 3107 NADH dehydrogenase subunit 6 (ND6) gene, complete cds; mitochondrial</t>
  </si>
  <si>
    <t>2_Tsi_b3v08</t>
  </si>
  <si>
    <t>Timema shepardi</t>
  </si>
  <si>
    <t>Chlamydia avium isolate PV4360_2 genome assembly, chromosome: 1</t>
  </si>
  <si>
    <t>Chlamydia avium</t>
  </si>
  <si>
    <t>Herichthys minckleyi isolate 20Churince NADH dehydrogenase subunit 6 (ND6) gene, complete cds; mitochondrial</t>
  </si>
  <si>
    <t>PREDICTED: Aquila chrysaetos chrysaetos zinc finger protein 644 (ZNF644), transcript variant X11, mRNA</t>
  </si>
  <si>
    <t>Aquila chrysaetos chrysaetos</t>
  </si>
  <si>
    <t>PREDICTED: Ranitomeya imitator TNF alpha induced protein 8 like 3 (TNFAIP8L3), transcript variant X4, mRNA</t>
  </si>
  <si>
    <t>PREDICTED: Cajanus cajan putative pentatricopeptide repeat-containing protein At3g01580 (LOC109807348), mRNA</t>
  </si>
  <si>
    <t>Cajanus cajan</t>
  </si>
  <si>
    <t>PREDICTED: Harpia harpyja zinc finger protein 644 (ZNF644), transcript variant X2, mRNA</t>
  </si>
  <si>
    <t>PREDICTED: Ranitomeya imitator TNF alpha induced protein 8 like 3 (TNFAIP8L3), transcript variant X3, mRNA</t>
  </si>
  <si>
    <t>PREDICTED: Drosophila mojavensis uncharacterized LOC6585640 (LOC6585640), mRNA</t>
  </si>
  <si>
    <t>Drosophila mojavensis</t>
  </si>
  <si>
    <t>PREDICTED: Accipiter gentilis zinc finger protein 644 (ZNF644), transcript variant X9, mRNA</t>
  </si>
  <si>
    <t>Chlamydia avium 10DC88 chromosome, complete genome</t>
  </si>
  <si>
    <t>Chlamydia avium 10DC88</t>
  </si>
  <si>
    <t>Aborichthys elongatus mitochondrial DNA, complete genome</t>
  </si>
  <si>
    <t>Aborichthys elongatus</t>
  </si>
  <si>
    <t>PREDICTED: Harpia harpyja zinc finger protein 644 (ZNF644), transcript variant X14, mRNA</t>
  </si>
  <si>
    <t>PREDICTED: Ranitomeya imitator TNF alpha induced protein 8 like 3 (TNFAIP8L3), transcript variant X1, mRNA</t>
  </si>
  <si>
    <t>Amycolatopsis albispora strain WP1 chromosome, complete genome</t>
  </si>
  <si>
    <t>Amycolatopsis albispora</t>
  </si>
  <si>
    <t>PREDICTED: Harpia harpyja zinc finger protein 644 (ZNF644), transcript variant X8, mRNA</t>
  </si>
  <si>
    <t>Cupriavidus necator N-1 plasmid pBB1, complete sequence</t>
  </si>
  <si>
    <t>Cupriavidus necator N-1</t>
  </si>
  <si>
    <t>Gymnorhamphichthys sp. NM-2010 mitochondrial DNA, complete genome</t>
  </si>
  <si>
    <t>Gymnorhamphichthys sp. NM-2010</t>
  </si>
  <si>
    <t>PREDICTED: Kogia breviceps epithelial splicing regulatory protein 1 (ESRP1), transcript variant X2, mRNA</t>
  </si>
  <si>
    <t>PREDICTED: Ranitomeya imitator TNF alpha induced protein 8 like 3 (TNFAIP8L3), transcript variant X5, mRNA</t>
  </si>
  <si>
    <t>Cyprinodon variegatus variegatus mitochondrion, complete genome</t>
  </si>
  <si>
    <t>Cyprinodon variegatus variegatus</t>
  </si>
  <si>
    <t>PREDICTED: Haliaeetus albicilla zinc finger protein 644 (ZNF644), transcript variant X1, mRNA</t>
  </si>
  <si>
    <t>Serratia marcescens strain SmUNAM836 chromosome, complete genome</t>
  </si>
  <si>
    <t>Serratia marcescens</t>
  </si>
  <si>
    <t>Human DNA sequence from clone RP11-477B16 on chromosome 13, complete sequence</t>
  </si>
  <si>
    <t>2_Tcm_b3v08</t>
  </si>
  <si>
    <t>Timema californicum</t>
  </si>
  <si>
    <t>Drosophila melanogaster clone BACR02J20, complete sequence</t>
  </si>
  <si>
    <t>Drosophila melanogaster</t>
  </si>
  <si>
    <t>Eukaryotic synthetic construct chromosome 13</t>
  </si>
  <si>
    <t>eukaryotic synthetic construct</t>
  </si>
  <si>
    <t>Spirometra erinaceieuropaei genome assembly S_erinaceieuropaei, scaffold SPER_contig0041471</t>
  </si>
  <si>
    <t>Spirometra erinaceieuropaei</t>
  </si>
  <si>
    <t>Micropterus dolomieu mitochondrion, complete genome</t>
  </si>
  <si>
    <t>Micropterus dolomieu</t>
  </si>
  <si>
    <t>Penicillium expansum hypothetical protein (PEX2_033040), partial mRNA</t>
  </si>
  <si>
    <t>Penicillium expansum</t>
  </si>
  <si>
    <t>Cytobacillus oceanisediminis strain YPW-V2 chromosome, complete genome</t>
  </si>
  <si>
    <t>Cytobacillus oceanisediminis</t>
  </si>
  <si>
    <t>Paraburkholderia caribensis MBA4 plasmid unnamed, complete sequence</t>
  </si>
  <si>
    <t>Paraburkholderia caribensis MBA4</t>
  </si>
  <si>
    <t>PREDICTED: Drosophila arizonae serine-rich adhesin for platelets (LOC108618030), mRNA</t>
  </si>
  <si>
    <t>Drosophila arizonae</t>
  </si>
  <si>
    <t>Micropterus dolomieu mitochondrial DNA, complete genome, haplotype: p</t>
  </si>
  <si>
    <t>PREDICTED: Accipiter gentilis zinc finger protein 644 (ZNF644), transcript variant X10, mRNA</t>
  </si>
  <si>
    <t>Paraburkholderia caribensis strain Bcrs1W chromosome 3, complete sequence</t>
  </si>
  <si>
    <t>Paraburkholderia caribensis</t>
  </si>
  <si>
    <t>PREDICTED: Procambarus clarkii uncharacterized protein (LOC123757301), mRNA</t>
  </si>
  <si>
    <t>Procambarus clarkii</t>
  </si>
  <si>
    <t>PREDICTED: Aquila chrysaetos chrysaetos zinc finger protein 644 (ZNF644), transcript variant X10, mRNA</t>
  </si>
  <si>
    <t>Cupriavidus sp. TMH.W2 chromosome 1, complete sequence</t>
  </si>
  <si>
    <t>Cupriavidus sp. TMH.W2</t>
  </si>
  <si>
    <t>PREDICTED: Episyrphus balteatus protein lozenge (LOC129911238), mRNA</t>
  </si>
  <si>
    <t>Episyrphus balteatus</t>
  </si>
  <si>
    <t>PREDICTED: Haliaeetus albicilla zinc finger protein 644 (ZNF644), transcript variant X4, mRNA</t>
  </si>
  <si>
    <t>Exophiala bonariae uncharacterized protein (LTR84_005904), partial mRNA</t>
  </si>
  <si>
    <t>Exophiala bonariae</t>
  </si>
  <si>
    <t>PREDICTED: Procambarus clarkii uncharacterized protein (LOC138364245), transcript variant X4, mRNA</t>
  </si>
  <si>
    <t>PREDICTED: Aquila chrysaetos chrysaetos zinc finger protein 644 (ZNF644), transcript variant X8, mRNA</t>
  </si>
  <si>
    <t>Muricauda lutaonensis strain CC-HSB-11, complete genome</t>
  </si>
  <si>
    <t>Flagellimonas lutaonensis</t>
  </si>
  <si>
    <t>PREDICTED: Procambarus clarkii uncharacterized protein (LOC138364245), transcript variant X6, mRNA</t>
  </si>
  <si>
    <t>PREDICTED: Harpia harpyja zinc finger protein 644 (ZNF644), transcript variant X5, mRNA</t>
  </si>
  <si>
    <t>PREDICTED: Procambarus clarkii uncharacterized protein (LOC138364245), transcript variant X2, mRNA</t>
  </si>
  <si>
    <t>PREDICTED: Aquila chrysaetos chrysaetos zinc finger protein 644 (ZNF644), transcript variant X1, mRNA</t>
  </si>
  <si>
    <t>Paraburkholderia caribensis strain DSM 13236 chromosome 3, complete sequence</t>
  </si>
  <si>
    <t>PREDICTED: Ostrinia furnacalis mediator of RNA polymerase II transcription subunit 15-like (LOC114359909), mRNA</t>
  </si>
  <si>
    <t>Ostrinia furnacalis</t>
  </si>
  <si>
    <t>Macrhybopsis australis isolate PC mitochondrion, partial genome</t>
  </si>
  <si>
    <t>Macrhybopsis australis</t>
  </si>
  <si>
    <t>Micropterus dolomieu strain NEFC_F16-140 mitochondrion, complete genome</t>
  </si>
  <si>
    <t>Marilutibacter alkalisoli strain SJ-36 chromosome, complete genome</t>
  </si>
  <si>
    <t>Marilutibacter alkalisoli</t>
  </si>
  <si>
    <t>Lampetra fluviatilis genome assembly, chromosome: 9</t>
  </si>
  <si>
    <t>Lampetra fluviatilis</t>
  </si>
  <si>
    <t>Micropterus dolomieu mitochondrion, partial genome</t>
  </si>
  <si>
    <t>PREDICTED: Procambarus clarkii uncharacterized protein (LOC138364245), transcript variant X1, mRNA</t>
  </si>
  <si>
    <t>PREDICTED: Aquila chrysaetos chrysaetos zinc finger protein 644 (ZNF644), transcript variant X4, mRNA</t>
  </si>
  <si>
    <t>PREDICTED: Hevea brasiliensis uncharacterized LOC110672591 (LOC110672591), transcript variant X3, mRNA</t>
  </si>
  <si>
    <t>Hevea brasiliensis</t>
  </si>
  <si>
    <t>PREDICTED: Aquila chrysaetos chrysaetos zinc finger protein 644 (ZNF644), transcript variant X5, mRNA</t>
  </si>
  <si>
    <t>Percina evides isolate F18-077 mitochondrion, complete genome</t>
  </si>
  <si>
    <t>Percina evides</t>
  </si>
  <si>
    <t>Bdellovibrio bacteriovorus strain Bd13 chromosome, complete genome</t>
  </si>
  <si>
    <t>Bdellovibrio bacteriovorus</t>
  </si>
  <si>
    <t>Strongylocentrotus droebachiensis genome assembly, chromosome: 9</t>
  </si>
  <si>
    <t>Strongylocentrotus droebachiensis</t>
  </si>
  <si>
    <t>Oreochromis niloticus strain Egypt mitochondrion, complete genome</t>
  </si>
  <si>
    <t>PREDICTED: Physella acuta annulin-like (LOC131949841), mRNA</t>
  </si>
  <si>
    <t>Physella acuta</t>
  </si>
  <si>
    <t>Meleagris gallopavo genome assembly, chromosome: 3</t>
  </si>
  <si>
    <t>Meleagris gallopavo</t>
  </si>
  <si>
    <t>Paraburkholderia caribensis strain 852011 plasmid unnamed, complete sequence</t>
  </si>
  <si>
    <t>Bdellovibrio sp. BIS2 DNA, complete genome</t>
  </si>
  <si>
    <t>Bdellovibrio sp. BIS2</t>
  </si>
  <si>
    <t>Thalassoma bifasciatum voucher USNM:FISH:414445 mitochondrion, partial genome</t>
  </si>
  <si>
    <t>Thalassoma bifasciatum</t>
  </si>
  <si>
    <t>Micropterus dolomieu voucher NEFC_F16-162 mitochondrion, complete genome</t>
  </si>
  <si>
    <t>Lamprologus signatus mitochondrion, complete genome</t>
  </si>
  <si>
    <t>Lutjanus kasmira mitochondrion, complete genome</t>
  </si>
  <si>
    <t>Lutjanus kasmira</t>
  </si>
  <si>
    <t>Micropterus dolomieu voucher NEFC_F19-312 mitochondrion, complete genome</t>
  </si>
  <si>
    <t>Picea sitchensis clone WS02749_G14 unknown mRNA</t>
  </si>
  <si>
    <t>Picea sitchensis</t>
  </si>
  <si>
    <t>Nicotiana tomentosiformis calmodulin-binding transcription activator 4 gene, complete cds</t>
  </si>
  <si>
    <t>Nicotiana tomentosiformis</t>
  </si>
  <si>
    <t>Bdellovibrio bacteriovorus 109J DNA, complete genome</t>
  </si>
  <si>
    <t>Oryza sativa Japonica Group genomic DNA, chromosome 1, PAC clone:P0492G09</t>
  </si>
  <si>
    <t>Oryza sativa Japonica Group</t>
  </si>
  <si>
    <t>PREDICTED: Drosophila simulans uncharacterized LOC27209324 (LOC27209324), mRNA</t>
  </si>
  <si>
    <t>Drosophila simulans</t>
  </si>
  <si>
    <t>Bdellovibrio bacteriovorus strain MHI39 chromosome</t>
  </si>
  <si>
    <t>Sporosarcina jeotgali strain B2O-1 chromosome, complete genome</t>
  </si>
  <si>
    <t>Sporosarcina jeotgali</t>
  </si>
  <si>
    <t>Oreochromis niloticus isolate P2J2 NADH dehydrogenase subunit 5 (ND5) and NADH dehydrogenase subunit 6 (ND6) genes, partial cds; mitochondrial</t>
  </si>
  <si>
    <t>PREDICTED: Lucilia sericata paired amphipathic helix protein Sin3a (LOC119610251), transcript variant X3, mRNA</t>
  </si>
  <si>
    <t>Lucilia sericata</t>
  </si>
  <si>
    <t>Paenibacillus sp. S02 chromosome, complete genome</t>
  </si>
  <si>
    <t>Paenibacillus sp. S02</t>
  </si>
  <si>
    <t>MAG: Nitrospira sp. isolate bin_001 chromosome, complete genome</t>
  </si>
  <si>
    <t>Nitrospira sp.</t>
  </si>
  <si>
    <t>Picea sitchensis clone WS0277_O02 unknown mRNA</t>
  </si>
  <si>
    <t>PREDICTED: Accipiter gentilis zinc finger protein 644 (ZNF644), transcript variant X6, mRNA</t>
  </si>
  <si>
    <t>Paraburkholderia caribensis strain IAC-BECa88 chromosome 3, complete sequence</t>
  </si>
  <si>
    <t>Petenia splendida mitochondrion, complete genome</t>
  </si>
  <si>
    <t>Paenibacillus peoriae strain HS311, complete genome</t>
  </si>
  <si>
    <t>Paenibacillus peoriae</t>
  </si>
  <si>
    <t>Drosophila melanogaster uncharacterized protein (CG43438), mRNA</t>
  </si>
  <si>
    <t>Bdellovibrio bacteriovorus strain 109J, complete genome</t>
  </si>
  <si>
    <t>PREDICTED: Harpia harpyja zinc finger protein 644 (ZNF644), transcript variant X3, mRNA</t>
  </si>
  <si>
    <t>Paraburkholderia caribensis strain MWAP64 plasmid 1, complete sequence</t>
  </si>
  <si>
    <t>Celypha rufana genome assembly, chromosome: 4</t>
  </si>
  <si>
    <t>Celypha rufana</t>
  </si>
  <si>
    <t>Paenibacillus polymyxa strain YC0573 chromosome, complete genome</t>
  </si>
  <si>
    <t>Paenibacillus polymyxa</t>
  </si>
  <si>
    <t>Oreochromis niloticus isolate MG620 NADH dehydrogenase subunit 5 (ND5) and NADH dehydrogenase subunit 6 (ND6) genes, partial cds; mitochondrial</t>
  </si>
  <si>
    <t>1_Tps_b3v08</t>
  </si>
  <si>
    <t>Timema poppense</t>
  </si>
  <si>
    <t>PREDICTED: Haliaeetus albicilla zinc finger protein 644 (ZNF644), transcript variant X8, mRNA</t>
  </si>
  <si>
    <t>PREDICTED: Drosophila erecta uncharacterized LOC26526564 (LOC26526564), mRNA</t>
  </si>
  <si>
    <t>Drosophila erecta</t>
  </si>
  <si>
    <t>PREDICTED: Scaptodrosophila lebanonensis homeobox protein goosecoid (LOC115631252), mRNA</t>
  </si>
  <si>
    <t>Scaptodrosophila lebanonensis</t>
  </si>
  <si>
    <t>PREDICTED: Aquila chrysaetos chrysaetos zinc finger protein 644 (ZNF644), transcript variant X12, mRNA</t>
  </si>
  <si>
    <t>Oreochromis niloticus isolate TZ001 NADH dehydrogenase subunit 5 (ND5) and NADH dehydrogenase subunit 6 (ND6) genes, partial cds; mitochondrial</t>
  </si>
  <si>
    <t>Trypanosoma theileri uncharacterized protein (TM35_000051560), partial mRNA</t>
  </si>
  <si>
    <t>Trypanosoma theileri</t>
  </si>
  <si>
    <t>PREDICTED: Haliaeetus albicilla zinc finger protein 644 (ZNF644), transcript variant X6, mRNA</t>
  </si>
  <si>
    <t>Thalassiosira pseudonana CCMP1335 predicted protein partial mRNA</t>
  </si>
  <si>
    <t>Thalassiosira pseudonana CCMP1335</t>
  </si>
  <si>
    <t>Pleurota bicostella genome assembly, chromosome: 29</t>
  </si>
  <si>
    <t>Micropterus punctulatus isolate BC-7 mitochondrion, partial genome</t>
  </si>
  <si>
    <t>Micropterus punctulatus</t>
  </si>
  <si>
    <t>PREDICTED: Lucilia sericata paired amphipathic helix protein Sin3a (LOC119610251), transcript variant X1, mRNA</t>
  </si>
  <si>
    <t>Oryza sativa Japonica Group cDNA clone:J023050E05, full insert sequence</t>
  </si>
  <si>
    <t>Hymenobacter aerilatus strain 5413 J-13 chromosome, complete genome</t>
  </si>
  <si>
    <t>Hymenobacter aerilatus</t>
  </si>
  <si>
    <t>Bdellovibrio bacteriovorus strain MHI154 chromosome</t>
  </si>
  <si>
    <t>PREDICTED: Accipiter gentilis zinc finger protein 644 (ZNF644), transcript variant X11, mRNA</t>
  </si>
  <si>
    <t>Hyporhamphus dussumieri mitochondrion, complete genome</t>
  </si>
  <si>
    <t>Hyporhamphus dussumieri</t>
  </si>
  <si>
    <t>Bathycoccus prasinos F3F9.7 (Bathy07g03980), partial mRNA</t>
  </si>
  <si>
    <t>Bathycoccus prasinos</t>
  </si>
  <si>
    <t>PREDICTED: Harpia harpyja zinc finger protein 644 (ZNF644), transcript variant X1, mRNA</t>
  </si>
  <si>
    <t>Drosophila melanogaster clone BACR27A15, complete sequence</t>
  </si>
  <si>
    <t>Picea glauca clone GQ03605_L08 mRNA sequence</t>
  </si>
  <si>
    <t>Picea glauca</t>
  </si>
  <si>
    <t>Paenibacillus polymyxa strain S3 chromosome, complete genome</t>
  </si>
  <si>
    <t>Drosophila obscura genome assembly, chromosome: 1</t>
  </si>
  <si>
    <t>Drosophila obscura</t>
  </si>
  <si>
    <t>Vanrija pseudolonga uncharacterized protein (LOC62_03G003614), partial mRNA</t>
  </si>
  <si>
    <t>Vanrija pseudolonga</t>
  </si>
  <si>
    <t>Paenibacillus polymyxa CR1, complete genome</t>
  </si>
  <si>
    <t>Paenibacillus polymyxa CR1</t>
  </si>
  <si>
    <t>Cupriavidus sp. LA-1 DNA, chromosome 1, complete sequence</t>
  </si>
  <si>
    <t>Cupriavidus sp. LA-1</t>
  </si>
  <si>
    <t>Flustra foliacea genome assembly, chromosome: 6</t>
  </si>
  <si>
    <t>Flustra foliacea</t>
  </si>
  <si>
    <t>Colisa lalia mitochondrion, complete genome</t>
  </si>
  <si>
    <t>Verruconis gallopava hypothetical protein, variant 1 (PV09_09485), mRNA</t>
  </si>
  <si>
    <t>Verruconis gallopava</t>
  </si>
  <si>
    <t>PREDICTED: Lucilia sericata paired amphipathic helix protein Sin3a (LOC119610251), transcript variant X4, mRNA</t>
  </si>
  <si>
    <t>PREDICTED: Accipiter gentilis zinc finger protein 644 (ZNF644), transcript variant X2, mRNA</t>
  </si>
  <si>
    <t>Leishmania braziliensis isolate MHOM/BR/75/M2903 genome assembly, chromosome: 27</t>
  </si>
  <si>
    <t>Leishmania braziliensis</t>
  </si>
  <si>
    <t>Bdellovibrio bacteriovorus strain MHI179 chromosome</t>
  </si>
  <si>
    <t>PREDICTED: Haliaeetus albicilla zinc finger protein 644 (ZNF644), transcript variant X11, mRNA</t>
  </si>
  <si>
    <t>Oryzias latipes Hd-rR DNA, chromosome 11</t>
  </si>
  <si>
    <t>Bdellovibrio bacteriovorus strain MHI153 chromosome</t>
  </si>
  <si>
    <t>PREDICTED: Harpia harpyja zinc finger protein 644 (ZNF644), transcript variant X15, mRNA</t>
  </si>
  <si>
    <t>Brucella pseudogrignonensis strain NBC51/LBA8980 chromosome 2, complete sequence</t>
  </si>
  <si>
    <t>Brucella pseudogrignonensis</t>
  </si>
  <si>
    <t>PREDICTED: Drosophila busckii uncharacterized LOC108600235 (LOC108600235), ncRNA</t>
  </si>
  <si>
    <t>Drosophila busckii</t>
  </si>
  <si>
    <t>PREDICTED: Aquila chrysaetos chrysaetos zinc finger protein 644 (ZNF644), transcript variant X7, mRNA</t>
  </si>
  <si>
    <t>Scytosiphon dotyi isolate ULXR_2015791 putative LOV domain-containing protein mRNA, complete cds</t>
  </si>
  <si>
    <t>Scytosiphon dotyi</t>
  </si>
  <si>
    <t>PREDICTED: Aquila chrysaetos chrysaetos zinc finger protein 644 (ZNF644), transcript variant X9, mRNA</t>
  </si>
  <si>
    <t>Alysiella filiformis DSM 16848 chromosome, complete genome</t>
  </si>
  <si>
    <t>Alysiella filiformis DSM 16848</t>
  </si>
  <si>
    <t>Bdellovibrio bacteriovorus strain HD100-Sm chromosome</t>
  </si>
  <si>
    <t>PREDICTED: Aquila chrysaetos chrysaetos zinc finger protein 644 (ZNF644), transcript variant X3, mRNA</t>
  </si>
  <si>
    <t>Paraburkholderia largidicola PGU16 plasmid PPGU16_p1 DNA, complete sequence</t>
  </si>
  <si>
    <t>Paraburkholderia largidicola</t>
  </si>
  <si>
    <t>Lampetra planeri genome assembly, chromosome: 50</t>
  </si>
  <si>
    <t>Lampetra planeri</t>
  </si>
  <si>
    <t>PREDICTED: Harpia harpyja zinc finger protein 644 (ZNF644), transcript variant X16, mRNA</t>
  </si>
  <si>
    <t>Celypha rufana genome assembly, chromosome: 10</t>
  </si>
  <si>
    <t>Bdellovibrio bacteriovorus strain MHI182 chromosome</t>
  </si>
  <si>
    <t>PREDICTED: Aquila chrysaetos chrysaetos zinc finger protein 644 (ZNF644), transcript variant X2, mRNA</t>
  </si>
  <si>
    <t>Neisseria animaloris strain NCTC12228 genome assembly, chromosome: 1</t>
  </si>
  <si>
    <t>Neisseria animaloris</t>
  </si>
  <si>
    <t>Sphaeroderma testaceum genome assembly, chromosome: 12</t>
  </si>
  <si>
    <t>Sphaeroderma testaceum</t>
  </si>
  <si>
    <t>PREDICTED: Kogia breviceps epithelial splicing regulatory protein 1 (ESRP1), transcript variant X5, mRNA</t>
  </si>
  <si>
    <t>Neisseria mucosa strain FDAARGOS_260 chromosome, complete genome</t>
  </si>
  <si>
    <t>Neisseria mucosa</t>
  </si>
  <si>
    <t>Aspergillus versicolor CBS 583.65 uncharacterized protein (ASPVEDRAFT_148957), mRNA</t>
  </si>
  <si>
    <t>Aspergillus versicolor CBS 583.65</t>
  </si>
  <si>
    <t>PREDICTED: Carassius gibelio uncharacterized LOC127975838 (LOC127975838), transcript variant X2, mRNA</t>
  </si>
  <si>
    <t>Carassius gibelio</t>
  </si>
  <si>
    <t>Serratia marcescens strain RX11 chromosome, complete genome</t>
  </si>
  <si>
    <t>Chamelea gallina genome assembly, chromosome: 12</t>
  </si>
  <si>
    <t>Chamelea gallina</t>
  </si>
  <si>
    <t>Oryza sativa indica subgroup Inn Ma Yebaw DNA, chromosome: 1</t>
  </si>
  <si>
    <t>Oryza sativa indica subgroup</t>
  </si>
  <si>
    <t>PREDICTED: Phlebotomus papatasi juvenile hormone acid O-methyltransferase (LOC129806051), mRNA</t>
  </si>
  <si>
    <t>Phlebotomus papatasi</t>
  </si>
  <si>
    <t>Lampetra fluviatilis genome assembly, chromosome: 50</t>
  </si>
  <si>
    <t>Paenibacillus polymyxa strain R 3.13 chromosome, complete genome</t>
  </si>
  <si>
    <t>MAG: Prolixibacteraceae bacterium isolate b447ad2f-0f31-4fdd-ae10-27f3e0d7a12a genome assembly, chromosome: 1</t>
  </si>
  <si>
    <t>Prolixibacteraceae bacterium</t>
  </si>
  <si>
    <t>Phytophthora parasitica INRA-310 hypothetical protein mRNA</t>
  </si>
  <si>
    <t>Phytophthora nicotianae INRA-310</t>
  </si>
  <si>
    <t>PREDICTED: Kogia breviceps epithelial splicing regulatory protein 1 (ESRP1), transcript variant X1, mRNA</t>
  </si>
  <si>
    <t>Cochylis atricapitana genome assembly, chromosome: 28</t>
  </si>
  <si>
    <t>Cochylis atricapitana</t>
  </si>
  <si>
    <t>Lotus japonicus genomic DNA, chromosome 3, clone: LjT38M18, TM1917, complete sequence</t>
  </si>
  <si>
    <t>Lotus japonicus</t>
  </si>
  <si>
    <t>PREDICTED: Harpia harpyja zinc finger protein 644 (ZNF644), transcript variant X10, mRNA</t>
  </si>
  <si>
    <t>Methanolobus sp. ZRKC2 chromosome, complete genome</t>
  </si>
  <si>
    <t>Methanolobus sp. ZRKC2</t>
  </si>
  <si>
    <t>Bdellovibrio bacteriovorus strain MHI167 chromosome</t>
  </si>
  <si>
    <t>PREDICTED: Accipiter gentilis zinc finger protein 644 (ZNF644), transcript variant X3, mRNA</t>
  </si>
  <si>
    <t>Treponema phagedenis strain T320A chromosome, complete genome</t>
  </si>
  <si>
    <t>Treponema phagedenis</t>
  </si>
  <si>
    <t>MAG: Candidatus Cloacimonadales bacterium isolate 65c66405-a38e-4cb1-a3a4-7640fae4a1c6 genome assembly, chromosome: 1</t>
  </si>
  <si>
    <t>Candidatus Cloacimonadales bacterium</t>
  </si>
  <si>
    <t>Lutjanus kasmira voucher USNM:FISH:466540 mitochondrion, complete genome</t>
  </si>
  <si>
    <t>MAG: Prolixibacteraceae bacterium isolate 2ae1e426-2998-44fe-a66b-36c3e3a88dfa genome assembly, chromosome: 1</t>
  </si>
  <si>
    <t>PREDICTED: Lucilia sericata paired amphipathic helix protein Sin3a (LOC119610251), transcript variant X2, mRNA</t>
  </si>
  <si>
    <t>PREDICTED: Harpia harpyja zinc finger protein 644 (ZNF644), transcript variant X11, mRNA</t>
  </si>
  <si>
    <t>Neisseria shayeganii strain DSM 22244 chromosome, complete genome</t>
  </si>
  <si>
    <t>Neisseria shayeganii</t>
  </si>
  <si>
    <t>PREDICTED: Harpia harpyja zinc finger protein 644 (ZNF644), transcript variant X13, mRNA</t>
  </si>
  <si>
    <t>Treponema phagedenis strain KS1 chromosome, complete genome</t>
  </si>
  <si>
    <t>Bdellovibrio bacteriovorus strain MHI353 chromosome</t>
  </si>
  <si>
    <t>Cytobacillus pseudoceanisediminis strain GXU-Z9 chromosome, complete genome</t>
  </si>
  <si>
    <t>Cytobacillus pseudoceanisediminis</t>
  </si>
  <si>
    <t>Neisseria mucosa strain ATCC 19696 chromosome, complete genome</t>
  </si>
  <si>
    <t>Bdellovibrio bacteriovorus complete genome, strain HD100; segment 3/11</t>
  </si>
  <si>
    <t>Bdellovibrio bacteriovorus HD100</t>
  </si>
  <si>
    <t>PREDICTED: Haliaeetus albicilla zinc finger protein 644 (ZNF644), transcript variant X7, mRNA</t>
  </si>
  <si>
    <t>Neisseria leonii strain CCUG 45853 chromosome, complete genome</t>
  </si>
  <si>
    <t>Neisseria leonii</t>
  </si>
  <si>
    <t>Epibulus insidiator voucher USNM:FISH:444128 mitochondrion, complete genome</t>
  </si>
  <si>
    <t>Epibulus insidiator</t>
  </si>
  <si>
    <t>Hymenobacter sp. BT18 chromosome, complete genome</t>
  </si>
  <si>
    <t>Hymenobacter sp. BT18</t>
  </si>
  <si>
    <t>Bdellovibrio bacteriovorus str. Tiberius, complete genome</t>
  </si>
  <si>
    <t>Bdellovibrio bacteriovorus str. Tiberius</t>
  </si>
  <si>
    <t>Oryza sativa Japonica Group genomic DNA, chromosome 1, PAC clone:P0423A12</t>
  </si>
  <si>
    <t>Turicibacter bilis strain MMM721 chromosome, complete genome</t>
  </si>
  <si>
    <t>Turicibacter bilis</t>
  </si>
  <si>
    <t>PREDICTED: Danio aesculapii uncharacterized protein LOC735300 homolog (zgc:123181), mRNA</t>
  </si>
  <si>
    <t>Danio aesculapii</t>
  </si>
  <si>
    <t>Cytobacillus oceanisediminis strain CK22 chromosome, complete genome</t>
  </si>
  <si>
    <t>Treponema phagedenis strain B43.1 chromosome, complete genome</t>
  </si>
  <si>
    <t>MAG: Gammaproteobacteria bacterium isolate 804a2bfb-9c7e-4e06-b795-02af6ddb82b1 genome assembly, chromosome: 1</t>
  </si>
  <si>
    <t>Gammaproteobacteria bacterium</t>
  </si>
  <si>
    <t>PREDICTED: Accipiter gentilis zinc finger protein 644 (ZNF644), transcript variant X1, mRNA</t>
  </si>
  <si>
    <t>Urochloa humidicola genome assembly, chromosome: 2A_hap1</t>
  </si>
  <si>
    <t>Urochloa humidicola</t>
  </si>
  <si>
    <t>Plasmopara halstedii uncharacterized protein (PHALS_12404), partial mRNA</t>
  </si>
  <si>
    <t>Plasmopara halstedii</t>
  </si>
  <si>
    <t>PREDICTED: Harpia harpyja zinc finger protein 644 (ZNF644), transcript variant X12, mRNA</t>
  </si>
  <si>
    <t>Turicibacter bilis strain PIG517 chromosome, complete genome</t>
  </si>
  <si>
    <t>Pungitius pungitius genome assembly, chromosome: 14</t>
  </si>
  <si>
    <t>Pungitius pungitius</t>
  </si>
  <si>
    <t>Thalassoma lutescens voucher USNM:FISH:446481 mitochondrion, complete genome</t>
  </si>
  <si>
    <t>Thalassoma lutescens</t>
  </si>
  <si>
    <t>Morococcus cerebrosus strain CIP 81.93 chromosome, complete genome</t>
  </si>
  <si>
    <t>Morococcus cerebrosus</t>
  </si>
  <si>
    <t>PREDICTED: Citrus clementina DUF21 domain-containing protein At4g14240 (LOC18033221), transcript variant X1, mRNA</t>
  </si>
  <si>
    <t>Citrus x clementina</t>
  </si>
  <si>
    <t>PREDICTED: Accipiter gentilis zinc finger protein 644 (ZNF644), transcript variant X8, mRNA</t>
  </si>
  <si>
    <t>MAG: Gammaproteobacteria bacterium isolate 457aa983-13f5-4761-8b96-2d70fbf5bd89 genome assembly, chromosome: 27</t>
  </si>
  <si>
    <t>PREDICTED: Dermacentor silvarum uncharacterized LOC119446630 (LOC119446630), transcript variant X2, mRNA</t>
  </si>
  <si>
    <t>Dermacentor silvarum</t>
  </si>
  <si>
    <t>Paenibacillus peoriae strain JJ21 chromosome, complete genome</t>
  </si>
  <si>
    <t>MAG: Roseibium sp. isolate 571153a5-cff4-44d7-992a-ac6b2d4dc168 genome assembly, chromosome: 1</t>
  </si>
  <si>
    <t>Roseibium sp.</t>
  </si>
  <si>
    <t>PREDICTED: Amaranthus tricolor arginyl-tRNA--protein transferase 2-like (LOC130803041), transcript variant X2, mRNA</t>
  </si>
  <si>
    <t>Amaranthus tricolor</t>
  </si>
  <si>
    <t>PREDICTED: Haliaeetus albicilla zinc finger protein 644 (ZNF644), transcript variant X12, mRNA</t>
  </si>
  <si>
    <t>Verruconis gallopava hypothetical protein, variant 2 (PV09_09485), mRNA</t>
  </si>
  <si>
    <t>PREDICTED: Amaranthus tricolor arginyl-tRNA--protein transferase 2-like (LOC130803041), transcript variant X1, mRNA</t>
  </si>
  <si>
    <t>PREDICTED: Accipiter gentilis zinc finger protein 644 (ZNF644), transcript variant X7, mRNA</t>
  </si>
  <si>
    <t>Oryza sativa indica subgroup Inn Ma Yebaw DNA, chromosome: 10</t>
  </si>
  <si>
    <t>Phytophthora parasitica INRA-310 hypothetical protein partial mRNA</t>
  </si>
  <si>
    <t>PREDICTED: Aquila chrysaetos chrysaetos zinc finger protein 644 (ZNF644), transcript variant X13, mRNA</t>
  </si>
  <si>
    <t>Neisseria dumasiana strain LMG 30012 chromosome, complete genome</t>
  </si>
  <si>
    <t>Neisseria dumasiana</t>
  </si>
  <si>
    <t>PREDICTED: Citrus sinensis DUF21 domain-containing protein At4g14240-like (LOC102626439), transcript variant X1, mRNA</t>
  </si>
  <si>
    <t>Citrus sinensis</t>
  </si>
  <si>
    <t>Oryza sativa Japonica Group protein indeterminate-domain 12 (LOC4326790), mRNA</t>
  </si>
  <si>
    <t>MAG: Dehalococcoidia bacterium isolate 2a701ac0-cd12-4bd3-a765-5d076d8969a5 genome assembly, chromosome: 1</t>
  </si>
  <si>
    <t>Dehalococcoidia bacterium</t>
  </si>
  <si>
    <t>PREDICTED: Arachis ipaensis transcription factor MYB33 (LOC107614013), transcript variant X2, mRNA</t>
  </si>
  <si>
    <t>Arachis ipaensis</t>
  </si>
  <si>
    <t>Melanogrammus aeglefinus genome assembly, chromosome: 19</t>
  </si>
  <si>
    <t>Melanogrammus aeglefinus</t>
  </si>
  <si>
    <t>4_Tbi_b3v08</t>
  </si>
  <si>
    <t>Timema bartmani</t>
  </si>
  <si>
    <t>PREDICTED: Citrus sinensis DUF21 domain-containing protein At4g14240-like (LOC102626439), transcript variant X2, mRNA</t>
  </si>
  <si>
    <t>PREDICTED: Harpia harpyja zinc finger protein 644 (ZNF644), transcript variant X7, mRNA</t>
  </si>
  <si>
    <t>PREDICTED: Haliaeetus albicilla zinc finger protein 644 (ZNF644), transcript variant X2, mRNA</t>
  </si>
  <si>
    <t>Celypha rufana genome assembly, chromosome: 6</t>
  </si>
  <si>
    <t>Lampetra fluviatilis genome assembly, chromosome: 46</t>
  </si>
  <si>
    <t>PREDICTED: Oryzias melastigma tet methylcytosine dioxygenase 1 (tet1), transcript variant X1, mRNA</t>
  </si>
  <si>
    <t>Oryzias melastigma</t>
  </si>
  <si>
    <t>Cadophora gregata uncharacterized protein (ONS95_001447), partial mRNA</t>
  </si>
  <si>
    <t>Cadophora gregata</t>
  </si>
  <si>
    <t>PREDICTED: Arachis hypogaea transcription factor MYB33 (LOC112771749), mRNA</t>
  </si>
  <si>
    <t>Arachis hypogaea</t>
  </si>
  <si>
    <t>MAG: uncultured Francisella sp. isolate 2a53cf94-83e5-4e59-a8b8-ac2d965da9a7 genome assembly, chromosome: 1</t>
  </si>
  <si>
    <t>uncultured Francisella sp.</t>
  </si>
  <si>
    <t>PREDICTED: Citrus clementina DUF21 domain-containing protein At4g14240 (LOC18033221), transcript variant X2, mRNA</t>
  </si>
  <si>
    <t>PREDICTED: Oryzias melastigma tet methylcytosine dioxygenase 1 (tet1), transcript variant X2, mRNA</t>
  </si>
  <si>
    <t>Turicibacter sp. H121 chromosome, complete genome</t>
  </si>
  <si>
    <t>Turicibacter sp. H121</t>
  </si>
  <si>
    <t>PREDICTED: Penaeus indicus uncharacterized LOC134780232 (LOC134780232), mRNA</t>
  </si>
  <si>
    <t>Penaeus indicus</t>
  </si>
  <si>
    <t>Larimichthys polyactis mitochondrion, complete genome</t>
  </si>
  <si>
    <t>MAG: Victivallales bacterium isolate 31a4d9ff-eb2b-44ba-b10b-e3ac66b60536 genome assembly, chromosome: 1</t>
  </si>
  <si>
    <t>Victivallales bacterium</t>
  </si>
  <si>
    <t>PREDICTED: Lotus japonicus geraniol 8-hydroxylase-like (LOC130747832), mRNA</t>
  </si>
  <si>
    <t>Macrhybopsis aestivalis isolate PR mitochondrion, complete genome</t>
  </si>
  <si>
    <t>Macrhybopsis aestivalis</t>
  </si>
  <si>
    <t>Neisseria canis strain NCTC10296 genome assembly, chromosome: 1</t>
  </si>
  <si>
    <t>Neisseria canis</t>
  </si>
  <si>
    <t>1_Tdi_b3v08</t>
  </si>
  <si>
    <t>Timema douglasi</t>
  </si>
  <si>
    <t>Lampetra planeri genome assembly, chromosome: 8</t>
  </si>
  <si>
    <t>PREDICTED: Arachis ipaensis transcription factor MYB33 (LOC107614013), transcript variant X1, mRNA</t>
  </si>
  <si>
    <t>PREDICTED: Cheilinus undulatus serine/threonine kinase 40 (stk40), mRNA</t>
  </si>
  <si>
    <t>Cheilinus undulatus</t>
  </si>
  <si>
    <t>MAG: Sediminibacterium sp. isolate 658cf594-4940-4eb5-991f-e3fd0e84b64a genome assembly, chromosome: 1</t>
  </si>
  <si>
    <t>Sediminibacterium sp.</t>
  </si>
  <si>
    <t>Lotus japonicus genomic DNA, chromosome 3, clone: LjT30G11, TM0757, complete sequence</t>
  </si>
  <si>
    <t>Gobiusculus flavescens genome assembly, chromosome: 17</t>
  </si>
  <si>
    <t>Gobiusculus flavescens</t>
  </si>
  <si>
    <t>Treponema phagedenis strain S8.5 chromosome</t>
  </si>
  <si>
    <t>Chamelea gallina genome assembly, chromosome: 13</t>
  </si>
  <si>
    <t>PREDICTED: Harpia harpyja zinc finger protein 644 (ZNF644), transcript variant X4, mRNA</t>
  </si>
  <si>
    <t>Scleropages formosus isolate BG308 mitochondrion, complete genome</t>
  </si>
  <si>
    <t>Scleropages formosus</t>
  </si>
  <si>
    <t>PREDICTED: Harpia harpyja zinc finger protein 644 (ZNF644), transcript variant X6, mRNA</t>
  </si>
  <si>
    <t>Treponema phagedenis strain KS-1 chromosome</t>
  </si>
  <si>
    <t>PREDICTED: Solea senegalensis carbohydrate sulfotransferase 1-like (LOC122775490), mRNA</t>
  </si>
  <si>
    <t>Vibrio alginolyticus strain CG-1 chromosome 1, complete sequence</t>
  </si>
  <si>
    <t>Vibrio alginolyticus</t>
  </si>
  <si>
    <t>PREDICTED: Accipiter gentilis zinc finger protein 644 (ZNF644), transcript variant X5, mRNA</t>
  </si>
  <si>
    <t>Paracoccaceae bacterium isolate LH-M10 genome assembly, chromosome: LH-M10-c2</t>
  </si>
  <si>
    <t>Paracoccaceae bacterium</t>
  </si>
  <si>
    <t>PREDICTED: Haliotis rufescens growth arrest-specific protein 1-like (LOC124127408), mRNA</t>
  </si>
  <si>
    <t>Haliotis rufescens</t>
  </si>
  <si>
    <t>Lutjanus griseus voucher USNM:FISH:416519 mitochondrion, complete genome</t>
  </si>
  <si>
    <t>Lutjanus griseus</t>
  </si>
  <si>
    <t>Pungitius pungitius genome assembly, chromosome: 13</t>
  </si>
  <si>
    <t>Serranus notospilus voucher USNM:FISH:414984 mitochondrion, complete genome</t>
  </si>
  <si>
    <t>Serranus notospilus</t>
  </si>
  <si>
    <t>Urochloa humidicola genome assembly, chromosome: 6B_hap2</t>
  </si>
  <si>
    <t>Neosilurus hyrtlii isolate CES-001 mitochondrion, complete genome</t>
  </si>
  <si>
    <t>Neosilurus hyrtlii</t>
  </si>
  <si>
    <t>PREDICTED: Carassius gibelio uncharacterized LOC127975838 (LOC127975838), transcript variant X1, mRNA</t>
  </si>
  <si>
    <t>Bdellovibrio sp. SKB1291214 chromosome, complete genome</t>
  </si>
  <si>
    <t>Bdellovibrio sp. SKB1291214</t>
  </si>
  <si>
    <t>PREDICTED: Lucilia cuprina regulator of G-protein signaling 17 (LOC111687142), mRNA</t>
  </si>
  <si>
    <t>Lucilia cuprina</t>
  </si>
  <si>
    <t>PREDICTED: Haliaeetus albicilla zinc finger protein 644 (ZNF644), transcript variant X3, mRNA</t>
  </si>
  <si>
    <t>Methanolobus sp. ZRKC4 chromosome, complete genome</t>
  </si>
  <si>
    <t>Methanolobus sp. ZRKC4</t>
  </si>
  <si>
    <t>Enterobacter sp. SA24 chromosome, complete genome</t>
  </si>
  <si>
    <t>Enterobacter sp. SA24</t>
  </si>
  <si>
    <t>Lutjanus kasmira voucher USNM:FISH:466538 mitochondrion, complete genome</t>
  </si>
  <si>
    <t>Verruconis gallopava uncharacterized protein (PV09_09485), mRNA</t>
  </si>
  <si>
    <t>Cryptocarya kwangtungensis mitochondrial, complete genome</t>
  </si>
  <si>
    <t>Cryptocarya kwangtungensis</t>
  </si>
  <si>
    <t>PREDICTED: Aquila chrysaetos chrysaetos zinc finger protein 644 (ZNF644), transcript variant X6, mRNA</t>
  </si>
  <si>
    <t>Sarotherodon galilaeus mitochondrion, complete genome</t>
  </si>
  <si>
    <t>PREDICTED: Oryza glaberrima protein indeterminate-domain 12-like (LOC127767206), mRNA</t>
  </si>
  <si>
    <t>Oryza glaberrima</t>
  </si>
  <si>
    <t>Paraburkholderia sp. 22B1P plasmid p22B1P1 DNA, complete sequence</t>
  </si>
  <si>
    <t>Paraburkholderia sp. 22B1P</t>
  </si>
  <si>
    <t>Vibrio alginolyticus strain Isc1B chromosome 1, complete sequence</t>
  </si>
  <si>
    <t>Celypha rufana genome assembly, chromosome: Z</t>
  </si>
  <si>
    <t>Agrobacterium sp. RAC06 chromosome, complete sequence</t>
  </si>
  <si>
    <t>Agrobacterium sp. RAC06</t>
  </si>
  <si>
    <t>Pirellulaceae bacterium SH467 chromosome, complete genome</t>
  </si>
  <si>
    <t>Pirellulaceae bacterium SH467</t>
  </si>
  <si>
    <t>PREDICTED: Haliaeetus albicilla zinc finger protein 644 (ZNF644), transcript variant X5, mRNA</t>
  </si>
  <si>
    <t>Leishmania braziliensis isolate MHOM/BR/75/M2904 genome assembly, chromosome: 27</t>
  </si>
  <si>
    <t>Streptomyces noursei strain IFO14147 chromosome, complete genome</t>
  </si>
  <si>
    <t>Streptomyces noursei</t>
  </si>
  <si>
    <t>Lutjanus kasmira voucher USNM:FISH:466537 mitochondrion, complete genome</t>
  </si>
  <si>
    <t>Urochloa humidicola genome assembly, chromosome: 2A_hap2</t>
  </si>
  <si>
    <t>PREDICTED: Lucilia sericata regulator of G-protein signaling 17 (LOC119615742), transcript variant X1, mRNA</t>
  </si>
  <si>
    <t>PREDICTED: Diospyros lotus elongation factor G-1, mitochondrial (LOC127801899), transcript variant X1, mRNA</t>
  </si>
  <si>
    <t>Diospyros lotus</t>
  </si>
  <si>
    <t>MAG: Paracoccaceae bacterium isolate amkv18 chromosome, complete genome</t>
  </si>
  <si>
    <t>PREDICTED: Sebastes fasciatus uncharacterized LOC141761193 (LOC141761193), mRNA</t>
  </si>
  <si>
    <t>Sebastes fasciatus</t>
  </si>
  <si>
    <t>PREDICTED: Gambusia affinis ephrin-A5b-like (LOC122846979), transcript variant X1, mRNA</t>
  </si>
  <si>
    <t>Gambusia affinis</t>
  </si>
  <si>
    <t>Neisseria mucosa JCM 12992 DNA, complete genome</t>
  </si>
  <si>
    <t>PREDICTED: Drosophila kikkawai Down syndrome cell adhesion molecule 2 (Dscam2), transcript variant X3, mRNA</t>
  </si>
  <si>
    <t>Drosophila kikkawai</t>
  </si>
  <si>
    <t>PREDICTED: Topomyia yanbarensis small conductance calcium-activated potassium channel protein (LOC131689160), transcript variant X12, mRNA</t>
  </si>
  <si>
    <t>Topomyia yanbarensis</t>
  </si>
  <si>
    <t>Treponema phagedenis strain B31.4 chromosome, complete genome</t>
  </si>
  <si>
    <t>PREDICTED: Phycodurus eques estrogen-related receptor beta (esrrb), transcript variant X2, mRNA</t>
  </si>
  <si>
    <t>Phycodurus eques</t>
  </si>
  <si>
    <t>PREDICTED: Acropora palmata growth arrest-specific protein 2-like (LOC141893632), mRNA</t>
  </si>
  <si>
    <t>Acropora palmata</t>
  </si>
  <si>
    <t>Corynebacterium belfantii strain PC0635 chromosome, complete genome</t>
  </si>
  <si>
    <t>Corynebacterium belfantii</t>
  </si>
  <si>
    <t>Chionodes viduella genome assembly, chromosome: 26</t>
  </si>
  <si>
    <t>Chionodes viduella</t>
  </si>
  <si>
    <t>PREDICTED: Topomyia yanbarensis small conductance calcium-activated potassium channel protein (LOC131689160), transcript variant X2, mRNA</t>
  </si>
  <si>
    <t>Pistia stratiotes mitochondrion, complete genome</t>
  </si>
  <si>
    <t>Pistia stratiotes</t>
  </si>
  <si>
    <t>PREDICTED: Periplaneta americana UNC-79 domain-containing protein (unc79), transcript variant X3, mRNA</t>
  </si>
  <si>
    <t>Periplaneta americana</t>
  </si>
  <si>
    <t>PREDICTED: Pseudochaenichthys georgianus integrin, beta 1a (itgb1a), transcript variant X1, mRNA</t>
  </si>
  <si>
    <t>Pseudochaenichthys georgianus</t>
  </si>
  <si>
    <t>PREDICTED: Heptranchias perlo PPFIA binding protein 1b (ppfibp1b), transcript variant X11, mRNA</t>
  </si>
  <si>
    <t>Heptranchias perlo</t>
  </si>
  <si>
    <t>Marivivens sp. JLT3646 plasmid unnamed, complete sequence</t>
  </si>
  <si>
    <t>Marivivens sp. JLT3646</t>
  </si>
  <si>
    <t>PREDICTED: Pseudochaenichthys georgianus integrin, beta 1a (itgb1a), transcript variant X2, mRNA</t>
  </si>
  <si>
    <t>Malus domestica cultivar Golden Delicious chromosome 07</t>
  </si>
  <si>
    <t>Malus domestica</t>
  </si>
  <si>
    <t>Persicobacter psychrovividus NBRC 101262 DNA, complete genome</t>
  </si>
  <si>
    <t>Persicobacter psychrovividus</t>
  </si>
  <si>
    <t>PREDICTED: Bactrocera dorsalis serine protease filzig (LOC105224560), transcript variant X1, mRNA</t>
  </si>
  <si>
    <t>Bactrocera dorsalis</t>
  </si>
  <si>
    <t>Pungitius pungitius genome assembly, chromosome: 22</t>
  </si>
  <si>
    <t>Lamprologus congoensis mitochondrion, complete genome</t>
  </si>
  <si>
    <t>PREDICTED: Colius striatus ATPase H+ transporting V0 subunit a4 (ATP6V0A4), transcript variant X2, mRNA</t>
  </si>
  <si>
    <t>Colius striatus</t>
  </si>
  <si>
    <t>Agrobacterium sp. MA01 chromosome, complete genome</t>
  </si>
  <si>
    <t>Agrobacterium sp. MA01</t>
  </si>
  <si>
    <t>PREDICTED: Anopheles coustani la-related protein Larp4B (LOC131265033), mRNA</t>
  </si>
  <si>
    <t>Anopheles coustani</t>
  </si>
  <si>
    <t>PREDICTED: Periplaneta americana UNC-79 domain-containing protein (unc79), transcript variant X9, mRNA</t>
  </si>
  <si>
    <t>Novosphingobium kaempferiae strain Sx8-5 chromosome, complete genome</t>
  </si>
  <si>
    <t>Novosphingobium kaempferiae</t>
  </si>
  <si>
    <t>Bathymodiolus thermophilus genome assembly, chromosome: 12</t>
  </si>
  <si>
    <t>Bathymodiolus thermophilus</t>
  </si>
  <si>
    <t>PREDICTED: Anopheles gambiae inositol polyphosphate 1-phosphatase (LOC1278631), transcript variant X6, mRNA</t>
  </si>
  <si>
    <t>Anopheles gambiae</t>
  </si>
  <si>
    <t>PREDICTED: Musca autumnalis uncharacterized protein (LOC141403343), transcript variant X3, mRNA</t>
  </si>
  <si>
    <t>Musca autumnalis</t>
  </si>
  <si>
    <t>PREDICTED: Cornus florida elongation factor G-2, mitochondrial-like (LOC132299141), mRNA</t>
  </si>
  <si>
    <t>Cornus florida</t>
  </si>
  <si>
    <t>Paraburkholderia hospita strain DSM 17164 chromosome 3, complete sequence</t>
  </si>
  <si>
    <t>Paraburkholderia hospita</t>
  </si>
  <si>
    <t>Magnolia kwangsiensis chromosome 2 mitochondrion, complete sequence</t>
  </si>
  <si>
    <t>Magnolia kwangsiensis</t>
  </si>
  <si>
    <t>PREDICTED: Heptranchias perlo PPFIA binding protein 1b (ppfibp1b), transcript variant X9, mRNA</t>
  </si>
  <si>
    <t>MAG: Henriciella sp. isolate 6a540bbb-ab14-49cc-a378-5ad82c610573 genome assembly, chromosome: 1</t>
  </si>
  <si>
    <t>Henriciella sp.</t>
  </si>
  <si>
    <t>Novosphingobium sp. KA1 chromosome 1, complete sequence</t>
  </si>
  <si>
    <t>Novosphingobium sp. KA1</t>
  </si>
  <si>
    <t>PREDICTED: Desmodus rotundus growth differentiation factor 3 (GDF3), mRNA</t>
  </si>
  <si>
    <t>Desmodus rotundus</t>
  </si>
  <si>
    <t>PREDICTED: Haliotis cracherodii growth arrest-specific protein 1-like (LOC139443864), mRNA</t>
  </si>
  <si>
    <t>Haliotis cracherodii</t>
  </si>
  <si>
    <t>Paenibacillus sp. S25 chromosome, complete genome</t>
  </si>
  <si>
    <t>Paenibacillus sp. S25</t>
  </si>
  <si>
    <t>PREDICTED: Moschus berezovskii DEAD-box helicase 31 (DDX31), transcript variant X1, mRNA</t>
  </si>
  <si>
    <t>Moschus berezovskii</t>
  </si>
  <si>
    <t>Julidochromis dickfeldi mitochondrion, complete genome</t>
  </si>
  <si>
    <t>Celypha rufana genome assembly, chromosome: 14</t>
  </si>
  <si>
    <t>PREDICTED: Rissa tridactyla multiple EGF like domains 9 (MEGF9), mRNA</t>
  </si>
  <si>
    <t>Rissa tridactyla</t>
  </si>
  <si>
    <t>Chimonanthus praecox mitochondrion, complete genome</t>
  </si>
  <si>
    <t>Chimonanthus praecox</t>
  </si>
  <si>
    <t>PREDICTED: Periplaneta americana UNC-79 domain-containing protein (unc79), transcript variant X6, mRNA</t>
  </si>
  <si>
    <t>MAG: Bryobacterales bacterium isolate MFD04967.bin.c.1 genome assembly, chromosome: 1</t>
  </si>
  <si>
    <t>Bryobacterales bacterium</t>
  </si>
  <si>
    <t>Streptomyces sp. NBC_01397 chromosome</t>
  </si>
  <si>
    <t>Streptomyces sp. NBC_01397</t>
  </si>
  <si>
    <t>Argyresthia sorbiella genome assembly, chromosome: 18</t>
  </si>
  <si>
    <t>Argyresthia sorbiella</t>
  </si>
  <si>
    <t>Clostridiales bacterium 70B-A genome assembly, chromosome: 1</t>
  </si>
  <si>
    <t>Petrocella atlantisensis</t>
  </si>
  <si>
    <t>Vibrio alginolyticus HLBS-07 DNA, chromosome 1, nearly complete sequence</t>
  </si>
  <si>
    <t>Mus musculus STARR-seq mESC enhancer starr_06923 (LOC131337638) on chromosome 3</t>
  </si>
  <si>
    <t>Mus musculus</t>
  </si>
  <si>
    <t>PREDICTED: Odocoileus virginianus DEAD-box helicase 31 (DDX31), transcript variant X1, mRNA</t>
  </si>
  <si>
    <t>Odocoileus virginianus</t>
  </si>
  <si>
    <t>Neolamprologus leleupi mitochondrion, complete genome</t>
  </si>
  <si>
    <t>PREDICTED: Periplaneta americana UNC-79 domain-containing protein (unc79), transcript variant X1, mRNA</t>
  </si>
  <si>
    <t>PREDICTED: Anopheles gambiae inositol polyphosphate 1-phosphatase (LOC1278631), transcript variant X2, mRNA</t>
  </si>
  <si>
    <t>Scleropages formosus isolate AL002 mitochondrion, complete genome</t>
  </si>
  <si>
    <t>Sphaeroderma testaceum genome assembly, chromosome: 8</t>
  </si>
  <si>
    <t>PREDICTED: Anopheles merus inositol polyphosphate 1-phosphatase (LOC121596118), transcript variant X1, mRNA</t>
  </si>
  <si>
    <t>Anopheles merus</t>
  </si>
  <si>
    <t>Scleropages formosus isolate NM_Aro2 mitochondrion, complete genome</t>
  </si>
  <si>
    <t>PREDICTED: Diospyros lotus elongation factor G-1, mitochondrial (LOC127801899), transcript variant X2, mRNA</t>
  </si>
  <si>
    <t>Treponema phagedenis strain B36.5 chromosome, complete genome</t>
  </si>
  <si>
    <t>Dichotomopilus funicola uncharacterized protein (C8A04DRAFT_13453), partial mRNA</t>
  </si>
  <si>
    <t>Dichotomopilus funicola</t>
  </si>
  <si>
    <t>PREDICTED: Periplaneta americana UNC-79 domain-containing protein (unc79), transcript variant X2, mRNA</t>
  </si>
  <si>
    <t>Hyaloscypha bicolor E glycoside hydrolase family 29 protein (K444DRAFT_656653), partial mRNA</t>
  </si>
  <si>
    <t>Hyaloscypha bicolor E</t>
  </si>
  <si>
    <t>MAG: uncultured Solirubrobacterales bacterium isolate MFD10007.bin.c.5 genome assembly, chromosome: 1</t>
  </si>
  <si>
    <t>uncultured Solirubrobacterales bacterium</t>
  </si>
  <si>
    <t>Flustra foliacea genome assembly, chromosome: 5</t>
  </si>
  <si>
    <t>PREDICTED: Bos mutus DEAD-box helicase 31 (DDX31), mRNA</t>
  </si>
  <si>
    <t>Bos mutus</t>
  </si>
  <si>
    <t>Pipa arrabali from Brazil mitochondrion, partial genome</t>
  </si>
  <si>
    <t>Pipa arrabali</t>
  </si>
  <si>
    <t>Turdus pilaris genome assembly, chromosome: 7</t>
  </si>
  <si>
    <t>Turdus pilaris</t>
  </si>
  <si>
    <t>PREDICTED: Bubalus bubalis DEAD-box helicase 31 (DDX31), transcript variant X2, mRNA</t>
  </si>
  <si>
    <t>Bubalus bubalis</t>
  </si>
  <si>
    <t>Vibrio alginolyticus strain ZJ-0 chromosome 1, complete sequence</t>
  </si>
  <si>
    <t>PREDICTED: Topomyia yanbarensis small conductance calcium-activated potassium channel protein (LOC131689160), transcript variant X3, misc_RNA</t>
  </si>
  <si>
    <t>PREDICTED: Anopheles merus inositol polyphosphate 1-phosphatase (LOC121596118), transcript variant X2, mRNA</t>
  </si>
  <si>
    <t>Rhizobium sp. NZLR1 plasmid p5, complete sequence</t>
  </si>
  <si>
    <t>Rhizobium sp. NZLR1</t>
  </si>
  <si>
    <t>Lampetra fluviatilis genome assembly, chromosome: 57</t>
  </si>
  <si>
    <t>Scleropages formosus isolate BG_1979F mitochondrion, complete genome</t>
  </si>
  <si>
    <t>Methanospirillum stamsii strain Pt1 chromosome, complete genome</t>
  </si>
  <si>
    <t>Methanospirillum stamsii</t>
  </si>
  <si>
    <t>Snodgrassella communis strain B10998 chromosome, complete genome</t>
  </si>
  <si>
    <t>Snodgrassella communis</t>
  </si>
  <si>
    <t>Cyprinodon tularosa mitochondrion, complete genome</t>
  </si>
  <si>
    <t>Cyprinodon tularosa</t>
  </si>
  <si>
    <t>Coccothraustes coccothraustes genome assembly, chromosome: 5</t>
  </si>
  <si>
    <t>Coccothraustes coccothraustes</t>
  </si>
  <si>
    <t>Planococcus koreensis strain OC-PG-Soil chromosome, complete genome</t>
  </si>
  <si>
    <t>Planococcus koreensis</t>
  </si>
  <si>
    <t>PREDICTED: Clavelina lepadiformis uncharacterized LOC143469400 (LOC143469400), mRNA</t>
  </si>
  <si>
    <t>Clavelina lepadiformis</t>
  </si>
  <si>
    <t>PREDICTED: Meles meles DEAD-box helicase 31 (DDX31), mRNA</t>
  </si>
  <si>
    <t>Meles meles</t>
  </si>
  <si>
    <t>Vibrio alginolyticus strain XWV9 chromosome 1, complete sequence</t>
  </si>
  <si>
    <t>Alces alces genome assembly, chromosome: 24</t>
  </si>
  <si>
    <t>Alces alces</t>
  </si>
  <si>
    <t>Sarotherodon lohbergeri voucher lohbZ011 mitochondrion, complete genome</t>
  </si>
  <si>
    <t>PREDICTED: Populus trichocarpa glucan endo-1,3-beta-glucosidase 12 (LOC7464640), mRNA</t>
  </si>
  <si>
    <t>Populus trichocarpa</t>
  </si>
  <si>
    <t>Mergellus albellus genome assembly, chromosome: 25</t>
  </si>
  <si>
    <t>Mergellus albellus</t>
  </si>
  <si>
    <t>PREDICTED: Phymastichus coffea DIS3-like exonuclease 2 (LOC131665756), transcript variant X1, mRNA</t>
  </si>
  <si>
    <t>Phymastichus coffea</t>
  </si>
  <si>
    <t>Viola suecica genome assembly, chromosome: 10</t>
  </si>
  <si>
    <t>Viola suecica</t>
  </si>
  <si>
    <t>Polystyrenella longa strain Pla110 chromosome, complete genome</t>
  </si>
  <si>
    <t>Polystyrenella longa</t>
  </si>
  <si>
    <t>Colletotrichum gloeosporioides uncharacterized protein (GCG54_00008712), partial mRNA</t>
  </si>
  <si>
    <t>Colletotrichum gloeosporioides</t>
  </si>
  <si>
    <t>PREDICTED: Acropora muricata uncharacterized protein (LOC136907423), mRNA</t>
  </si>
  <si>
    <t>Acropora muricata</t>
  </si>
  <si>
    <t>Corynebacterium diphtheriae strain CHUV2995 genome assembly, chromosome: 1</t>
  </si>
  <si>
    <t>Corynebacterium diphtheriae subsp. lausannense</t>
  </si>
  <si>
    <t>Eragrostis tef cultivar Dabbi chromosome 1A</t>
  </si>
  <si>
    <t>Eragrostis tef</t>
  </si>
  <si>
    <t>PREDICTED: Periplaneta americana uncharacterized protein (LOC138699291), mRNA</t>
  </si>
  <si>
    <t>Paenibacillus woosongensis strain B2_4 chromosome, complete genome</t>
  </si>
  <si>
    <t>Paenibacillus woosongensis</t>
  </si>
  <si>
    <t>PREDICTED: Mytilus trossulus uncharacterized protein DDB_G0271670-like (LOC134688292), transcript variant X2, mRNA</t>
  </si>
  <si>
    <t>Mytilus trossulus</t>
  </si>
  <si>
    <t>PREDICTED: Heptranchias perlo PPFIA binding protein 1b (ppfibp1b), transcript variant X8, mRNA</t>
  </si>
  <si>
    <t>Vibrio diabolicus strain NV27 chromosome 1, complete sequence</t>
  </si>
  <si>
    <t>Vibrio diabolicus</t>
  </si>
  <si>
    <t>Dichrorampha obscuratana genome assembly, chromosome: 10</t>
  </si>
  <si>
    <t>Dichrorampha obscuratana</t>
  </si>
  <si>
    <t>PREDICTED: Talpa occidentalis DEAD-box helicase 31 (DDX31), transcript variant X1, mRNA</t>
  </si>
  <si>
    <t>Talpa occidentalis</t>
  </si>
  <si>
    <t>Aspergillus affinis putative telomere length regulator protein (Rif1) (KD926_005208), partial mRNA</t>
  </si>
  <si>
    <t>Aspergillus affinis</t>
  </si>
  <si>
    <t>Steromphala pennanti genome assembly, chromosome: 4</t>
  </si>
  <si>
    <t>Steromphala pennanti</t>
  </si>
  <si>
    <t>MAG: Gammaproteobacteria bacterium isolate 99eaebf8-0e01-45e1-9b83-b2bbc74163d4 genome assembly, chromosome: 1</t>
  </si>
  <si>
    <t>PREDICTED: Bactrocera neohumeralis cyclin-dependent kinase 14 (LOC126761944), transcript variant X1, mRNA</t>
  </si>
  <si>
    <t>Bactrocera neohumeralis</t>
  </si>
  <si>
    <t>PREDICTED: Anopheles arabiensis inositol polyphosphate 1-phosphatase (LOC120905831), transcript variant X1, mRNA</t>
  </si>
  <si>
    <t>Anopheles arabiensis</t>
  </si>
  <si>
    <t>PREDICTED: Daktulosphaira vitifoliae homeobox protein unc-4-like (LOC126904068), mRNA</t>
  </si>
  <si>
    <t>Daktulosphaira vitifoliae</t>
  </si>
  <si>
    <t>PREDICTED: Montipora foliosa macrophage receptor MARCO-like (LOC138003755), transcript variant X1, mRNA</t>
  </si>
  <si>
    <t>Montipora foliosa</t>
  </si>
  <si>
    <t>3_Tms_b3v08</t>
  </si>
  <si>
    <t>Timema monikensis</t>
  </si>
  <si>
    <t>Scleropages formosus isolate BG_A14 mitochondrion, complete genome</t>
  </si>
  <si>
    <t>Cochylis nana genome assembly, chromosome: Z</t>
  </si>
  <si>
    <t>Cochylis nana</t>
  </si>
  <si>
    <t>Alysiella filiformis strain DSM 16848 chromosome, complete genome</t>
  </si>
  <si>
    <t>Alysiella filiformis</t>
  </si>
  <si>
    <t>Scleropages formosus isolate AL003 mitochondrion, complete genome</t>
  </si>
  <si>
    <t>Gnetum pendulum YN2024001 mitochondrial DNA, complete sequence, note: sequence_id: sc5</t>
  </si>
  <si>
    <t>Gnetum pendulum</t>
  </si>
  <si>
    <t>PREDICTED: Bos indicus DEAD-box helicase 31 (DDX31), transcript variant X2, mRNA</t>
  </si>
  <si>
    <t>Bos indicus</t>
  </si>
  <si>
    <t>Scleropages formosus isolate BG318 mitochondrion, complete genome</t>
  </si>
  <si>
    <t>Priolepis semidoliata voucher USNM:FISH:400479 mitochondrion, complete genome</t>
  </si>
  <si>
    <t>Priolepis semidoliata</t>
  </si>
  <si>
    <t>Alysiella crassa strain S6 chromosome, complete genome</t>
  </si>
  <si>
    <t>Alysiella crassa</t>
  </si>
  <si>
    <t>Vibrio furnissii strain PartQ-Vfurnissii-RM8376 chromosome 1, complete sequence</t>
  </si>
  <si>
    <t>Vibrio furnissii</t>
  </si>
  <si>
    <t>Euthynnus affinis voucher USNM 449531 mitochondrion, complete genome</t>
  </si>
  <si>
    <t>Methanoculleus bourgensis isolate Methanoculleus sp MAB1 genome assembly, chromosome: 1</t>
  </si>
  <si>
    <t>Methanoculleus bourgensis</t>
  </si>
  <si>
    <t>Astatotilapia calliptera genome assembly, organelle: mitochondrion</t>
  </si>
  <si>
    <t>Lutjanus kasmira voucher USNM:FISH:466522 mitochondrion, complete genome</t>
  </si>
  <si>
    <t>PREDICTED: Hypomesus transpacificus nuclear receptor subfamily 1, group D, member 4a (nr1d4a), mRNA</t>
  </si>
  <si>
    <t>Hypomesus transpacificus</t>
  </si>
  <si>
    <t>MAG: Gammaproteobacteria bacterium isolate 12a402bf-abf4-446e-85c7-15a67474018c genome assembly, chromosome: 1</t>
  </si>
  <si>
    <t>PREDICTED: Phycodurus eques estrogen-related receptor beta (esrrb), transcript variant X1, mRNA</t>
  </si>
  <si>
    <t>PREDICTED: Hylaeus anthracinus calcium/calmodulin-dependent protein kinase type IV-like (LOC128885263), mRNA</t>
  </si>
  <si>
    <t>Hylaeus anthracinus</t>
  </si>
  <si>
    <t>Paraburkholderia hospita strain mHSR1 chromosome mHSR1_C, complete sequence</t>
  </si>
  <si>
    <t>PREDICTED: Dermatophagoides farinae Brahma associated protein 170kD (Bap170), transcript variant X3, misc_RNA</t>
  </si>
  <si>
    <t>Dermatophagoides farinae</t>
  </si>
  <si>
    <t>Cochylis atricapitana genome assembly, chromosome: Z</t>
  </si>
  <si>
    <t>Neisseria leonii strain 51.81 chromosome, complete genome</t>
  </si>
  <si>
    <t>Lamprologus mocquardi mitochondrion, complete genome</t>
  </si>
  <si>
    <t>Stomatepia pindu voucher pindC26 mitochondrion, complete genome</t>
  </si>
  <si>
    <t>PREDICTED: Musca autumnalis uncharacterized protein (LOC141403343), transcript variant X5, mRNA</t>
  </si>
  <si>
    <t>PREDICTED: Lactuca sativa uncharacterized LOC111894482 (LOC111894482), mRNA</t>
  </si>
  <si>
    <t>Lactuca sativa</t>
  </si>
  <si>
    <t>PREDICTED: Phymastichus coffea DIS3-like exonuclease 2 (LOC131665756), transcript variant X2, mRNA</t>
  </si>
  <si>
    <t>Lampetra fluviatilis genome assembly, chromosome: 61</t>
  </si>
  <si>
    <t>Cyanobacterium endosymbiont of Epithemia clementina EcSB isolate Gazos Creek chromosome, complete genome</t>
  </si>
  <si>
    <t>cyanobacterium endosymbiont of Epithemia clementina EcSB</t>
  </si>
  <si>
    <t>PREDICTED: Anopheles gambiae inositol polyphosphate 1-phosphatase (LOC1278631), transcript variant X4, mRNA</t>
  </si>
  <si>
    <t>Urochloa humidicola genome assembly, chromosome: 6C_hap1</t>
  </si>
  <si>
    <t>Chelidonichthys cuculus genome assembly, chromosome: 12</t>
  </si>
  <si>
    <t>Chelidonichthys cuculus</t>
  </si>
  <si>
    <t>PREDICTED: Bubalus kerabau DEAD-box helicase 31 (DDX31), transcript variant X1, mRNA</t>
  </si>
  <si>
    <t>Bubalus kerabau</t>
  </si>
  <si>
    <t>PREDICTED: Musca autumnalis uncharacterized protein (LOC141403343), transcript variant X8, mRNA</t>
  </si>
  <si>
    <t>PREDICTED: Embiotoca jacksoni abhydrolase domain containing 13 (abhd13), mRNA</t>
  </si>
  <si>
    <t>Embiotoca jacksoni</t>
  </si>
  <si>
    <t>Dichrorampha obscuratana genome assembly, chromosome: 14</t>
  </si>
  <si>
    <t>Scleropages formosus isolate NM_2RC_53113 mitochondrion, complete genome</t>
  </si>
  <si>
    <t>PREDICTED: Heptranchias perlo PPFIA binding protein 1b (ppfibp1b), transcript variant X3, mRNA</t>
  </si>
  <si>
    <t>PREDICTED: Ornithorhynchus anatinus DEAD-box helicase 31 (DDX31), mRNA</t>
  </si>
  <si>
    <t>Ornithorhynchus anatinus</t>
  </si>
  <si>
    <t>Streptomyces noursei strain S83 chromosome</t>
  </si>
  <si>
    <t>PREDICTED: Periplaneta americana UNC-79 domain-containing protein (unc79), transcript variant X8, mRNA</t>
  </si>
  <si>
    <t>PREDICTED: Cervus elaphus DEAD-box helicase 31 (DDX31), mRNA</t>
  </si>
  <si>
    <t>Cervus elaphus</t>
  </si>
  <si>
    <t>PREDICTED: Anopheles ziemanni hornerin (LOC131294363), mRNA</t>
  </si>
  <si>
    <t>Anopheles ziemanni</t>
  </si>
  <si>
    <t>PREDICTED: Topomyia yanbarensis small conductance calcium-activated potassium channel protein (LOC131689160), transcript variant X13, mRNA</t>
  </si>
  <si>
    <t>PREDICTED: Numenius arquata multiple EGF like domains 9 (MEGF9), mRNA</t>
  </si>
  <si>
    <t>Numenius arquata</t>
  </si>
  <si>
    <t>PREDICTED: Solea solea carbohydrate sulfotransferase 1-like (LOC131469503), transcript variant X1, mRNA</t>
  </si>
  <si>
    <t>Solea solea</t>
  </si>
  <si>
    <t>PREDICTED: Macadamia integrifolia elongation factor G-1, mitochondrial-like (LOC122080782), partial mRNA</t>
  </si>
  <si>
    <t>Macadamia integrifolia</t>
  </si>
  <si>
    <t>Pseudomonas azotoformans strain LMG 21611 genome assembly, chromosome: I</t>
  </si>
  <si>
    <t>Pseudomonas azotoformans</t>
  </si>
  <si>
    <t>Vibrio alginolyticus strain HY9901 chromosome 2, complete sequence</t>
  </si>
  <si>
    <t>PREDICTED: Scyliorhinus torazame piwi-like RNA-mediated gene silencing 1 (piwil1), transcript variant X2, mRNA</t>
  </si>
  <si>
    <t>Scyliorhinus torazame</t>
  </si>
  <si>
    <t>PREDICTED: Anopheles coluzzii inositol polyphosphate 1-phosphatase (LOC120953248), transcript variant X1, mRNA</t>
  </si>
  <si>
    <t>Anopheles coluzzii</t>
  </si>
  <si>
    <t>Vibrio alginolyticus strain FJV2 chromosome 1, complete sequence</t>
  </si>
  <si>
    <t>Corynebacterium belfantii strain D55-INS-PERU chromosome</t>
  </si>
  <si>
    <t>PREDICTED: Drosophila willistoni platelet binding protein GspB (LOC6650620), mRNA</t>
  </si>
  <si>
    <t>Drosophila willistoni</t>
  </si>
  <si>
    <t>Canthigaster rostrata voucher USNM:FISH:471133 mitochondrion, complete genome</t>
  </si>
  <si>
    <t>Canthigaster rostrata</t>
  </si>
  <si>
    <t>PREDICTED: Anopheles arabiensis inositol polyphosphate 1-phosphatase (LOC120905831), transcript variant X2, mRNA</t>
  </si>
  <si>
    <t>Gobiusculus flavescens genome assembly, chromosome: 15</t>
  </si>
  <si>
    <t>PREDICTED: Condylura cristata DEAD (Asp-Glu-Ala-Asp) box polypeptide 31 (DDX31), transcript variant X3, mRNA</t>
  </si>
  <si>
    <t>Condylura cristata</t>
  </si>
  <si>
    <t>PREDICTED: Bacillus rossius redtenbacheri LIM/homeobox protein LMX-1.2 (LOC134541546), mRNA</t>
  </si>
  <si>
    <t>Bacillus rossius redtenbacheri</t>
  </si>
  <si>
    <t>PREDICTED: Topomyia yanbarensis small conductance calcium-activated potassium channel protein (LOC131689160), transcript variant X1, mRNA</t>
  </si>
  <si>
    <t>Malus domestica cultivar Golden Delicious chromosome 05</t>
  </si>
  <si>
    <t>Chamelea gallina genome assembly, chromosome: 10</t>
  </si>
  <si>
    <t>Paraburkholderia sp. F2 plasmid PPGUF2_p1 DNA, complete genome</t>
  </si>
  <si>
    <t>Scleropages formosus isolate MUMGF mitochondrion, complete genome</t>
  </si>
  <si>
    <t>PREDICTED: Antedon mediterranea protein fem-1 homolog C-like (LOC140051626), mRNA</t>
  </si>
  <si>
    <t>Antedon mediterranea</t>
  </si>
  <si>
    <t>PREDICTED: Bos javanicus DEAD-box helicase 31 (DDX31), mRNA</t>
  </si>
  <si>
    <t>Bos javanicus</t>
  </si>
  <si>
    <t>PREDICTED: Haliotis rubra ecdysone-induced protein 75B-like (LOC124288704), mRNA</t>
  </si>
  <si>
    <t>Haliotis rubra</t>
  </si>
  <si>
    <t>PREDICTED: Chaetodon auriga T-box transcription factor TBX2b-like (LOC143332924), mRNA</t>
  </si>
  <si>
    <t>Gallaecimonas mangrovi strain HK-28 chromosome, complete genome</t>
  </si>
  <si>
    <t>Gallaecimonas mangrovi</t>
  </si>
  <si>
    <t>Lampetra fluviatilis genome assembly, chromosome: 51</t>
  </si>
  <si>
    <t>PREDICTED: Channa argus shisa family member 3 (shisa3), mRNA</t>
  </si>
  <si>
    <t>PREDICTED: Calidris pugnax multiple EGF-like-domains 9 (MEGF9), mRNA</t>
  </si>
  <si>
    <t>Calidris pugnax</t>
  </si>
  <si>
    <t>Syndiclis anlungensis chromosome 2 mitochondrion, complete sequence</t>
  </si>
  <si>
    <t>Syndiclis anlungensis</t>
  </si>
  <si>
    <t>PREDICTED: Telopea speciosissima elongation factor G-1, mitochondrial-like (LOC122669817), mRNA</t>
  </si>
  <si>
    <t>Telopea speciosissima</t>
  </si>
  <si>
    <t>PREDICTED: Larus michahellis multiple EGF like domains 9 (MEGF9), mRNA</t>
  </si>
  <si>
    <t>Larus michahellis</t>
  </si>
  <si>
    <t>PREDICTED: Pseudoliparis swirei RAR-related orphan receptor C b (rorcb), mRNA</t>
  </si>
  <si>
    <t>Pseudoliparis swirei</t>
  </si>
  <si>
    <t>Kyphosus sectatrix voucher USNM:FISH:414379 mitochondrion, complete genome</t>
  </si>
  <si>
    <t>Corynebacterium belfantii strain NCTC10356 chromosome, complete genome</t>
  </si>
  <si>
    <t>PREDICTED: Drosophila rhopaloa uncharacterized LOC108042189 (LOC108042189), mRNA</t>
  </si>
  <si>
    <t>Drosophila rhopaloa</t>
  </si>
  <si>
    <t>PREDICTED: Heptranchias perlo PPFIA binding protein 1b (ppfibp1b), transcript variant X7, mRNA</t>
  </si>
  <si>
    <t>PREDICTED: Dama dama DEAD-box helicase 31 (DDX31), mRNA</t>
  </si>
  <si>
    <t>Dama dama</t>
  </si>
  <si>
    <t>PREDICTED: Phycodurus eques estrogen-related receptor beta (esrrb), transcript variant X3, mRNA</t>
  </si>
  <si>
    <t>Turdus pilaris genome assembly, chromosome: 5</t>
  </si>
  <si>
    <t>Treponema phagedenis strain S2.3 chromosome, complete genome</t>
  </si>
  <si>
    <t>PREDICTED: Toxotes jaculatrix cyclin-dependent kinase inhibitor 1Cb (cdkn1cb), mRNA</t>
  </si>
  <si>
    <t>PREDICTED: Cylas formicarius odorant receptor 49b-like (LOC132700597), transcript variant X1, mRNA</t>
  </si>
  <si>
    <t>Cylas formicarius</t>
  </si>
  <si>
    <t>Neisseria mucosa strain 19696 chromosome, complete genome</t>
  </si>
  <si>
    <t>PREDICTED: Eriocheir sinensis probable serine/threonine-protein kinase clkA (LOC126997245), mRNA</t>
  </si>
  <si>
    <t>Eriocheir sinensis</t>
  </si>
  <si>
    <t>Steromphala pennanti genome assembly, chromosome: 2</t>
  </si>
  <si>
    <t>PREDICTED: Bubalus kerabau DEAD-box helicase 31 (DDX31), transcript variant X2, mRNA</t>
  </si>
  <si>
    <t>Lampetra planeri genome assembly, chromosome: 51</t>
  </si>
  <si>
    <t>PREDICTED: Curcuma longa elongation factor G, mitochondrial-like (LOC141814157), mRNA</t>
  </si>
  <si>
    <t>Curcuma longa</t>
  </si>
  <si>
    <t>TPA_asm: Oryzias latipes strain Hd-rR, complete genome assembly, chromosome 11</t>
  </si>
  <si>
    <t>PREDICTED: Pempheris klunzingeri nuclear receptor ROR-beta-like (LOC139213923), mRNA</t>
  </si>
  <si>
    <t>Pempheris klunzingeri</t>
  </si>
  <si>
    <t>PREDICTED: Acropora muricata myosin-15-like (LOC136917388), mRNA</t>
  </si>
  <si>
    <t>Paraburkholderia terrae KU-64 DNA, chromosome 3, complete sequence</t>
  </si>
  <si>
    <t>Paraburkholderia terrae</t>
  </si>
  <si>
    <t>PREDICTED: Bactrocera neohumeralis cyclin-dependent kinase 14 (LOC126761944), transcript variant X2, mRNA</t>
  </si>
  <si>
    <t>PREDICTED: Rhinichthys klamathensis goyatoka uncharacterized protein LOC557116 homolog (zgc:171579), mRNA</t>
  </si>
  <si>
    <t>Rhinichthys klamathensis goyatoka</t>
  </si>
  <si>
    <t>PREDICTED: Bos indicus DEAD-box helicase 31 (DDX31), transcript variant X1, mRNA</t>
  </si>
  <si>
    <t>PREDICTED: Dermatophagoides farinae Brahma associated protein 170kD (Bap170), transcript variant X2, mRNA</t>
  </si>
  <si>
    <t>PREDICTED: Cylas formicarius odorant receptor 49b-like (LOC132700597), transcript variant X3, mRNA</t>
  </si>
  <si>
    <t>Cercospora beticola uncharacterized protein (RHO25_007999), partial mRNA</t>
  </si>
  <si>
    <t>Cercospora beticola</t>
  </si>
  <si>
    <t>PREDICTED: Topomyia yanbarensis small conductance calcium-activated potassium channel protein (LOC131689160), transcript variant X10, mRNA</t>
  </si>
  <si>
    <t>Treponema phagedenis strain Reiter chromosome, complete genome</t>
  </si>
  <si>
    <t>PREDICTED: Homarus americanus probable serine/threonine-protein kinase MARK-A (LOC121868226), mRNA</t>
  </si>
  <si>
    <t>Homarus americanus</t>
  </si>
  <si>
    <t>Shewanella youngdeokensis strain DAU334 chromosome, complete genome</t>
  </si>
  <si>
    <t>Shewanella youngdeokensis</t>
  </si>
  <si>
    <t>PREDICTED: Bos indicus x Bos taurus DEAD-box helicase 31 (DDX31), transcript variant X1, mRNA</t>
  </si>
  <si>
    <t>Bos indicus x Bos taurus</t>
  </si>
  <si>
    <t>PREDICTED: Populus nigra glucan endo-1,3-beta-glucosidase 12-like (LOC133694266), transcript variant X2, mRNA</t>
  </si>
  <si>
    <t>Populus nigra</t>
  </si>
  <si>
    <t>Chaetodontoplus melanosoma mitochondrion, complete genome</t>
  </si>
  <si>
    <t>PREDICTED: Anopheles gambiae inositol polyphosphate 1-phosphatase (LOC1278631), transcript variant X3, mRNA</t>
  </si>
  <si>
    <t>Viola epipsila genome assembly, chromosome: 7</t>
  </si>
  <si>
    <t>Viola epipsila</t>
  </si>
  <si>
    <t>PREDICTED: Acropora muricata uncharacterized protein (LOC136893628), mRNA</t>
  </si>
  <si>
    <t>Telmatochromis burgeoni mitochondrion, complete genome</t>
  </si>
  <si>
    <t>Lampetra planeri genome assembly, chromosome: 77</t>
  </si>
  <si>
    <t>PREDICTED: Colius striatus ATPase H+ transporting V0 subunit a4 (ATP6V0A4), transcript variant X1, mRNA</t>
  </si>
  <si>
    <t>Neisseria animaloris strain NCTC12227 genome assembly, chromosome: 1</t>
  </si>
  <si>
    <t>Mrakia frigida uncharacterized protein (BDY24DRAFT_376253), mRNA</t>
  </si>
  <si>
    <t>Mrakia frigida</t>
  </si>
  <si>
    <t>Chamelea gallina genome assembly, chromosome: 19</t>
  </si>
  <si>
    <t>PREDICTED: Anopheles coluzzii inositol polyphosphate 1-phosphatase (LOC120953248), transcript variant X2, mRNA</t>
  </si>
  <si>
    <t>Baekduia sp. Peel2402 chromosome, complete genome</t>
  </si>
  <si>
    <t>Baekduia sp. Peel2402</t>
  </si>
  <si>
    <t>PREDICTED: Petromyzon marinus dpy-19 like C-mannosyltransferase 3 (DPY19L3), mRNA</t>
  </si>
  <si>
    <t>Petromyzon marinus</t>
  </si>
  <si>
    <t>Sida crystallina EOG090X0511 gene for EOG090X0511</t>
  </si>
  <si>
    <t>Sida crystallina</t>
  </si>
  <si>
    <t>Dendarus foraminosus genome assembly, chromosome: 2</t>
  </si>
  <si>
    <t>Dendarus foraminosus</t>
  </si>
  <si>
    <t>Corynebacterium belfantii strain PC1557 chromosome, complete genome</t>
  </si>
  <si>
    <t>MAG: Riboviria sp. isolate Red-flankedBluetail198_contig_11 genomic sequence</t>
  </si>
  <si>
    <t>Riboviria sp.</t>
  </si>
  <si>
    <t>PREDICTED: Topomyia yanbarensis small conductance calcium-activated potassium channel protein (LOC131689160), transcript variant X6, mRNA</t>
  </si>
  <si>
    <t>Brevibacterium sp. GP-SGM9 chromosome</t>
  </si>
  <si>
    <t>Brevibacterium sp. GP-SGM9</t>
  </si>
  <si>
    <t>PREDICTED: Heptranchias perlo PPFIA binding protein 1b (ppfibp1b), transcript variant X1, mRNA</t>
  </si>
  <si>
    <t>PREDICTED: Anopheles gambiae inositol polyphosphate 1-phosphatase (LOC1278631), transcript variant X5, mRNA</t>
  </si>
  <si>
    <t>Australoheros facetus isolate AFAC9 mitochondrion, complete genome</t>
  </si>
  <si>
    <t>Australoheros facetus</t>
  </si>
  <si>
    <t>Pinctada maxima genome assembly, chromosome: 4</t>
  </si>
  <si>
    <t>Pinctada maxima</t>
  </si>
  <si>
    <t>Rhizobium leguminosarum strain TpK plasmid pRL1, complete sequence</t>
  </si>
  <si>
    <t>Rhizobium leguminosarum</t>
  </si>
  <si>
    <t>MAG: Candidatus Poriferihabitaceae bacterium isolate 75f4b4a7-f1bb-4b7d-85a7-18f67abaf53b genome assembly, chromosome: 1</t>
  </si>
  <si>
    <t>Candidatus Poriferihabitaceae bacterium</t>
  </si>
  <si>
    <t>Pteroplatytrygon violacea isolate GN6498 mitochondrion, partial genome</t>
  </si>
  <si>
    <t>Pteroplatytrygon violacea</t>
  </si>
  <si>
    <t>Argyresthia sorbiella genome assembly, chromosome: 14</t>
  </si>
  <si>
    <t>Streptomyces sp. NBC_01445 plasmid unnamed1</t>
  </si>
  <si>
    <t>Streptomyces sp. NBC_01445</t>
  </si>
  <si>
    <t>PREDICTED: Anopheles coluzzii inositol polyphosphate 1-phosphatase (LOC120953248), transcript variant X3, mRNA</t>
  </si>
  <si>
    <t>Catharus ustulatus voucher CMNH Birds 75174 NADH dehydrogenase subunit 6 (ND6) gene, complete cds; mitochondrial</t>
  </si>
  <si>
    <t>Catharus ustulatus</t>
  </si>
  <si>
    <t>PREDICTED: Periplaneta americana UNC-79 domain-containing protein (unc79), transcript variant X5, mRNA</t>
  </si>
  <si>
    <t>Myaka myaka voucher myakZ101 mitochondrion, complete genome</t>
  </si>
  <si>
    <t>PREDICTED: Serinus canaria NAD(P)(+)--arginine ADP-ribosyltransferase 2-like (LOC103824761), transcript variant X1, mRNA</t>
  </si>
  <si>
    <t>Serinus canaria</t>
  </si>
  <si>
    <t>Dichrorampha petiverella genome assembly, chromosome: 6</t>
  </si>
  <si>
    <t>Dichrorampha petiverella</t>
  </si>
  <si>
    <t>Catharus ustulatus voucher CMNH Birds 75171 NADH dehydrogenase subunit 6 (ND6) gene, complete cds; mitochondrial</t>
  </si>
  <si>
    <t>PREDICTED: Tasmannia lanceolata elongation factor G, mitochondrial-like (LOC143890508), transcript variant X1, mRNA</t>
  </si>
  <si>
    <t>Tasmannia lanceolata</t>
  </si>
  <si>
    <t>Pica pica genome assembly, chromosome: 5</t>
  </si>
  <si>
    <t>Pica pica</t>
  </si>
  <si>
    <t>PREDICTED: Corticium candelabrum uncharacterized LOC134193213 (LOC134193213), transcript variant X1, mRNA</t>
  </si>
  <si>
    <t>Corticium candelabrum</t>
  </si>
  <si>
    <t>PREDICTED: Phragmites australis uncharacterized LOC133918856 (LOC133918856), mRNA</t>
  </si>
  <si>
    <t>Phragmites australis</t>
  </si>
  <si>
    <t>PREDICTED: Anopheles gambiae inositol polyphosphate 1-phosphatase (LOC1278631), transcript variant X1, mRNA</t>
  </si>
  <si>
    <t>Vibrio alginolyticus strain HoVa25 chromosome 2, complete sequence</t>
  </si>
  <si>
    <t>Lamprologus meleagris mitochondrion, complete genome</t>
  </si>
  <si>
    <t>PREDICTED: Bos indicus x Bos taurus DEAD-box helicase 31 (DDX31), transcript variant X2, mRNA</t>
  </si>
  <si>
    <t>Vibrio alginolyticus YZOS-03 DNA, chromosome 1, nearly complete sequence</t>
  </si>
  <si>
    <t>Neisseria sicca strain DSM 17713 chromosome, complete genome</t>
  </si>
  <si>
    <t>Neisseria sicca</t>
  </si>
  <si>
    <t>PREDICTED: Amyelois transitella regulator of microtubule dynamics protein 1-like (LOC106135449), transcript variant X2, mRNA</t>
  </si>
  <si>
    <t>Amyelois transitella</t>
  </si>
  <si>
    <t>Gnetum ula Chaw1608 mitochondrial DNA, complete sequence, note: sequence_id: sc1</t>
  </si>
  <si>
    <t>Gnetum ula</t>
  </si>
  <si>
    <t>Treponema phagedenis strain S11.1 chromosome, complete genome</t>
  </si>
  <si>
    <t>Vibrio sp. SCSIO 43097 chromosome 1, complete sequence</t>
  </si>
  <si>
    <t>Vibrio sp. SCSIO 43097</t>
  </si>
  <si>
    <t>PREDICTED: Magnolia sinica elongation factor G-1, mitochondrial-like (LOC131240582), mRNA</t>
  </si>
  <si>
    <t>Magnolia sinica</t>
  </si>
  <si>
    <t>Sarotherodon linnellii voucher linnAZ05 mitochondrion, complete genome</t>
  </si>
  <si>
    <t>Vibrio alginolyticus strain HNV2 chromosome 1, complete sequence</t>
  </si>
  <si>
    <t>PREDICTED: Malus sylvestris elongation factor G-2, mitochondrial (LOC126627671), mRNA</t>
  </si>
  <si>
    <t>Malus sylvestris</t>
  </si>
  <si>
    <t>Neisseria macacae ATCC 33926 chromosome, complete genome</t>
  </si>
  <si>
    <t>Neisseria macacae ATCC 33926</t>
  </si>
  <si>
    <t>Lampetra planeri genome assembly, chromosome: 62</t>
  </si>
  <si>
    <t>Pungitius pungitius genome assembly, chromosome: 12</t>
  </si>
  <si>
    <t>PREDICTED: Raphanus sativus nuclear transport factor 2 (LOC108823536), transcript variant X1, mRNA</t>
  </si>
  <si>
    <t>Raphanus sativus</t>
  </si>
  <si>
    <t>Myroides odoratus strain HAMBI_1923 chromosome, complete genome</t>
  </si>
  <si>
    <t>Myroides odoratus</t>
  </si>
  <si>
    <t>PREDICTED: Bubalus kerabau DEAD-box helicase 31 (DDX31), transcript variant X3, mRNA</t>
  </si>
  <si>
    <t>Micromonospora sp. CA-240977 chromosome, complete genome</t>
  </si>
  <si>
    <t>Micromonospora sp. CA-240977</t>
  </si>
  <si>
    <t>PREDICTED: Malus domestica elongation factor G-2, mitochondrial (LOC103439019), mRNA</t>
  </si>
  <si>
    <t>Vibrio furnissii strain VFBJ05 chromosome 1, complete sequence</t>
  </si>
  <si>
    <t>PREDICTED: Bubalus bubalis DEAD-box helicase 31 (DDX31), transcript variant X3, mRNA</t>
  </si>
  <si>
    <t>Strongylocentrotus droebachiensis genome assembly, chromosome: 11</t>
  </si>
  <si>
    <t>PREDICTED: Zingiber officinale elongation factor G, mitochondrial-like (LOC121992619), mRNA</t>
  </si>
  <si>
    <t>Zingiber officinale</t>
  </si>
  <si>
    <t>Frangula alnus genome assembly, organelle: mitochondrion</t>
  </si>
  <si>
    <t>Frangula alnus</t>
  </si>
  <si>
    <t>PREDICTED: Topomyia yanbarensis small conductance calcium-activated potassium channel protein (LOC131689160), transcript variant X8, mRNA</t>
  </si>
  <si>
    <t>Amphidium lapponicum genome assembly, chromosome: 7</t>
  </si>
  <si>
    <t>Amphidium lapponicum</t>
  </si>
  <si>
    <t>PREDICTED: Raphanus sativus nuclear transport factor 2 (LOC108823536), transcript variant X2, mRNA</t>
  </si>
  <si>
    <t>Steromphala pennanti genome assembly, chromosome: 8</t>
  </si>
  <si>
    <t>Paraburkholderia terrae KU-46 DNA, chromosome 3, complete sequence</t>
  </si>
  <si>
    <t>PREDICTED: Serinus canaria NAD(P)(+)--arginine ADP-ribosyltransferase 2-like (LOC103824761), transcript variant X7, mRNA</t>
  </si>
  <si>
    <t>PREDICTED: Impatiens glandulifera elongation factor G-1, mitochondrial-like (LOC124937615), mRNA</t>
  </si>
  <si>
    <t>Impatiens glandulifera</t>
  </si>
  <si>
    <t>Turicibacter bilis strain ISU324 chromosome, complete genome</t>
  </si>
  <si>
    <t>Vibrio diabolicus strain 3098 chromosome 1, complete sequence</t>
  </si>
  <si>
    <t>PREDICTED: Topomyia yanbarensis small conductance calcium-activated potassium channel protein (LOC131689160), transcript variant X9, mRNA</t>
  </si>
  <si>
    <t>PREDICTED: Moschus berezovskii DEAD-box helicase 31 (DDX31), transcript variant X2, mRNA</t>
  </si>
  <si>
    <t>Catharus ustulatus voucher UMMZ birds 245306 NADH dehydrogenase subunit 6 (ND6) gene, complete cds; mitochondrial</t>
  </si>
  <si>
    <t>PREDICTED: Heptranchias perlo PPFIA binding protein 1b (ppfibp1b), transcript variant X2, mRNA</t>
  </si>
  <si>
    <t>PREDICTED: Serinus canaria NAD(P)(+)--arginine ADP-ribosyltransferase 2-like (LOC103824761), transcript variant X3, misc_RNA</t>
  </si>
  <si>
    <t>PREDICTED: Heptranchias perlo PPFIA binding protein 1b (ppfibp1b), transcript variant X10, mRNA</t>
  </si>
  <si>
    <t>Paraburkholderia terrae strain DSM 17804 chromosome 3, complete sequence</t>
  </si>
  <si>
    <t>Vibrio alginolyticus strain V208 chromosome 1, complete sequence</t>
  </si>
  <si>
    <t>Cubiceps paradoxus voucher SIO:060066e8-fa56-4c48-bc4d-5f0fe770fe7e mitochondrion, complete genome</t>
  </si>
  <si>
    <t>Cubiceps paradoxus</t>
  </si>
  <si>
    <t>PREDICTED: Bubalus bubalis DEAD-box helicase 31 (DDX31), transcript variant X1, mRNA</t>
  </si>
  <si>
    <t>PREDICTED: Oryctolagus cuniculus DENN domain containing 1B (DENND1B), transcript variant X10, mRNA</t>
  </si>
  <si>
    <t>Oryctolagus cuniculus</t>
  </si>
  <si>
    <t>PREDICTED: Rissa tridactyla insulin like growth factor 1 receptor (IGF1R), transcript variant X5, mRNA</t>
  </si>
  <si>
    <t>Vibrio furnissii strain C1 chromosome 1, complete sequence</t>
  </si>
  <si>
    <t>Lutjanus kasmira voucher USNM:FISH:466520 mitochondrion, complete genome</t>
  </si>
  <si>
    <t>MAG: Sneathiella sp. isolate 08a295f6-9e11-4336-b638-1630ba82a4f3 genome assembly, chromosome: 1</t>
  </si>
  <si>
    <t>Sneathiella sp.</t>
  </si>
  <si>
    <t>Vaccinium bracteatum mitochondrion, complete genome</t>
  </si>
  <si>
    <t>Vaccinium bracteatum</t>
  </si>
  <si>
    <t>Veronica longifolia genome assembly, chromosome: 13</t>
  </si>
  <si>
    <t>Veronica longifolia</t>
  </si>
  <si>
    <t>Streptomyces sp. NBC_00569 chromosome, complete genome</t>
  </si>
  <si>
    <t>Streptomyces sp. NBC_00569</t>
  </si>
  <si>
    <t>PREDICTED: Muntiacus reevesi DEAD-box helicase 31 (DDX31), mRNA</t>
  </si>
  <si>
    <t>Muntiacus reevesi</t>
  </si>
  <si>
    <t>Catharus ustulatus voucher UMMZ birds 247190 NADH dehydrogenase subunit 6 (ND6) gene, complete cds; mitochondrial</t>
  </si>
  <si>
    <t>PREDICTED: Scyliorhinus torazame piwi-like RNA-mediated gene silencing 1 (piwil1), transcript variant X1, mRNA</t>
  </si>
  <si>
    <t>Konia dikume voucher dikuB06 mitochondrion, complete genome</t>
  </si>
  <si>
    <t>Catharus guttatus voucher UMMZ birds 247186 NADH dehydrogenase subunit 6 (ND6) gene, complete cds; mitochondrial</t>
  </si>
  <si>
    <t>Catharus guttatus</t>
  </si>
  <si>
    <t>PREDICTED: Periplaneta americana UNC-79 domain-containing protein (unc79), transcript variant X4, mRNA</t>
  </si>
  <si>
    <t>PREDICTED: Oncorhynchus masou masou von Willebrand factor D and EGF domain-containing protein-like (LOC135522316), mRNA</t>
  </si>
  <si>
    <t>Oncorhynchus masou masou</t>
  </si>
  <si>
    <t>Rhizobium leguminosarum bv. trifolii strain SBAG1 chromosome, complete genome</t>
  </si>
  <si>
    <t>Rhizobium leguminosarum bv. trifolii</t>
  </si>
  <si>
    <t>PREDICTED: Trichomycterus rosablanca MAPK regulated corepressor interacting protein 1 (mcrip1), mRNA</t>
  </si>
  <si>
    <t>Trichomycterus rosablanca</t>
  </si>
  <si>
    <t>Methanococcoides methylutens strain Q3c chromosome, complete genome</t>
  </si>
  <si>
    <t>Methanococcoides methylutens</t>
  </si>
  <si>
    <t>Streptomyces sp. NBC_00118 chromosome, complete genome</t>
  </si>
  <si>
    <t>Streptomyces sp. NBC_00118</t>
  </si>
  <si>
    <t>PREDICTED: Tasmannia lanceolata elongation factor G, mitochondrial-like (LOC143890508), transcript variant X2, mRNA</t>
  </si>
  <si>
    <t>Pungu maclareni voucher pungC25 mitochondrion, complete genome</t>
  </si>
  <si>
    <t>PREDICTED: Aristolochia californica probable histone-arginine methyltransferase CARM1 (LOC137958951), mRNA</t>
  </si>
  <si>
    <t>Aristolochia californica</t>
  </si>
  <si>
    <t>Oreochromis leucostictus Forward Primer</t>
  </si>
  <si>
    <t>Oreochromis leucostictus Reverse Primer</t>
  </si>
  <si>
    <t>Oreochromis leucostictus Probe</t>
  </si>
  <si>
    <t>Oreochromis leucostictus isolate TZ036 NADH dehydrogenase subunit 5 (ND5) gene, partial cds; mitochondrial</t>
  </si>
  <si>
    <t>Amazilia viridigaster NADH dehydrogenase subunit 5 (ND5) gene, partial cds; mitochondrial</t>
  </si>
  <si>
    <t>Saucerottia viridigaster</t>
  </si>
  <si>
    <t>Iksookimia pacifica mitochondrion, complete genome</t>
  </si>
  <si>
    <t>Iksookimia pacifica</t>
  </si>
  <si>
    <t>Histiopterus typus mitochondrion, complete genome</t>
  </si>
  <si>
    <t>Histiopterus typus</t>
  </si>
  <si>
    <t>Amazilia saucerrottei NADH dehydrogenase subunit 5 (ND5) gene, partial cds; mitochondrial</t>
  </si>
  <si>
    <t>Saucerottia saucerottei</t>
  </si>
  <si>
    <t>Oreochromis leucostictus isolate MG358 NADH dehydrogenase subunit 5 (ND5) gene, partial cds; mitochondrial</t>
  </si>
  <si>
    <t>Hemitheconyx taylori isolate Htay1 mitochondrion</t>
  </si>
  <si>
    <t>Hemitheconyx taylori</t>
  </si>
  <si>
    <t>Engraulis japonicus mitochondrial DNA, complete sequence</t>
  </si>
  <si>
    <t>Engraulis japonicus</t>
  </si>
  <si>
    <t>Genicanthus melanospilos mitochondrion, complete genome</t>
  </si>
  <si>
    <t>Genicanthus melanospilos</t>
  </si>
  <si>
    <t>Seriolina nigrofasciata voucher USNM:FISH:435399 mitochondrion, complete genome</t>
  </si>
  <si>
    <t>Genicanthus semifasciatus mitochondrion, complete genome</t>
  </si>
  <si>
    <t>Genicanthus semifasciatus</t>
  </si>
  <si>
    <t>Amazilia cyanocephala isolate Tac1 NADH dehydrogenase subunit 5 (ND5) gene, partial cds; mitochondrial</t>
  </si>
  <si>
    <t>Saucerottia cyanocephala</t>
  </si>
  <si>
    <t>Amazilia cyanocephala isolate 13 NADH dehydrogenase subunit 5 (ND5) gene, partial cds; mitochondrial</t>
  </si>
  <si>
    <t>Lamprologus tumbanus mitochondrion, complete genome</t>
  </si>
  <si>
    <t>Amazilia cyanocephala isolate Guat12 NADH dehydrogenase subunit 5 (ND5) gene, partial cds; mitochondrial</t>
  </si>
  <si>
    <t>Tylochromis polylepis mitochondrial DNA, complete genome</t>
  </si>
  <si>
    <t>Brotula townsendi voucher USNM:FISH:446238 mitochondrion, complete genome</t>
  </si>
  <si>
    <t>Brotula townsendi</t>
  </si>
  <si>
    <t>Decodon puellaris voucher USNM:FISH:477630 mitochondrion, complete genome</t>
  </si>
  <si>
    <t>Lamprologus werneri mitochondrion, complete genome</t>
  </si>
  <si>
    <t>Homalopteroides smithi voucher CBM:ZF 12281 mitochondrion, complete genome</t>
  </si>
  <si>
    <t>Homalopteroides smithi</t>
  </si>
  <si>
    <t>Upeneus japonicus mitochondrion, complete genome</t>
  </si>
  <si>
    <t>Upeneus japonicus</t>
  </si>
  <si>
    <t>Macroramphosus scolopax voucher USNM:FISH:477640 mitochondrion, complete genome</t>
  </si>
  <si>
    <t>Chitra indica mitochondrion, complete genome</t>
  </si>
  <si>
    <t>Chitra indica</t>
  </si>
  <si>
    <t>Amazilia tobaci NADH dehydrogenase subunit 5 (ND5) gene, partial cds; mitochondrial</t>
  </si>
  <si>
    <t>Saucerottia tobaci</t>
  </si>
  <si>
    <t>Macroramphosus scolopax mitochondrion, complete genome</t>
  </si>
  <si>
    <t>Pterygotrigla ryukyuensis NMMBP:21042 mitochondrial DNA, complete genome</t>
  </si>
  <si>
    <t>Pterygotrigla ryukyuensis</t>
  </si>
  <si>
    <t>Stathmonotus stahli voucher USNM:FISH:414527 mitochondrion, complete genome</t>
  </si>
  <si>
    <t>Macroramphosus scolopax voucher USNM:FISH:477644 mitochondrion, complete genome</t>
  </si>
  <si>
    <t>Engraulis japonicus mitochondrion, complete genome</t>
  </si>
  <si>
    <t>Macroramphosus scolopax voucher USNM:FISH:477636 mitochondrion, complete genome</t>
  </si>
  <si>
    <t>Gobiomorphus australis isolate CES-357 mitochondrion, complete genome</t>
  </si>
  <si>
    <t>Gobiomorphus australis</t>
  </si>
  <si>
    <t>Caulophryne jordani mitochondrial DNA, complete genome</t>
  </si>
  <si>
    <t>Macroramphosus scolopax voucher USNM:FISH:471041 mitochondrion, complete genome</t>
  </si>
  <si>
    <t>Huso huso mitochondrion, complete genome</t>
  </si>
  <si>
    <t>Huso huso</t>
  </si>
  <si>
    <t>Sillago aeolus mitochondrion, complete genome</t>
  </si>
  <si>
    <t>Sillago aeolus</t>
  </si>
  <si>
    <t>Scopelogadus bispinosus mitochondrion, partial genome</t>
  </si>
  <si>
    <t>Scopelogadus bispinosus</t>
  </si>
  <si>
    <t>Pristiophorus nudipinnis haplotype PN ND5 8 NADH dehydrogenase subunit 5 (ND5) gene, partial cds; mitochondrial</t>
  </si>
  <si>
    <t>Pristiophorus nudipinnis</t>
  </si>
  <si>
    <t>Amazilia edward NADH dehydrogenase subunit 5 (ND5) gene, partial cds; mitochondrial</t>
  </si>
  <si>
    <t>Saucerottia edward</t>
  </si>
  <si>
    <t>Sphyrapicus varius voucher CMNH Birds 71871 NADH dehydrogenase subunit 5 (ND5) gene, complete cds; mitochondrial</t>
  </si>
  <si>
    <t>Sphyrapicus varius</t>
  </si>
  <si>
    <t>PREDICTED: Mya arenaria uncharacterized LOC128214335 (LOC128214335), mRNA</t>
  </si>
  <si>
    <t>Mya arenaria</t>
  </si>
  <si>
    <t>Geochelone nigra isolate CF1 NADH dehydrogenase subunit 5 (ND5) gene, partial cds; mitochondrial gene for mitochondrial product</t>
  </si>
  <si>
    <t>Chelonoidis niger</t>
  </si>
  <si>
    <t>Decodon puellaris voucher USNM:FISH:471040 mitochondrion, complete genome</t>
  </si>
  <si>
    <t>Polydactylus bifurcus voucher USNM:FISH:76627 mitochondrion, complete genome</t>
  </si>
  <si>
    <t>Polydactylus bifurcus</t>
  </si>
  <si>
    <t>Eurystomus orientalis voucher AMNH 643219 mitochondrion, complete genome</t>
  </si>
  <si>
    <t>Eurystomus orientalis</t>
  </si>
  <si>
    <t>Amazilia cyanocephala isolate 14 NADH dehydrogenase subunit 5 (ND5) gene, partial cds; mitochondrial</t>
  </si>
  <si>
    <t>Neolamprologus brevis mitochondrion, complete genome</t>
  </si>
  <si>
    <t>Pristiophorus nudipinnis haplotype PN ND5 7 NADH dehydrogenase subunit 5 (ND5) gene, partial cds; mitochondrial</t>
  </si>
  <si>
    <t>Bodianus oxycephalus mitochondrion, complete genome</t>
  </si>
  <si>
    <t>Bodianus oxycephalus</t>
  </si>
  <si>
    <t>Paraclinus fasciatus voucher USNM:FISH:413522 mitochondrion, partial genome</t>
  </si>
  <si>
    <t>Paraclinus fasciatus</t>
  </si>
  <si>
    <t>Acipenser sp. JNY-2013 mitochondrion, complete genome</t>
  </si>
  <si>
    <t>Acipenser sp. JNY-2013</t>
  </si>
  <si>
    <t>Stemonosudis macrura mitochondrion, partial genome</t>
  </si>
  <si>
    <t>Stemonosudis macrura</t>
  </si>
  <si>
    <t>Cirripectes polyzona voucher USNM:FISH:446181 mitochondrion, complete genome</t>
  </si>
  <si>
    <t>Cirripectes polyzona</t>
  </si>
  <si>
    <t>Acipenser brevirostrum mitochondrion, complete genome</t>
  </si>
  <si>
    <t>Acipenser brevirostrum</t>
  </si>
  <si>
    <t>Bodianus albotaeniatus voucher USNM:FISH:442385 mitochondrion, complete genome</t>
  </si>
  <si>
    <t>Bodianus albotaeniatus</t>
  </si>
  <si>
    <t>Chionodraco hamatus mitochondrion, complete genome</t>
  </si>
  <si>
    <t>Chionodraco hamatus</t>
  </si>
  <si>
    <t>Acipenser transmontanus mitochondrion, complete genome</t>
  </si>
  <si>
    <t>Acipenser transmontanus</t>
  </si>
  <si>
    <t>Diagramma picta mitochondrion, complete genome</t>
  </si>
  <si>
    <t>Diagramma picta</t>
  </si>
  <si>
    <t>Badis badis mitochondrial DNA, complete genome except for D-loop</t>
  </si>
  <si>
    <t>Badis badis</t>
  </si>
  <si>
    <t>Sardinella longiceps isolate CA3 mitochondrion, complete genome</t>
  </si>
  <si>
    <t>Sardinella longiceps</t>
  </si>
  <si>
    <t>Rangifer tarandus genome assembly, chromosome: 22</t>
  </si>
  <si>
    <t>Rangifer tarandus</t>
  </si>
  <si>
    <t>Chelonoidis donfaustoi voucher CF_09 mitochondrion, partial genome</t>
  </si>
  <si>
    <t>Chelonoidis donfaustoi</t>
  </si>
  <si>
    <t>Upeneus japonicus mitochondrial DNA, complete genome except for D-loop</t>
  </si>
  <si>
    <t>Acipenser schrenckii voucher XV.5.22 haplogroup SM mitochondrion, complete genome</t>
  </si>
  <si>
    <t>Acipenser schrenckii</t>
  </si>
  <si>
    <t>Trachinotus baillonii FRLM:35219 mitochondrial ND5 gene for NADH dehydrogenase subunit 5, partial cds</t>
  </si>
  <si>
    <t>Trachinotus baillonii</t>
  </si>
  <si>
    <t>Acetobacterium malicum subsp. dehalogenans DSM 11527 chromosome, complete genome</t>
  </si>
  <si>
    <t>Acetobacterium malicum subsp. dehalogenans DSM 11527</t>
  </si>
  <si>
    <t>Anas platyrhynchos isolate Bengal mitochondrion, complete genome</t>
  </si>
  <si>
    <t>Anas platyrhynchos</t>
  </si>
  <si>
    <t>Seriolina nigrofasciata mitochondrion, complete genome</t>
  </si>
  <si>
    <t>Anas platyrhynchos 20230310_TCRDL_Apla mitochondrial DNA, complete genome</t>
  </si>
  <si>
    <t>Phenacoscorpius nebris voucher USNM:FISH:415354 mitochondrion, complete genome</t>
  </si>
  <si>
    <t>Phenacoscorpius nebris</t>
  </si>
  <si>
    <t>Scopelogadus bispinosus voucher USNM:FISH:466511 mitochondrion, partial genome</t>
  </si>
  <si>
    <t>Holacanthus ciliaris voucher 279 mitochondrion, complete genome</t>
  </si>
  <si>
    <t>Sardinella longiceps isolate VSK3 mitochondrion, complete genome</t>
  </si>
  <si>
    <t>Wallemia ichthyophaga EXF-994 Dihydroxy-acid dehydratase (J056_000156), partial mRNA</t>
  </si>
  <si>
    <t>Wallemia ichthyophaga EXF-994</t>
  </si>
  <si>
    <t>Pristiophorus nudipinnis haplotype PN ND5 2 NADH dehydrogenase subunit 5 (ND5) gene, partial cds; mitochondrial</t>
  </si>
  <si>
    <t>Cryptoheros cutteri mitochondrion, complete genome</t>
  </si>
  <si>
    <t>Cryptoheros cutteri</t>
  </si>
  <si>
    <t>Eurystomus orientalis voucher AMNH 643164 mitochondrion, complete genome</t>
  </si>
  <si>
    <t>Hyperlophus vittatus mitochondrial DNA, complete genome</t>
  </si>
  <si>
    <t>Hyperlophus vittatus</t>
  </si>
  <si>
    <t>Vibrio crassostreae LMG 22240 DNA, chromosome 1, complete sequence</t>
  </si>
  <si>
    <t>Vibrio crassostreae</t>
  </si>
  <si>
    <t>Anas platyrhynchos voucher CSW4828 mitochondrion, complete genome</t>
  </si>
  <si>
    <t>Copadichromis borleyi mitochondrion, complete genome</t>
  </si>
  <si>
    <t>Plesiops nakaharae mitochondrion, complete genome</t>
  </si>
  <si>
    <t>Plesiops nakaharae</t>
  </si>
  <si>
    <t>Anas poecilorhyncha mitochondrion, complete genome</t>
  </si>
  <si>
    <t>Anas poecilorhyncha</t>
  </si>
  <si>
    <t>Capros aper genome assembly, organelle: mitochondrion</t>
  </si>
  <si>
    <t>Capros aper</t>
  </si>
  <si>
    <t>Haplochromis burtoni mitochondrion, complete genome</t>
  </si>
  <si>
    <t>PREDICTED: Pristis pectinata centrosome-associated protein 350-like (LOC127569571), transcript variant X3, mRNA</t>
  </si>
  <si>
    <t>Pristis pectinata</t>
  </si>
  <si>
    <t>Haplochromis pyrrhocephalus mitochondrial ND5 gene for NADH dehydrogenase subunit 5, partial cds, isolate: Hp1</t>
  </si>
  <si>
    <t>Inimicus didactylus mitochondrion, complete genome</t>
  </si>
  <si>
    <t>Plesiops nakaharae mitochondrial DNA, complete genome</t>
  </si>
  <si>
    <t>Sphyrapicus varius voucher RAM Ornithology Z15.4.11 NADH dehydrogenase subunit 5 (ND5) gene, complete cds; mitochondrial</t>
  </si>
  <si>
    <t>Elops machnata mitochondrion, complete genome</t>
  </si>
  <si>
    <t>Elops machnata</t>
  </si>
  <si>
    <t>Anatid alphaherpesvirus 2 isolate ACDP 22-00165, partial genome</t>
  </si>
  <si>
    <t>Anatid alphaherpesvirus 2</t>
  </si>
  <si>
    <t>Abbottina rivularis mitochondrion, complete genome</t>
  </si>
  <si>
    <t>Abbottina rivularis</t>
  </si>
  <si>
    <t>Pseudocaranx dentex mitochondrion, complete genome</t>
  </si>
  <si>
    <t>Pseudocaranx dentex</t>
  </si>
  <si>
    <t>Corynebacterium ulcerans strain P69 chromosome, complete genome</t>
  </si>
  <si>
    <t>Corynebacterium ulcerans</t>
  </si>
  <si>
    <t>Acipenser schrenckii voucher IX.7.14 haplogroup BG mitochondrion, complete genome</t>
  </si>
  <si>
    <t>PREDICTED: Pristis pectinata centrosome-associated protein 350-like (LOC127569571), transcript variant X1, mRNA</t>
  </si>
  <si>
    <t>Cutibacterium phage CAP 7-2, complete genome</t>
  </si>
  <si>
    <t>Cutibacterium phage CAP 7-2</t>
  </si>
  <si>
    <t>Dysalotus oligoscolus mitochondrion, complete genome</t>
  </si>
  <si>
    <t>Dysalotus oligoscolus</t>
  </si>
  <si>
    <t>PREDICTED: Pristis pectinata centrosome-associated protein 350-like (LOC127569571), transcript variant X2, mRNA</t>
  </si>
  <si>
    <t>MAG: Gemmatimonadetes bacterium isolate bin29 chromosome</t>
  </si>
  <si>
    <t>Gemmatimonadota bacterium</t>
  </si>
  <si>
    <t>Anas platyrhynchos breed Xilin duck mitochondrion, complete genome</t>
  </si>
  <si>
    <t>Sander vitreus voucher NEFC_F19-493 mitochondrion, complete genome</t>
  </si>
  <si>
    <t>Rubricatochromis letourneuxi mitochondrion, complete genome</t>
  </si>
  <si>
    <t>Rubricatochromis letourneuxi</t>
  </si>
  <si>
    <t>Ophichthus rotundus mitochondrion, complete genome</t>
  </si>
  <si>
    <t>Ophichthus rotundus</t>
  </si>
  <si>
    <t>Triodon macropterus voucher USNM:FISH:466430 mitochondrion, complete genome</t>
  </si>
  <si>
    <t>Triodon macropterus</t>
  </si>
  <si>
    <t>Corynebacterium ulcerans FRC58, complete genome</t>
  </si>
  <si>
    <t>Corynebacterium ulcerans FRC58</t>
  </si>
  <si>
    <t>Phoenicopterus ruber mitochondrion, complete genome</t>
  </si>
  <si>
    <t>Phoenicopterus ruber</t>
  </si>
  <si>
    <t>Chaenogobius annularis mitochondrial DNA, nearly complete genome, haplotype: Kuji04</t>
  </si>
  <si>
    <t>Chaenogobius annularis</t>
  </si>
  <si>
    <t>Propionibacterium phage TCUCAP1, partial genome</t>
  </si>
  <si>
    <t>Propionibacterium phage TCUCAP1</t>
  </si>
  <si>
    <t>Sphyrapicus varius voucher UMMZ birds 247442 NADH dehydrogenase subunit 5 (ND5) gene, complete cds; mitochondrial</t>
  </si>
  <si>
    <t>Engraulis eurystole voucher USNM:FISH:477570 mitochondrion, complete genome</t>
  </si>
  <si>
    <t>Engraulis eurystole</t>
  </si>
  <si>
    <t>Paraclinus nigripinnis voucher USNM:FISH:415492 mitochondrion, partial genome</t>
  </si>
  <si>
    <t>Paraclinus nigripinnis</t>
  </si>
  <si>
    <t>Pristiophorus nudipinnis haplotype PN ND5 1 NADH dehydrogenase subunit 5 (ND5) gene, partial cds; mitochondrial</t>
  </si>
  <si>
    <t>Chaetodon reticulatus voucher USNM:FISH:446089 mitochondrion, complete genome</t>
  </si>
  <si>
    <t>Chaetodon reticulatus</t>
  </si>
  <si>
    <t>Neolamprologus similis mitochondrion, complete genome</t>
  </si>
  <si>
    <t>Anas poecilorhyncha isolate SB02 mitochondrion, complete genome</t>
  </si>
  <si>
    <t>Odax cyanomelas mitochondrion, complete genome</t>
  </si>
  <si>
    <t>Olisthops cyanomelas</t>
  </si>
  <si>
    <t>Thorichthys meeki isolate F-T-m-1 mitochondrion, complete genome</t>
  </si>
  <si>
    <t>Percilia gillissi mitochondrion, partial genome</t>
  </si>
  <si>
    <t>Selene setapinnis voucher USNM:FISH:466097 mitochondrion, complete genome</t>
  </si>
  <si>
    <t>Selene setapinnis</t>
  </si>
  <si>
    <t>Anatid alphaherpesvirus 2 isolate Lowood 1989, partial genome</t>
  </si>
  <si>
    <t>Acipenser medirostris mitochondrion, complete genome</t>
  </si>
  <si>
    <t>Acipenser medirostris</t>
  </si>
  <si>
    <t>Rhinogobius sp. BW mitochondrial ND5 gene for NADH dehydrogenase subunit 5, complete cds, haplotype: BW14</t>
  </si>
  <si>
    <t>Rhinogobius sp. BW</t>
  </si>
  <si>
    <t>Prevotella denticola JCM 13449 chromosome 1 DNA, complete sequence</t>
  </si>
  <si>
    <t>Prevotella denticola</t>
  </si>
  <si>
    <t>Sphyrapicus varius NADH dehydrogenase subunit 5 (ND5) gene, partial cds; mitochondrial gene for mitochondrial product</t>
  </si>
  <si>
    <t>Arothron meleagris voucher USNM:FISH:424113 mitochondrion, complete genome</t>
  </si>
  <si>
    <t>Arothron meleagris</t>
  </si>
  <si>
    <t>Corynebacterium ulcerans strain FDAARGOS_1118 chromosome, complete genome</t>
  </si>
  <si>
    <t>Formosania galericula mitochondrion, complete genome</t>
  </si>
  <si>
    <t>Formosania galericula</t>
  </si>
  <si>
    <t>Ostichthys trachypoma voucher USNM:FISH:438746 mitochondrion, partial genome</t>
  </si>
  <si>
    <t>Ostichthys trachypoma</t>
  </si>
  <si>
    <t>Lamprologus kungweensis mitochondrion, complete genome</t>
  </si>
  <si>
    <t>Acipenser schrenckii voucher XV.5.3 haplogroup SM mitochondrion, complete genome</t>
  </si>
  <si>
    <t>Sander vitreus isolate LM08-C mitochondrion, complete genome</t>
  </si>
  <si>
    <t>Corynebacterium ulcerans strain NCTC8639 genome assembly, chromosome: 1</t>
  </si>
  <si>
    <t>Acipenser schrenckii mitochondrion, complete genome</t>
  </si>
  <si>
    <t>Etelis carbunculus voucher USNM:FISH:466474 mitochondrion, complete genome</t>
  </si>
  <si>
    <t>PREDICTED: Nothobranchius furzeri interleukin-18 receptor accessory protein (LOC107381668), transcript variant X1, mRNA</t>
  </si>
  <si>
    <t>Nothobranchius furzeri</t>
  </si>
  <si>
    <t>Sardinella longiceps isolate CA4 mitochondrion, complete genome</t>
  </si>
  <si>
    <t>Propionibacterium phage PHL152M00, complete genome</t>
  </si>
  <si>
    <t>Propionibacterium phage PHL152M00</t>
  </si>
  <si>
    <t>Anas platyrhynchos breed Putian Black duck mitochondrion, complete genome</t>
  </si>
  <si>
    <t>Gymnogobius heptacanthus mitochondrial DNA, complete sequence</t>
  </si>
  <si>
    <t>Gymnogobius heptacanthus</t>
  </si>
  <si>
    <t>Sphyrapicus varius voucher NYSM ZO zo-16451 NADH dehydrogenase subunit 5 (ND5) gene, complete cds; mitochondrial</t>
  </si>
  <si>
    <t>Neoepinnula americana voucher USNM:FISH:400744 mitochondrion, complete genome</t>
  </si>
  <si>
    <t>Neoepinnula americana</t>
  </si>
  <si>
    <t>Paraneetroplus synspilus x Amphilophus citrinellus mitochondrion, complete genome</t>
  </si>
  <si>
    <t>Anas platyrhynchos breed mallard mitochondrion, complete genome</t>
  </si>
  <si>
    <t>Rhinogobius sp. BW mitochondrial ND5 gene for NADH dehydrogenase subunit 5, complete cds, haplotype: BW09</t>
  </si>
  <si>
    <t>Lentibacillus sp. CBA3610 chromosome, complete genome</t>
  </si>
  <si>
    <t>Lentibacillus sp. CBA3610</t>
  </si>
  <si>
    <t>Huso dauricus x Acipenser schrenckii mitochondrion, complete genome</t>
  </si>
  <si>
    <t>Huso dauricus x Acipenser schrenckii</t>
  </si>
  <si>
    <t>Centropyge flavissima voucher 364 mitochondrion, complete genome</t>
  </si>
  <si>
    <t>Corynebacterium ulcerans strain 131001, complete genome</t>
  </si>
  <si>
    <t>Anas platyrhynchos breed Sichuan mitochondrion, complete genome</t>
  </si>
  <si>
    <t>Fossorochromis rostratus mitochondrion, complete genome</t>
  </si>
  <si>
    <t>PREDICTED: Anas platyrhynchos uncharacterized lncRNA (LOC140001132), ncRNA</t>
  </si>
  <si>
    <t>Fundulus heteroclitus isolate 4I4 NADH dehydrogenase subunit 5 gene, partial cds; mitochondrial</t>
  </si>
  <si>
    <t>Fundulus heteroclitus</t>
  </si>
  <si>
    <t>Corynebacterium ulcerans strain NCTC7910 genome assembly, chromosome: 1</t>
  </si>
  <si>
    <t>Holacanthus passer voucher 274 mitochondrion, complete genome</t>
  </si>
  <si>
    <t>Holacanthus passer</t>
  </si>
  <si>
    <t>Arothron mappa mitochondrial DNA, complete genome, specimen_voucher: personal:Seita Miyazawa:AR0004</t>
  </si>
  <si>
    <t>Arothron mappa</t>
  </si>
  <si>
    <t>Polopeustis altensis genome assembly, chromosome: 16</t>
  </si>
  <si>
    <t>Polopeustis altensis</t>
  </si>
  <si>
    <t>Alopochen aegyptiaca genome assembly, organelle: mitochondrion</t>
  </si>
  <si>
    <t>Alopochen aegyptiaca</t>
  </si>
  <si>
    <t>Chaenogobius annularis mitochondrial DNA, nearly complete genome, haplotype: Yamada10</t>
  </si>
  <si>
    <t>Alces alces genome assembly, chromosome: 22</t>
  </si>
  <si>
    <t>Clupeoides borneensis mitochondrial DNA, complete genome</t>
  </si>
  <si>
    <t>Clupeoides borneensis</t>
  </si>
  <si>
    <t>Glyptothorax laosensis mitochondrion, complete genome</t>
  </si>
  <si>
    <t>Glyptothorax laosensis</t>
  </si>
  <si>
    <t>PREDICTED: Ictalurus furcatus ankyrin repeat and FYVE domain containing 1 (ankfy1), mRNA</t>
  </si>
  <si>
    <t>Ictalurus furcatus</t>
  </si>
  <si>
    <t>Anas platyrhynchos mitochondrion, complete genome</t>
  </si>
  <si>
    <t>Chaenogobius annularis mitochondrial DNA, nearly complete genome, haplotype: Yamada09</t>
  </si>
  <si>
    <t>Prevotella denticola strain F0288 chromosome 1, complete sequence</t>
  </si>
  <si>
    <t>Sphyrapicus varius voucher UMMZ birds 245236 NADH dehydrogenase subunit 5 (ND5) gene, complete cds; mitochondrial</t>
  </si>
  <si>
    <t>Chromis retrofasciata mitochondrion, complete genome</t>
  </si>
  <si>
    <t>Chromis retrofasciata</t>
  </si>
  <si>
    <t>Sphyrapicus varius voucher UMMZ birds 247444 NADH dehydrogenase subunit 5 (ND5) gene, complete cds; mitochondrial</t>
  </si>
  <si>
    <t>Atropus mentalis FRLM:49658 mitochondrial ND5 gene for NADH dehydrogenase subunit 5, partial cds</t>
  </si>
  <si>
    <t>Atropus mentalis</t>
  </si>
  <si>
    <t>Anas platyrhynchos isolate MA03 mitochondrion, complete genome</t>
  </si>
  <si>
    <t>Amazilia cyanocephala isolate 4 NADH dehydrogenase subunit 5 (ND5) gene, partial cds; mitochondrial</t>
  </si>
  <si>
    <t>Cutibacterium phage NS-ph2, complete genome</t>
  </si>
  <si>
    <t>Cutibacterium phage NS-ph2</t>
  </si>
  <si>
    <t>Pristiophorus nudipinnis haplotype PN ND5 9 NADH dehydrogenase subunit 5 (ND5) gene, partial cds; mitochondrial</t>
  </si>
  <si>
    <t>Amazilia cyanocephala isolate AcCuet3 NADH dehydrogenase subunit 5 (ND5) gene, partial cds; mitochondrial</t>
  </si>
  <si>
    <t>Rubricatochromis lifalili isolate F-H-l-1 mitochondrion, complete genome</t>
  </si>
  <si>
    <t>Rubricatochromis lifalili</t>
  </si>
  <si>
    <t>Fulica atra mitochondrion, complete genome</t>
  </si>
  <si>
    <t>Fulica atra</t>
  </si>
  <si>
    <t>Sardinella longiceps isolate BO2 mitochondrion, complete genome</t>
  </si>
  <si>
    <t>Anatid alphaherpesvirus 2 isolate Lockyer Valley 2021, partial genome</t>
  </si>
  <si>
    <t>Bradypodion barbatulum isolate FP527 NADH-ubiquinone oxidoreductase chain 5 (ND5) gene, partial cds; mitochondrial</t>
  </si>
  <si>
    <t>Bradypodion barbatulum</t>
  </si>
  <si>
    <t>Sebastes babcocki mitochondrion, partial genome</t>
  </si>
  <si>
    <t>Sebastes babcocki</t>
  </si>
  <si>
    <t>Prevotella denticola strain F0119 chromosome, complete genome</t>
  </si>
  <si>
    <t>Sphyrapicus varius voucher UMMZ birds 245212 NADH dehydrogenase subunit 5 (ND5) gene, complete cds; mitochondrial</t>
  </si>
  <si>
    <t>Chaenogobius annularis mitochondrial DNA, nearly complete genome, haplotype: Yasu08</t>
  </si>
  <si>
    <t>Lampadena atlantica mitochondrial DNA, complete genome</t>
  </si>
  <si>
    <t>Lampadena atlantica</t>
  </si>
  <si>
    <t>Strongylura anastomella mitochondrion, complete genome</t>
  </si>
  <si>
    <t>Strongylura anastomella</t>
  </si>
  <si>
    <t>Prevotella denticola F0289, complete genome</t>
  </si>
  <si>
    <t>Prevotella denticola F0289</t>
  </si>
  <si>
    <t>Pristiophorus nudipinnis haplotype PN ND5 6 NADH dehydrogenase subunit 5 (ND5) gene, partial cds; mitochondrial</t>
  </si>
  <si>
    <t>Pristipomoides argyrogrammicus mitochondrion, complete genome</t>
  </si>
  <si>
    <t>Lentinula edodes uncharacterized protein (C8R40DRAFT_791176), mRNA</t>
  </si>
  <si>
    <t>Lentinula edodes</t>
  </si>
  <si>
    <t>Bradypodion damaranum isolate P306B NADH-ubiquinone oxidoreductase chain 5 (ND5) gene, partial cds; mitochondrial</t>
  </si>
  <si>
    <t>Bradypodion damaranum</t>
  </si>
  <si>
    <t>Sargocentron diadema voucher USNM:FISH:435173 mitochondrion, complete genome</t>
  </si>
  <si>
    <t>Sargocentron diadema</t>
  </si>
  <si>
    <t>Cutibacterium phage CAP 7-1, complete genome</t>
  </si>
  <si>
    <t>Cutibacterium phage CAP 7-1</t>
  </si>
  <si>
    <t>Anas platyrhynchos isolate KC mitochondrion, complete genome</t>
  </si>
  <si>
    <t>Plectorhinchus cinctus mitochondrion, complete genome</t>
  </si>
  <si>
    <t>Plectorhinchus cinctus</t>
  </si>
  <si>
    <t>Cutibacterium phage CAP 9-2, complete genome</t>
  </si>
  <si>
    <t>Cutibacterium phage CAP 9-2</t>
  </si>
  <si>
    <t>Phoenicopterus ruber mitochondrion, partial genome</t>
  </si>
  <si>
    <t>Chaenogobius annularis mitochondrial DNA, nearly complete genome, haplotype: Kuji05</t>
  </si>
  <si>
    <t>Corynebacterium ulcerans 809, complete genome</t>
  </si>
  <si>
    <t>Corynebacterium ulcerans 809</t>
  </si>
  <si>
    <t>Copadichromis quadrimaculatus mitochondrion, complete genome</t>
  </si>
  <si>
    <t>Sordaria macrospora uncharacterized protein (SMAC4_02650), partial mRNA</t>
  </si>
  <si>
    <t>Sordaria macrospora</t>
  </si>
  <si>
    <t>Anas platyrhynchos isolate MA01 mitochondrion, complete genome</t>
  </si>
  <si>
    <t>Coccorella atlantica NADH dehydrogenase subunit 5 (ND5) gene, partial cds; mitochondrial</t>
  </si>
  <si>
    <t>Coccorella atlantica</t>
  </si>
  <si>
    <t>Prevotella histicola strain T05-04 chromosome 1, complete sequence</t>
  </si>
  <si>
    <t>Prevotella histicola</t>
  </si>
  <si>
    <t>Leiolepis reevesii voucher SY3 mitochondrion, complete genome</t>
  </si>
  <si>
    <t>Leiolepis reevesii</t>
  </si>
  <si>
    <t>Maylandia zebra mitochondrion, complete genome</t>
  </si>
  <si>
    <t>Paenibacillus sp. JCM 9795 DNA, complete genome</t>
  </si>
  <si>
    <t>Paenibacillus sp. JCM 9795</t>
  </si>
  <si>
    <t>Sphyrapicus varius voucher RAM Ornithology Z16.5.10 NADH dehydrogenase subunit 5 (ND5) gene, complete cds; mitochondrial</t>
  </si>
  <si>
    <t>Caranx fischeri CAS:ICH:234274-2 mitochondrial ND5 gene for NADH dehydrogenase subunit 5, partial cds</t>
  </si>
  <si>
    <t>Caranx fischeri</t>
  </si>
  <si>
    <t>Prevotella melaninogenica strain F0054 chromosome 1, complete sequence</t>
  </si>
  <si>
    <t>Prevotella melaninogenica</t>
  </si>
  <si>
    <t>Acipenser schrenckii voucher XV.6.31 haplogroup BG mitochondrion, complete genome</t>
  </si>
  <si>
    <t>Chaenogobius annularis mitochondrial DNA, nearly complete genome, haplotype: Asamushi08</t>
  </si>
  <si>
    <t>uncultured Candidatus Pacearchaeota archaeon genomic DNA containing deoA-rbcL-e2b2 region region</t>
  </si>
  <si>
    <t>uncultured Candidatus Pacearchaeota archaeon</t>
  </si>
  <si>
    <t>Rhodeus lighti mitochondrion, complete genome</t>
  </si>
  <si>
    <t>Rhodeus lighti</t>
  </si>
  <si>
    <t>MAG: Thermodesulfobacteriota bacterium isolate 263b4f05-1b2c-42db-935d-865eb6a8296e genome assembly, chromosome: 1</t>
  </si>
  <si>
    <t>Thermodesulfobacteriota bacterium</t>
  </si>
  <si>
    <t>Anas diazi isolate CC08 mitochondrion, complete genome</t>
  </si>
  <si>
    <t>Anas diazi</t>
  </si>
  <si>
    <t>Chaenogobius annularis mitochondrial DNA, nearly complete genome, haplotype: Kasose03</t>
  </si>
  <si>
    <t>Paenibacillus sp. RUD330 chromosome, complete genome</t>
  </si>
  <si>
    <t>Paenibacillus sp. RUD330</t>
  </si>
  <si>
    <t>Grus canadensis mitochondrion, complete genome</t>
  </si>
  <si>
    <t>Antigone canadensis</t>
  </si>
  <si>
    <t>Fundulus notatus voucher LodgeLab Fnotatus_1 mitochondrion, complete genome</t>
  </si>
  <si>
    <t>Fundulus notatus</t>
  </si>
  <si>
    <t>PREDICTED: Nothobranchius furzeri interleukin-18 receptor accessory protein (LOC107381668), transcript variant X2, mRNA</t>
  </si>
  <si>
    <t>Eurystomus orientalis voucher MCZ:178155 mitochondrion, complete genome</t>
  </si>
  <si>
    <t>Ophidion robinsi voucher USNM:FISH:466032 mitochondrion, complete genome</t>
  </si>
  <si>
    <t>Ophidion robinsi</t>
  </si>
  <si>
    <t>Lachnospiraceae bacterium CE91-St56 DNA, complete genome</t>
  </si>
  <si>
    <t>Lachnospiraceae bacterium</t>
  </si>
  <si>
    <t>Odonus niger mitochondrion, complete genome</t>
  </si>
  <si>
    <t>Abudefduf saxatilis voucher BPS3760 mitochondrion, complete genome</t>
  </si>
  <si>
    <t>Corynebacterium ulcerans strain 210931, complete genome</t>
  </si>
  <si>
    <t>Rocio octofasciata mitochondrion, complete genome</t>
  </si>
  <si>
    <t>Rocio octofasciata</t>
  </si>
  <si>
    <t>Cirripectes castaneus isolate RUNA_3155 mitochondrion, complete genome</t>
  </si>
  <si>
    <t>Cirripectes castaneus</t>
  </si>
  <si>
    <t>Chelonoidis donfaustoi voucher CF_06 mitochondrion, partial genome</t>
  </si>
  <si>
    <t>Lepomis gulosus mitochondrion, complete genome</t>
  </si>
  <si>
    <t>Lepomis gulosus</t>
  </si>
  <si>
    <t>Prevotella melaninogenica strain F0091 chromosome 1, complete sequence</t>
  </si>
  <si>
    <t>Sander vitreus isolate LM08-B mitochondrion, complete genome</t>
  </si>
  <si>
    <t>MAG: Thermodesulfobacteriota bacterium isolate f530718b-0ed1-4fd9-8463-ff378a1067cc genome assembly, chromosome: 1</t>
  </si>
  <si>
    <t>Typhlias pearsei voucher IBUNAM:CNPE:23278 mitochondrion, complete genome</t>
  </si>
  <si>
    <t>Seriola zonata voucher USNM:FISH:471073 mitochondrion, complete genome</t>
  </si>
  <si>
    <t>Seriola zonata</t>
  </si>
  <si>
    <t>Acipenser sinensis haplotype Y13 mitochondrion, complete genome</t>
  </si>
  <si>
    <t>Acipenser sinensis</t>
  </si>
  <si>
    <t>Gobiopterus lacustris mitochondrion, complete genome</t>
  </si>
  <si>
    <t>Gobiopterus lacustris</t>
  </si>
  <si>
    <t>Opistognathus macrognathus voucher USNM:FISH:416784 mitochondrion, complete genome</t>
  </si>
  <si>
    <t>Opistognathus macrognathus</t>
  </si>
  <si>
    <t>Pristiophorus nudipinnis voucher NMV&lt;AUS&gt;:Z9232 NADH dehydrogenase subunit 5 (ND5) gene, partial cds; mitochondrial</t>
  </si>
  <si>
    <t>Neolamprologus caudopunctatus mitochondrion, complete genome</t>
  </si>
  <si>
    <t>PREDICTED: Erigeron canadensis E3 ubiquitin-protein ligase WAV3-like (LOC122580109), mRNA</t>
  </si>
  <si>
    <t>Erigeron canadensis</t>
  </si>
  <si>
    <t>Sphyrapicus varius voucher RAM Ornithology Z95.11.10 NADH dehydrogenase subunit 5 (ND5) gene, complete cds; mitochondrial</t>
  </si>
  <si>
    <t>Sardinella longiceps isolate MA3 mitochondrion, complete genome</t>
  </si>
  <si>
    <t>Cutibacterium phage CAP 7-3, complete genome</t>
  </si>
  <si>
    <t>Cutibacterium phage CAP 7-3</t>
  </si>
  <si>
    <t>Blanus cinereus mitochondrion, complete genome</t>
  </si>
  <si>
    <t>Blanus cinereus</t>
  </si>
  <si>
    <t>Julidochromis transcriptus mitochondrial ND5 gene for NADH dehydrogenase subunit 5, partial cds, isolate: Jt1</t>
  </si>
  <si>
    <t>Sphyrapicus varius voucher CUMV Bird 56059 NADH dehydrogenase subunit 5 (ND5) gene, complete cds; mitochondrial</t>
  </si>
  <si>
    <t>Chaenogobius annularis mitochondrial DNA, nearly complete genome, haplotype: Taro12</t>
  </si>
  <si>
    <t>Lethrinops lethrinus mitochondrion, complete genome</t>
  </si>
  <si>
    <t>Vreelandella sp. TE19 isolate ena-SAMPLE-TAB-29-07-2025-11:09:30:975-21974 genome assembly, chromosome: TE19C1</t>
  </si>
  <si>
    <t>Vreelandella sp. TE19</t>
  </si>
  <si>
    <t>Anas platyrhynchos breed Rongshui duck mitochondrion, complete genome</t>
  </si>
  <si>
    <t>Fundulus heteroclitus isolate 3L3 NADH dehydrogenase subunit 5 gene, partial cds; mitochondrial</t>
  </si>
  <si>
    <t>Lamprologus ornatipinnis mitochondrion, complete genome</t>
  </si>
  <si>
    <t>Sphyrapicus varius voucher RAM Ornithology Z16.1.31 NADH dehydrogenase subunit 5 (ND5) gene, complete cds; mitochondrial</t>
  </si>
  <si>
    <t>Sander vitreus isolate MC-0601 mitochondrion, complete genome</t>
  </si>
  <si>
    <t>Kwoniella heveanensis CBS 569 chromosome 1</t>
  </si>
  <si>
    <t>Kwoniella heveanensis CBS 569</t>
  </si>
  <si>
    <t>Acipenser schrenckii voucher XV.6.30 haplogroup BG mitochondrion, complete genome</t>
  </si>
  <si>
    <t>Chaetodon lineolatus voucher USNM:FISH:446395 mitochondrion, complete genome</t>
  </si>
  <si>
    <t>Chaetodon lineolatus</t>
  </si>
  <si>
    <t>Prevotella denticola strain KCOM 1525 chromosome 1, complete sequence</t>
  </si>
  <si>
    <t>Sardinella longiceps isolate CA2R mitochondrion, complete genome</t>
  </si>
  <si>
    <t>Corynebacterium ulcerans strain 210932, complete genome</t>
  </si>
  <si>
    <t>Glyptothorax lanceatus mitochondrion, complete genome</t>
  </si>
  <si>
    <t>Glyptothorax lanceatus</t>
  </si>
  <si>
    <t>Prevotella melaninogenica strain F0516 chromosome 1, complete sequence</t>
  </si>
  <si>
    <t>Bradypodion damaranum isolate P822 NADH-ubiquinone oxidoreductase chain 5 (ND5) gene, partial cds; mitochondrial</t>
  </si>
  <si>
    <t>Sander vitreus mitochondrion, complete genome</t>
  </si>
  <si>
    <t>Botryllus schlosseri isolate E-star genome assembly, chromosome: 5</t>
  </si>
  <si>
    <t>Botryllus schlosseri</t>
  </si>
  <si>
    <t>Acipenser baerii isolate F20-043 mitochondrion, complete genome</t>
  </si>
  <si>
    <t>Acipenser baerii</t>
  </si>
  <si>
    <t>Herichthys minckleyi isolate 20Churince NADH dehydrogenase subunit 5 (ND5) gene, complete cds; mitochondrial</t>
  </si>
  <si>
    <t>Prevotella histicola JCM 15637 chromosome 1 DNA, complete sequence</t>
  </si>
  <si>
    <t>Acipenser sinensis haplotype Y14 mitochondrion, complete genome</t>
  </si>
  <si>
    <t>Amblygaster sirm mitochondrial DNA, complete sequence, specimen_voucher: KAUM:I:60966</t>
  </si>
  <si>
    <t>Amblygaster sirm</t>
  </si>
  <si>
    <t>Paraneetroplus synspilus mitochondrion, complete genome</t>
  </si>
  <si>
    <t>Mene maculata mitochondrial DNA, complete genome except for D-loop</t>
  </si>
  <si>
    <t>Mene maculata</t>
  </si>
  <si>
    <t>Corynebacterium ulcerans strain NCTC7908 genome assembly, chromosome: 1</t>
  </si>
  <si>
    <t>Seriola rivoliana voucher USNM:FISH:466070 mitochondrion, complete genome</t>
  </si>
  <si>
    <t>Girella punctata mitochondrion, complete genome</t>
  </si>
  <si>
    <t>Anas platyrhynchos voucher UAMX5540 mitochondrion, complete genome</t>
  </si>
  <si>
    <t>Rhinogobius sp. BW mitochondrial ND5 gene for NADH dehydrogenase subunit 5, complete cds, haplotype: BW07</t>
  </si>
  <si>
    <t>Rangifer tarandus genome assembly, chromosome: 16</t>
  </si>
  <si>
    <t>Geochelone nigra isolate CF4 NADH dehydrogenase subunit 5 (ND5) gene, partial cds; mitochondrial gene for mitochondrial product</t>
  </si>
  <si>
    <t>Etelis carbunculus voucher USNM:FISH:466471 mitochondrion, complete genome</t>
  </si>
  <si>
    <t>Hapalogenys analis mitochondrion, complete genome</t>
  </si>
  <si>
    <t>Microphysogobio chinssuensis mitochondrion, complete genome</t>
  </si>
  <si>
    <t>Microphysogobio chinssuensis</t>
  </si>
  <si>
    <t>Chaenogobius annularis mitochondrial DNA, nearly complete genome, haplotype: Hiraiso05</t>
  </si>
  <si>
    <t>PREDICTED: Lytechinus pictus S-crystallin SL11-like (LOC129281228), mRNA</t>
  </si>
  <si>
    <t>Lytechinus pictus</t>
  </si>
  <si>
    <t>Pristiophorus nudipinnis voucher NMV&lt;AUS&gt;:Z9233 NADH dehydrogenase subunit 5 (ND5) gene, partial cds; mitochondrial</t>
  </si>
  <si>
    <t>Decapterus muroadsi voucher SIO:b9f53e0e-ddfd-4f8f-8189-1b93a509f31c mitochondrion, complete genome</t>
  </si>
  <si>
    <t>Decapterus muroadsi</t>
  </si>
  <si>
    <t>Aphareus furca voucher USNM:FISH:446486 mitochondrion, complete genome</t>
  </si>
  <si>
    <t>Aphareus furca</t>
  </si>
  <si>
    <t>Prevotella multiformis strain F0096 chromosome 1, complete sequence</t>
  </si>
  <si>
    <t>Prevotella multiformis</t>
  </si>
  <si>
    <t>Anas platyrhynchos genome assembly, organelle: mitochondrion</t>
  </si>
  <si>
    <t>Leucopsarion petersii mitochondrion, complete genome</t>
  </si>
  <si>
    <t>Leucopsarion petersii</t>
  </si>
  <si>
    <t>Paenibacillus barengoltzii strain CAU904 laminaripentaose-producing beta-1,3-glucanase gene, partial cds</t>
  </si>
  <si>
    <t>Paenibacillus barengoltzii</t>
  </si>
  <si>
    <t>Pseudoscaphirhynchus hermanni mitochondrion, complete genome</t>
  </si>
  <si>
    <t>Pseudoscaphirhynchus hermanni</t>
  </si>
  <si>
    <t>Chromis fumea mitochondrion, complete genome</t>
  </si>
  <si>
    <t>Chromis fumea</t>
  </si>
  <si>
    <t>Prevotella denticola strain F0105 chromosome</t>
  </si>
  <si>
    <t>Holacanthus bermudensis voucher USNM:FISH:471099 mitochondrion, complete genome</t>
  </si>
  <si>
    <t>Uaru amphiacanthoides mitochondrion, complete genome</t>
  </si>
  <si>
    <t>Prevotella denticola strain F0115 chromosome 1, complete sequence</t>
  </si>
  <si>
    <t>Anas platyrhynchos voucher SAR6383 mitochondrion, complete genome</t>
  </si>
  <si>
    <t>Placidochromis longimanus mitochondrion, complete genome</t>
  </si>
  <si>
    <t>Propionibacterium phage PHL171M01, complete genome</t>
  </si>
  <si>
    <t>Propionibacterium phage PHL171M01</t>
  </si>
  <si>
    <t>Centropyge interrupta mitochondrion, complete genome</t>
  </si>
  <si>
    <t>Stereolepis doederleini UU1901 mitochondrial DNA, complete genome</t>
  </si>
  <si>
    <t>Stereolepis doederleini</t>
  </si>
  <si>
    <t>Glarea lozoyensis ATCC 20868 P-loop containing nucleoside triphosphate hydrolase (GLAREA_10326), partial mRNA</t>
  </si>
  <si>
    <t>Glarea lozoyensis ATCC 20868</t>
  </si>
  <si>
    <t>Geochelone nigra isolate CF5 NADH dehydrogenase subunit 5 (ND5) gene, partial cds; mitochondrial gene for mitochondrial product</t>
  </si>
  <si>
    <t>Amazilia beryllina isolate 10 NADH dehydrogenase subunit 5 (ND5) gene, partial cds; mitochondrial</t>
  </si>
  <si>
    <t>Saucerottia beryllina</t>
  </si>
  <si>
    <t>Botryllus schlosseri isolate E-star genome assembly, chromosome: 13</t>
  </si>
  <si>
    <t>Myripristis pralinia voucher USNM:FISH:446062 mitochondrion, complete genome</t>
  </si>
  <si>
    <t>Myripristis pralinia</t>
  </si>
  <si>
    <t>Anatid alphaherpesvirus 2 isolate Maryborough 2017, complete genome</t>
  </si>
  <si>
    <t>Leiolepis rubritaeniata mitochondrial DNA, complete genome</t>
  </si>
  <si>
    <t>Leiolepis rubritaeniata</t>
  </si>
  <si>
    <t>Arothron stellatus mitochondrial DNA, complete genome, specimen_voucher: KAUM:I:66993</t>
  </si>
  <si>
    <t>Arothron stellatus</t>
  </si>
  <si>
    <t>PREDICTED: Ictalurus punctatus ankyrin repeat and FYVE domain containing 1 (ankfy1), mRNA</t>
  </si>
  <si>
    <t>Ictalurus punctatus</t>
  </si>
  <si>
    <t>Huso dauricus mitochondrion, complete genome</t>
  </si>
  <si>
    <t>Huso dauricus</t>
  </si>
  <si>
    <t>Thorichthys meeki mitochondrion, complete genome</t>
  </si>
  <si>
    <t>Acipenser sinensis haplotype Y11 mitochondrion, complete genome</t>
  </si>
  <si>
    <t>Andinoacara rivulatus mitochondrion, complete genome</t>
  </si>
  <si>
    <t>Andinoacara rivulatus</t>
  </si>
  <si>
    <t>PREDICTED: Macrobrachium rosenbergii galactoside alpha-(1,2)-fucosyltransferase 1-like (LOC136836627), mRNA</t>
  </si>
  <si>
    <t>Macrobrachium rosenbergii</t>
  </si>
  <si>
    <t>Acipenser brevirostrum voucher USFWS-115 mitochondrion, complete genome</t>
  </si>
  <si>
    <t>Chaenogobius annularis mitochondrial DNA, nearly complete genome, haplotype: Onagawa08</t>
  </si>
  <si>
    <t>Heterodontus francisci mitochondrion, complete genome</t>
  </si>
  <si>
    <t>Heterodontus francisci</t>
  </si>
  <si>
    <t>Corynebacterium ulcerans strain NCTC13718 genome assembly, chromosome: 1</t>
  </si>
  <si>
    <t>Sphyrapicus varius voucher UMMZ birds 245237 NADH dehydrogenase subunit 5 (ND5) gene, complete cds; mitochondrial</t>
  </si>
  <si>
    <t>Paenibacillus sp. JCM 9796 DNA, complete genome</t>
  </si>
  <si>
    <t>Paenibacillus sp. JCM 9796</t>
  </si>
  <si>
    <t>Anas platyrhynchos breed Shan partridge duck mitochondrion, complete genome</t>
  </si>
  <si>
    <t>Pseudopentaceros richardsoni mitochondrion, complete genome</t>
  </si>
  <si>
    <t>Pseudopentaceros richardsoni</t>
  </si>
  <si>
    <t>Vreelandella sp. EE22 genome assembly, chromosome: EE22</t>
  </si>
  <si>
    <t>Vreelandella sp. EE22</t>
  </si>
  <si>
    <t>Hypseleotris bucephala isolate CES-032 voucher SAMA:F-FISH77_PU99-63MCG mitochondrion, complete genome</t>
  </si>
  <si>
    <t>Xenorhabdus doucetiae str. FRM16 chromosome, complete genome</t>
  </si>
  <si>
    <t>Xenorhabdus doucetiae</t>
  </si>
  <si>
    <t>Podarcis lilfordi genome assembly, organelle: mitochondrion</t>
  </si>
  <si>
    <t>Podarcis lilfordi</t>
  </si>
  <si>
    <t>Trachinotus ovatus mitochondrion, complete genome</t>
  </si>
  <si>
    <t>Trachinotus ovatus</t>
  </si>
  <si>
    <t>MAG: Bacteroidales bacterium isolate d554a065-6b18-4027-98a3-e240c86e67dd genome assembly, chromosome: 1</t>
  </si>
  <si>
    <t>Bacteroidales bacterium</t>
  </si>
  <si>
    <t>Nibea coibor mitochondrion, complete genome</t>
  </si>
  <si>
    <t>Oxyurichthys ophthalmonema mitochondrion, complete genome</t>
  </si>
  <si>
    <t>Oxyurichthys ophthalmonema</t>
  </si>
  <si>
    <t>Aphelia unitana genome assembly, chromosome: 8</t>
  </si>
  <si>
    <t>Aphelia unitana</t>
  </si>
  <si>
    <t>Acipenser sinensis mitochondrion, complete genome</t>
  </si>
  <si>
    <t>Chaenogobius annularis mitochondrial DNA, nearly complete genome, haplotype: Asamushi03</t>
  </si>
  <si>
    <t>PREDICTED: Bicyclus anynana period circadian protein (LOC112050002), transcript variant X5, mRNA</t>
  </si>
  <si>
    <t>Bicyclus anynana</t>
  </si>
  <si>
    <t>Acipenser sinensis haplotype Y2 mitochondrion, complete genome</t>
  </si>
  <si>
    <t>Chaenogobius annularis mitochondrial DNA, nearly complete genome, haplotype: Hiraiso13</t>
  </si>
  <si>
    <t>PREDICTED: Drosophila elegans uncharacterized LOC108142952 (LOC108142952), transcript variant X1, mRNA</t>
  </si>
  <si>
    <t>Drosophila elegans</t>
  </si>
  <si>
    <t>Sphyrapicus varius voucher CMNH Birds 71252 NADH dehydrogenase subunit 5 (ND5) gene, complete cds; mitochondrial</t>
  </si>
  <si>
    <t>Sander vitreus voucher NEFC F17-176 mitochondrion, complete genome</t>
  </si>
  <si>
    <t>PREDICTED: Apium graveolens serine/threonine/tyrosine-protein kinase HT1-like (LOC141671098), transcript variant X1, mRNA</t>
  </si>
  <si>
    <t>Apium graveolens</t>
  </si>
  <si>
    <t>Acipenser baerii isolate F20-045 mitochondrion, complete genome</t>
  </si>
  <si>
    <t>Hemitilapia oxyrhyncha mitochondrion, complete genome</t>
  </si>
  <si>
    <t>PREDICTED: Hibiscus syriacus formin-like protein 14 (LOC120174129), transcript variant X2, mRNA</t>
  </si>
  <si>
    <t>Hibiscus syriacus</t>
  </si>
  <si>
    <t>Anas platyrhynchos voucher JJW1397 mitochondrion, complete genome</t>
  </si>
  <si>
    <t>Sardinella longiceps isolate TR2 mitochondrion, complete genome</t>
  </si>
  <si>
    <t>Bacteroides fragilis strain SLAM_BAF01 chromosome, complete genome</t>
  </si>
  <si>
    <t>Bacteroides fragilis</t>
  </si>
  <si>
    <t>Microhyla achatina mitochondrion, complete genome</t>
  </si>
  <si>
    <t>Microhyla achatina</t>
  </si>
  <si>
    <t>Lutjanus bengalensis mitochondrion, complete genome</t>
  </si>
  <si>
    <t>Lutjanus bengalensis</t>
  </si>
  <si>
    <t>Gardnerella vaginalis strain NCTC10287 genome assembly, chromosome: 1</t>
  </si>
  <si>
    <t>Gardnerella vaginalis</t>
  </si>
  <si>
    <t>Anas platyrhynchos isolate Maithili mitochondrion, complete genome</t>
  </si>
  <si>
    <t>Colisa fasciata mitochondrion, complete genome</t>
  </si>
  <si>
    <t>Trichogaster fasciata</t>
  </si>
  <si>
    <t>Botryllus schlosseri isolate E-star genome assembly, chromosome: 11</t>
  </si>
  <si>
    <t>Pristiophorus nudipinnis haplotype PN ND5 3 NADH dehydrogenase subunit 5 (ND5) gene, partial cds; mitochondrial</t>
  </si>
  <si>
    <t>Chaenogobius annularis mitochondrial DNA, nearly complete genome, haplotype: Majima02</t>
  </si>
  <si>
    <t>Bicyclus anynana period mRNA, complete cds</t>
  </si>
  <si>
    <t>Fulica atra voucher B59040 mitochondrion, complete genome</t>
  </si>
  <si>
    <t>Galaxias fuscus isolate CES-022 mitochondrion, complete genome</t>
  </si>
  <si>
    <t>Galaxias fuscus</t>
  </si>
  <si>
    <t>Passiflora edulis clone Pe141J23, complete sequence</t>
  </si>
  <si>
    <t>Passiflora edulis</t>
  </si>
  <si>
    <t>Sander vitreus isolate BufPd8 mitochondrion, complete genome</t>
  </si>
  <si>
    <t>Spirometra erinaceieuropaei genome assembly S_erinaceieuropaei, scaffold SPER_scaffold0020030</t>
  </si>
  <si>
    <t>Anas platyrhynchos platyrhynchos voucher DDG1776 mitochondrion, complete genome</t>
  </si>
  <si>
    <t>Anas platyrhynchos platyrhynchos</t>
  </si>
  <si>
    <t>Dimidiochromis compressiceps mitochondrial ND5 gene for NADH dehydrogenase subunit 5, partial cds, isolate: Dc1</t>
  </si>
  <si>
    <t>[Clostridium] sphenoides JCM 1415 strain ATCC 19403 genome assembly, chromosome: I</t>
  </si>
  <si>
    <t>Lacrimispora sphenoides JCM 1415</t>
  </si>
  <si>
    <t>Acipenser baerii isolate AB1624 mitochondrion, complete genome</t>
  </si>
  <si>
    <t>Prionurus biafraensis mitochondrion, complete genome</t>
  </si>
  <si>
    <t>Bacteroides fragilis strain BFG-7 chromosome, complete genome</t>
  </si>
  <si>
    <t>Acipenser schrenckii voucher XV.6.29 haplogroup BG mitochondrion, complete genome</t>
  </si>
  <si>
    <t>Scincella huanrenensis mitochondrion, complete genome</t>
  </si>
  <si>
    <t>Scincella huanrenensis</t>
  </si>
  <si>
    <t>PREDICTED: Apium graveolens serine/threonine/tyrosine-protein kinase HT1-like (LOC141671098), transcript variant X2, mRNA</t>
  </si>
  <si>
    <t>Acipenser sinensis haplotype Y10 mitochondrion, complete genome</t>
  </si>
  <si>
    <t>Pseudogobius taijiangensis mitochondrion, complete genome</t>
  </si>
  <si>
    <t>Pseudogobius taijiangensis</t>
  </si>
  <si>
    <t>Darwinula stevensoni</t>
  </si>
  <si>
    <t>Anas platyrhynchos voucher JJW1602 mitochondrion, complete genome</t>
  </si>
  <si>
    <t>Parupeneus multifasciatus voucher GOU104145 mitochondrion, complete genome</t>
  </si>
  <si>
    <t>Parupeneus multifasciatus</t>
  </si>
  <si>
    <t>Bacteroides fragilis YCH46 DNA, complete genome</t>
  </si>
  <si>
    <t>Bacteroides fragilis YCH46</t>
  </si>
  <si>
    <t>Sphyrapicus varius voucher CMNH Birds 71295 NADH dehydrogenase subunit 5 (ND5) gene, complete cds; mitochondrial</t>
  </si>
  <si>
    <t>Etelis carbunculus voucher USNM:FISH:466484 mitochondrion, complete genome</t>
  </si>
  <si>
    <t>PREDICTED: Acropora millepora nuclear pore glycoprotein p62-like (LOC114958378), mRNA</t>
  </si>
  <si>
    <t>Acropora millepora</t>
  </si>
  <si>
    <t>Coelorinchus caelorhincus voucher USNM:FISH:405130 mitochondrion, complete genome</t>
  </si>
  <si>
    <t>Coelorinchus caelorhincus</t>
  </si>
  <si>
    <t>Galaxias olidus isolate CES-018 voucher SAMA:F-FISH91_TR01-266-2 mitochondrion, complete genome</t>
  </si>
  <si>
    <t>Galaxias olidus</t>
  </si>
  <si>
    <t>Botryllus schlosseri isolate E-star genome assembly, chromosome: 10</t>
  </si>
  <si>
    <t>Sphyrapicus varius voucher UMMZ birds 247445 NADH dehydrogenase subunit 5 (ND5) gene, complete cds; mitochondrial</t>
  </si>
  <si>
    <t>Osteocephalus aff. subtilis DO-2022 voucher MTR28083 mitochondrion, partial genome</t>
  </si>
  <si>
    <t>Osteocephalus aff. subtilis DO-2022</t>
  </si>
  <si>
    <t>PREDICTED: Panicum hallii putative receptor protein kinase ZmPK1 (LOC112876565), transcript variant X2, mRNA</t>
  </si>
  <si>
    <t>Panicum hallii</t>
  </si>
  <si>
    <t>Eidolon helvum isolate 1535 mitochondrion, complete genome</t>
  </si>
  <si>
    <t>Eidolon helvum</t>
  </si>
  <si>
    <t>Abudefduf saxatilis voucher BPC0168 mitochondrion, complete genome</t>
  </si>
  <si>
    <t>Lachnoclostridium sp. YL32, complete genome</t>
  </si>
  <si>
    <t>Lachnoclostridium sp. YL32</t>
  </si>
  <si>
    <t>Hypseleotris sp. HAxHB mitochondrion, complete genome</t>
  </si>
  <si>
    <t>Hypseleotris sp. HAxHB</t>
  </si>
  <si>
    <t>PREDICTED: Ranitomeya imitator putative glutamine amidotransferase-like class 1 domain-containing protein 3B, mitochondrial (LOC138666786), mRNA</t>
  </si>
  <si>
    <t>Coelorinchus caelorhincus voucher USNM:FISH:471037 mitochondrion, complete genome</t>
  </si>
  <si>
    <t>Symphysodon aequifasciata mitochondrion, complete genome</t>
  </si>
  <si>
    <t>Symphysodon aequifasciata</t>
  </si>
  <si>
    <t>Bacteroides fragilis genome assembly BFBE1.1, chromosome : scaffold1</t>
  </si>
  <si>
    <t>Sphyrapicus varius voucher UMMZ birds 247443 NADH dehydrogenase subunit 5 (ND5) gene, complete cds; mitochondrial</t>
  </si>
  <si>
    <t>Protomelas annectens mitochondrion, complete genome</t>
  </si>
  <si>
    <t>Uncultured Chloroflexi bacterium clone 01N212B 16S ribosomal RNA gene, partial sequence</t>
  </si>
  <si>
    <t>uncultured Chloroflexota bacterium</t>
  </si>
  <si>
    <t>Astatotilapia gigliolii isolate TZ068 NADH dehydrogenase subunit 5 (ND5) gene, partial cds; mitochondrial</t>
  </si>
  <si>
    <t>Ocyurus chrysurus voucher USNM:FISH:416834 mitochondrion, complete genome</t>
  </si>
  <si>
    <t>Ocyurus chrysurus</t>
  </si>
  <si>
    <t>Bacteroides fragilis strain BFG-506 chromosome, complete genome</t>
  </si>
  <si>
    <t>Acipenser sinensis haplotype Y9 mitochondrion, complete genome</t>
  </si>
  <si>
    <t>Seriola rivoliana voucher USNM:FISH:471113 mitochondrion, complete genome</t>
  </si>
  <si>
    <t>Sphyrapicus varius voucher CMNH Birds 71294 NADH dehydrogenase subunit 5 (ND5) gene, complete cds; mitochondrial</t>
  </si>
  <si>
    <t>Channa argus mitochondrion, complete genome</t>
  </si>
  <si>
    <t>Bacteroides fragilis 638R genome</t>
  </si>
  <si>
    <t>Bacteroides fragilis 638R</t>
  </si>
  <si>
    <t>Anas zonorhyncha mitochondrion, complete genome</t>
  </si>
  <si>
    <t>Anas zonorhyncha</t>
  </si>
  <si>
    <t>Chaenobryttus gulosus isolate NEFC F16-212 mitochondrion, complete genome</t>
  </si>
  <si>
    <t>Bombyx mori p50ma DNA, chromosome: 08</t>
  </si>
  <si>
    <t>Bombyx mori</t>
  </si>
  <si>
    <t>Halcyon pileata mitochondrion, complete genome</t>
  </si>
  <si>
    <t>Halcyon pileata</t>
  </si>
  <si>
    <t>Chaenogobius annularis mitochondrial DNA, nearly complete genome, haplotype: Taro46</t>
  </si>
  <si>
    <t>Uncultured bacterium clone 207848_id23_519748 16S ribosomal RNA gene, partial sequence</t>
  </si>
  <si>
    <t>uncultured bacterium</t>
  </si>
  <si>
    <t>Sardinella longiceps isolate VSK4 mitochondrion, complete genome</t>
  </si>
  <si>
    <t>MAG: Dehalococcoidia bacterium isolate 865023ef-8e16-4315-bfec-facb54b4b210 genome assembly, chromosome: 1</t>
  </si>
  <si>
    <t>Sphyrapicus varius voucher CMNH Birds 74888 NADH dehydrogenase subunit 5 (ND5) gene, complete cds; mitochondrial</t>
  </si>
  <si>
    <t>Pseudaphritis urvillii isolate CES-085 mitochondrion, complete genome</t>
  </si>
  <si>
    <t>Pseudaphritis urvillii</t>
  </si>
  <si>
    <t>PREDICTED: Drosophila sulfurigaster albostrigata lysosomal acid phosphatase (LOC133846184), mRNA</t>
  </si>
  <si>
    <t>Drosophila sulfurigaster albostrigata</t>
  </si>
  <si>
    <t>Pristiophorus nudipinnis haplotype PN ND5 5 NADH dehydrogenase subunit 5 (ND5) gene, partial cds; mitochondrial</t>
  </si>
  <si>
    <t>Chaenogobius annularis mitochondrial DNA, nearly complete genome, haplotype: Yamada05</t>
  </si>
  <si>
    <t>MAG: Alphaproteobacteria bacterium isolate e85b98a5-d515-444b-a553-27111d8e7dd0 genome assembly, chromosome: 1</t>
  </si>
  <si>
    <t>Alphaproteobacteria bacterium</t>
  </si>
  <si>
    <t>Tricholaema leucomelas mitochondrion, partial genome</t>
  </si>
  <si>
    <t>Tricholaema leucomelas</t>
  </si>
  <si>
    <t>Lutjanus fulvus voucher USNM:FISH:466525 mitochondrion, complete genome</t>
  </si>
  <si>
    <t>Lutjanus fulvus</t>
  </si>
  <si>
    <t>Homo sapiens 3 BAC RP11-69K16 (Roswell Park Cancer Institute Human BAC Library) complete sequence</t>
  </si>
  <si>
    <t>Dipsas catesbyi NADH dehydrogenase subunit 5 (nad5) gene, partial cds; mitochondrial</t>
  </si>
  <si>
    <t>Dipsas catesbyi</t>
  </si>
  <si>
    <t>Chaenogobius annularis mitochondrial DNA, nearly complete genome, haplotype: Amino10</t>
  </si>
  <si>
    <t>Uncultured bacterium clone MD12h12_261 16S ribosomal RNA gene, partial sequence</t>
  </si>
  <si>
    <t>Chelydra serpentina mitochondrion, partial genome</t>
  </si>
  <si>
    <t>Chelydra serpentina</t>
  </si>
  <si>
    <t>Sander vitreus isolate BQnt-F5 mitochondrion, complete genome</t>
  </si>
  <si>
    <t>Prevotella fusca JCM 17724 strain W1435 chromosome 1, complete sequence</t>
  </si>
  <si>
    <t>Prevotella fusca JCM 17724</t>
  </si>
  <si>
    <t>Cobitis sinensis voucher IHCAS:0706037 NADH dehydrogenase subunit 4 (ND4) gene, complete cds; tRNA-His, tRNA-Ser, and tRNA-Leu genes, complete sequence; and NADH dehydrogenase subunit 5 (ND5) gene, complete cds; mitochondrial</t>
  </si>
  <si>
    <t>Cobitis sinensis</t>
  </si>
  <si>
    <t>Chaenogobius annularis mitochondrial DNA, nearly complete genome, haplotype: Yamada11</t>
  </si>
  <si>
    <t>Paenibacillus sp. FSL E2-0177 chromosome, complete genome</t>
  </si>
  <si>
    <t>Paenibacillus sp. FSL E2-0177</t>
  </si>
  <si>
    <t>Acipenser sinensis haplotype Y3 mitochondrion, complete genome</t>
  </si>
  <si>
    <t>Sebastes babcocki mitochondrion, complete genome</t>
  </si>
  <si>
    <t>Botryllus schlosseri isolate E-star genome assembly, chromosome: 7</t>
  </si>
  <si>
    <t>Anas platyrhynchos isolate CHH mitochondrion, complete genome</t>
  </si>
  <si>
    <t>Etropus microstomus voucher USNM:FISH:477566 mitochondrion, complete genome</t>
  </si>
  <si>
    <t>Etropus microstomus</t>
  </si>
  <si>
    <t>Phocaeicola dorei strain 1 chromosome, complete genome</t>
  </si>
  <si>
    <t>Phocaeicola dorei</t>
  </si>
  <si>
    <t>Genicanthus bellus mitochondrion, complete genome</t>
  </si>
  <si>
    <t>Genicanthus bellus</t>
  </si>
  <si>
    <t>Chaenogobius annularis mitochondrial DNA, nearly complete genome, haplotype: Hachinohe13</t>
  </si>
  <si>
    <t>PREDICTED: Bicyclus anynana period circadian protein (LOC112050002), transcript variant X3, mRNA</t>
  </si>
  <si>
    <t>Sphyrapicus varius voucher UMMZ birds 247441 NADH dehydrogenase subunit 5 (ND5) gene, complete cds; mitochondrial</t>
  </si>
  <si>
    <t>Siganus fuscescens mitochondrion, complete genome</t>
  </si>
  <si>
    <t>Idiomarina loihiensis L2TR, complete genome</t>
  </si>
  <si>
    <t>Idiomarina loihiensis L2TR</t>
  </si>
  <si>
    <t>Tadorna tadorna mitochondrion, complete genome</t>
  </si>
  <si>
    <t>Tadorna tadorna</t>
  </si>
  <si>
    <t>Siniperca chuatsi mitochondrion, complete genome</t>
  </si>
  <si>
    <t>Siniperca chuatsi</t>
  </si>
  <si>
    <t>Psychrobacter pacificensis strain WSY-P01 chromosome, complete genome</t>
  </si>
  <si>
    <t>Psychrobacter pacificensis</t>
  </si>
  <si>
    <t>Ophidion robinsi voucher USNM:FISH:466115 mitochondrion, complete genome</t>
  </si>
  <si>
    <t>PREDICTED: Haliotis rufescens uncharacterized LOC124139987 (LOC124139987), transcript variant X4, mRNA</t>
  </si>
  <si>
    <t>Sardinella longiceps isolate KL1 mitochondrion, complete genome</t>
  </si>
  <si>
    <t>MAG: Candidatus Poribacteria bacterium isolate d0822ab9-b4e2-4c08-ac22-a2a69ee7900f genome assembly, chromosome: 1</t>
  </si>
  <si>
    <t>Candidatus Poribacteria bacterium</t>
  </si>
  <si>
    <t>Alepes melanoptera mitochondrion, complete genome</t>
  </si>
  <si>
    <t>Alepes melanoptera</t>
  </si>
  <si>
    <t>Bacteroides intestinalis strain APC919/174 chromosome, complete genome</t>
  </si>
  <si>
    <t>Bacteroides intestinalis</t>
  </si>
  <si>
    <t>Acipenser sinensis haplotype Y6 mitochondrion, complete genome</t>
  </si>
  <si>
    <t>Tetragonurus cuvieri mitochondrion, complete genome</t>
  </si>
  <si>
    <t>Eurystomus orientalis voucher NRM 571516 mitochondrion, complete genome</t>
  </si>
  <si>
    <t>Choerodon schoenleinii mitochondrion, complete genome</t>
  </si>
  <si>
    <t>Choerodon schoenleinii</t>
  </si>
  <si>
    <t>Bacteroides fragilis strain BFG-612 chromosome, complete genome</t>
  </si>
  <si>
    <t>Acipenser naccarii mitochondrion, complete genome</t>
  </si>
  <si>
    <t>Acipenser naccarii</t>
  </si>
  <si>
    <t>Genyochromis mento mitochondrion, complete genome</t>
  </si>
  <si>
    <t>Bacteroides fragilis strain BFG-57 chromosome, complete genome</t>
  </si>
  <si>
    <t>Chelonoidis donfaustoi mitochondrion, complete genome</t>
  </si>
  <si>
    <t>Sardinella longiceps isolate OM4 mitochondrion, complete genome</t>
  </si>
  <si>
    <t>Aspergillus undulatus uncharacterized protein (BDV17DRAFT_300107), partial mRNA</t>
  </si>
  <si>
    <t>Aspergillus undulatus</t>
  </si>
  <si>
    <t>Pristiophorus nudipinnis haplotype PN ND5 12 NADH dehydrogenase subunit 5 (ND5) gene, partial cds; mitochondrial</t>
  </si>
  <si>
    <t>Chaenogobius annularis mitochondrial DNA, nearly complete genome, haplotype: Yamada16</t>
  </si>
  <si>
    <t>Bacteroides fragilis strain BFG-18 chromosome, complete genome</t>
  </si>
  <si>
    <t>Anas platyrhynchos voucher JJW944 mitochondrion, complete genome</t>
  </si>
  <si>
    <t>Channa punctata isolate A voucher NIB-Cp mitochondrion, complete genome</t>
  </si>
  <si>
    <t>Channa punctata</t>
  </si>
  <si>
    <t>Helicobacter cetorum MIT 99-5656, complete genome</t>
  </si>
  <si>
    <t>Helicobacter cetorum MIT 99-5656</t>
  </si>
  <si>
    <t>Anas poecilorhyncha isolate SB03 mitochondrion, complete genome</t>
  </si>
  <si>
    <t>Sander vitreus isolate NEFC F16-148 mitochondrion, complete genome</t>
  </si>
  <si>
    <t>PREDICTED: Haliotis rufescens uncharacterized LOC124139987 (LOC124139987), transcript variant X2, mRNA</t>
  </si>
  <si>
    <t>Unidentified nitrogen-fixing bacteria nifH gene for alpha subunit of dinitrogenase reductase, partial cds, clone: CDN27</t>
  </si>
  <si>
    <t>unidentified nitrogen-fixing bacteria</t>
  </si>
  <si>
    <t>Haplochromis burtoni mitochondrial ND5 gene for NADH dehydrogenase subunit 5, partial cds, isolate: Ab1</t>
  </si>
  <si>
    <t>Chaenogobius annularis mitochondrial DNA, nearly complete genome, haplotype: Taro11</t>
  </si>
  <si>
    <t>Bacteroides fragilis strain BFG-480 chromosome, complete genome</t>
  </si>
  <si>
    <t>Chelonoidis chathamensis mitochondrion, partial genome</t>
  </si>
  <si>
    <t>Chelonoidis chathamensis</t>
  </si>
  <si>
    <t>Hypseleotris bucephala isolate CES-030 mitochondrion, complete genome</t>
  </si>
  <si>
    <t>MAG: Euryarchaeota archaeon isolate MFD05580.bin.c.3 genome assembly, chromosome: 1</t>
  </si>
  <si>
    <t>Methanobacteriota archaeon</t>
  </si>
  <si>
    <t>Eurystomus orientalis voucher NRM 571523 mitochondrion, complete genome</t>
  </si>
  <si>
    <t>Labidochromis caeruleus mitochondrial ND5 gene for NADH dehydrogenase subunit 5, partial cds, isolate: Lc1</t>
  </si>
  <si>
    <t>MAG: uncultured Bacteroides sp. isolate 83517295-f76d-485f-aefc-f1c63b392a70 genome assembly, chromosome: 1</t>
  </si>
  <si>
    <t>uncultured Bacteroides sp.</t>
  </si>
  <si>
    <t>Varanus rudicollis mitochondrial DNA, complete genome</t>
  </si>
  <si>
    <t>Varanus rudicollis</t>
  </si>
  <si>
    <t>Chaenogobius annularis mitochondrial DNA, nearly complete genome, haplotype: Asamushi06</t>
  </si>
  <si>
    <t>PREDICTED: Drosophila elegans uncharacterized LOC108142952 (LOC108142952), transcript variant X2, mRNA</t>
  </si>
  <si>
    <t>Chelydra serpentina mitochondrion, complete genome</t>
  </si>
  <si>
    <t>Platycephalus sp. 1 JJX-2020 mitochondrion, complete genome</t>
  </si>
  <si>
    <t>Platycephalus sp. 1 JJX-2020</t>
  </si>
  <si>
    <t>Monosiga brevicollis clone MonoB-9N24, complete sequence</t>
  </si>
  <si>
    <t>Monosiga brevicollis</t>
  </si>
  <si>
    <t>Sphyrapicus varius voucher CMNH Birds 71467 NADH dehydrogenase subunit 5 (ND5) gene, complete cds; mitochondrial</t>
  </si>
  <si>
    <t>Arothron multilineatus mitochondrial DNA, almost complete genome, specimen_voucher: KAUM:I:13606</t>
  </si>
  <si>
    <t>Arothron multilineatus</t>
  </si>
  <si>
    <t>Human DNA sequence from clone RP11-214N16 on chromosome 9, complete sequence</t>
  </si>
  <si>
    <t>Acipenser persicus mitochondrion, complete genome</t>
  </si>
  <si>
    <t>Acipenser persicus</t>
  </si>
  <si>
    <t>PREDICTED: Aricia agestis neurexin-4 (LOC121726809), transcript variant X4, misc_RNA</t>
  </si>
  <si>
    <t>Aricia agestis</t>
  </si>
  <si>
    <t>Abbottina rivularis mitochondrial DNA, complete genome, specimen_voucher: CBM:ZF:12380</t>
  </si>
  <si>
    <t>Sander vitreus isolate MB-0624 mitochondrion, complete genome</t>
  </si>
  <si>
    <t>Halomonas sp. PAMB 3264 chromosome, complete genome</t>
  </si>
  <si>
    <t>Halomonas sp. PAMB 3264</t>
  </si>
  <si>
    <t>Anas platyrhynchos breed Beijing duck mitochondrion, complete genome</t>
  </si>
  <si>
    <t>Arothron stellatus mitochondrial DNA, complete genome, specimen_voucher: personal:Seita Miyazawa:AR0015</t>
  </si>
  <si>
    <t>PREDICTED: Aricia agestis neurexin-4 (LOC121726809), transcript variant X1, mRNA</t>
  </si>
  <si>
    <t>Penopus microphthalmus voucher USNM:FISH:407410 mitochondrion, complete genome</t>
  </si>
  <si>
    <t>Penopus microphthalmus</t>
  </si>
  <si>
    <t>Lepomis gibbosus voucher NEFC_F16-162 mitochondrion, complete genome</t>
  </si>
  <si>
    <t>Lepomis gibbosus</t>
  </si>
  <si>
    <t>MAG TPA_asm: Caudoviricetes sp. isolate ctEup1, partial genome</t>
  </si>
  <si>
    <t>Caudoviricetes sp.</t>
  </si>
  <si>
    <t>Centropyge eibli mitochondrion, complete genome</t>
  </si>
  <si>
    <t>Paenibacillus sp. FSL R10-2778 chromosome, complete genome</t>
  </si>
  <si>
    <t>Paenibacillus sp. FSL R10-2778</t>
  </si>
  <si>
    <t>Sander vitreus isolate LSL-1224 mitochondrion, complete genome</t>
  </si>
  <si>
    <t>Uncultured bacterium clone WC3_147 16S ribosomal RNA gene, partial sequence</t>
  </si>
  <si>
    <t>Diaphus fragilis voucher USNM:FISH:407139 mitochondrion, partial genome</t>
  </si>
  <si>
    <t>Diaphus fragilis</t>
  </si>
  <si>
    <t>Istiompax indica voucher ISIN1100 mitochondrion, complete genome</t>
  </si>
  <si>
    <t>PREDICTED: Drosophila gunungcola uncharacterized LOC128256719 (LOC128256719), mRNA</t>
  </si>
  <si>
    <t>Drosophila gunungcola</t>
  </si>
  <si>
    <t>Pseudoscaphirhynchus kaufmanni mitochondrion, complete genome</t>
  </si>
  <si>
    <t>Pseudoscaphirhynchus kaufmanni</t>
  </si>
  <si>
    <t>Sander vitreus voucher NEFC_F19-358 mitochondrion, complete genome</t>
  </si>
  <si>
    <t>Bacteroides nordii strain WAL7935 chromosome</t>
  </si>
  <si>
    <t>Bacteroides nordii</t>
  </si>
  <si>
    <t>Phoenicolacerta kulzeri mitochondrion, complete genome</t>
  </si>
  <si>
    <t>Phoenicolacerta kulzeri</t>
  </si>
  <si>
    <t>PREDICTED: Gossypium arboreum uncharacterized LOC108481206 (LOC108481206), mRNA</t>
  </si>
  <si>
    <t>Gossypium arboreum</t>
  </si>
  <si>
    <t>Acipenser schrenckii voucher XV.5.6 haplogroup BG mitochondrion, complete genome</t>
  </si>
  <si>
    <t>Sander vitreus isolate Ber10 mitochondrion, complete genome</t>
  </si>
  <si>
    <t>Phocaeicola dorei strain DSM 17855 chromosome, complete genome</t>
  </si>
  <si>
    <t>Holacanthus clarionensis mitochondrion, complete genome</t>
  </si>
  <si>
    <t>Holacanthus clarionensis</t>
  </si>
  <si>
    <t>Xiphias gladius voucher SIO:ca274996-77e0-4b5a-a256-bbf394dec1b8 mitochondrion, complete genome</t>
  </si>
  <si>
    <t>PREDICTED: Haliotis cracherodii uncharacterized protein (LOC139475135), mRNA</t>
  </si>
  <si>
    <t>Anas platyrhynchos voucher JMB1220 mitochondrion, complete genome</t>
  </si>
  <si>
    <t>Chaenogobius annularis mitochondrial DNA, nearly complete genome, haplotype: Taro48</t>
  </si>
  <si>
    <t>Uncultured bacterium clone 1700b-23 16S ribosomal RNA gene, partial sequence</t>
  </si>
  <si>
    <t>Grus leucogeranus mitochondrion, complete genome</t>
  </si>
  <si>
    <t>Leucogeranus leucogeranus</t>
  </si>
  <si>
    <t>Lepidocybium flavobrunneum mitochondrial DNA, nearly complete genome</t>
  </si>
  <si>
    <t>Serratia proteamaculans isolate CBSDS_009 chromosome, complete genome</t>
  </si>
  <si>
    <t>Serratia proteamaculans</t>
  </si>
  <si>
    <t>Anas platyrhynchos isolate MA02 mitochondrion, complete genome</t>
  </si>
  <si>
    <t>Nealotus tripes mitochondrial DNA, nearly complete genome</t>
  </si>
  <si>
    <t>Nealotus tripes</t>
  </si>
  <si>
    <t>Bacteroides fragilis strain BFG-640 chromosome</t>
  </si>
  <si>
    <t>Anas platyrhynchos isolate ZMD mitochondrion, complete genome</t>
  </si>
  <si>
    <t>Lutjanus fulvus voucher USNM:FISH:466527 mitochondrion, complete genome</t>
  </si>
  <si>
    <t>Bacteroides fragilis strain BFG-448 chromosome</t>
  </si>
  <si>
    <t>Acipenser schrenckii voucher XV.6.32 haplogroup BG mitochondrion, complete genome</t>
  </si>
  <si>
    <t>Herichthys minckleyi isolate 3544 NADH dehydrogenase subunit 5 (ND5) gene, complete cds; mitochondrial</t>
  </si>
  <si>
    <t>Uncultured bacterium clone MD08f1_263 16S ribosomal RNA gene, partial sequence</t>
  </si>
  <si>
    <t>Anas platyrhynchos isolate IR mitochondrion, complete genome</t>
  </si>
  <si>
    <t>Lutjanus argentimaculatus mitochondrion, complete genome</t>
  </si>
  <si>
    <t>Bacteroides fragilis strain P207 chromosome, complete genome</t>
  </si>
  <si>
    <t>Platycephalus sp. 1 SX-2021 isolate HBY1 mitochondrion, complete genome</t>
  </si>
  <si>
    <t>Platycephalus sp. 1 SX-2021</t>
  </si>
  <si>
    <t>PREDICTED: Bicyclus anynana period circadian protein (LOC112050002), transcript variant X7, mRNA</t>
  </si>
  <si>
    <t>Phoenicopterus roseus mitochondrion, complete genome</t>
  </si>
  <si>
    <t>Phoenicopterus roseus</t>
  </si>
  <si>
    <t>Chaenogobius annularis mitochondrial DNA, nearly complete genome, haplotype: Iyo02</t>
  </si>
  <si>
    <t>Niveispirillum cyanobacteriorum strain TH16 chromosome eg_2, complete sequence</t>
  </si>
  <si>
    <t>Niveispirillum cyanobacteriorum</t>
  </si>
  <si>
    <t>Sebastes goodei mitochondrion, complete genome</t>
  </si>
  <si>
    <t>Sebastes goodei</t>
  </si>
  <si>
    <t>Bacteroides sp. CG01 chromosome, complete genome</t>
  </si>
  <si>
    <t>Bacteroides sp. CG01</t>
  </si>
  <si>
    <t>Chelonoidis chathamensis voucher SCR_05 mitochondrion, partial genome</t>
  </si>
  <si>
    <t>Chaenogobius annularis mitochondrial DNA, nearly complete genome, haplotype: Shiriuchi11</t>
  </si>
  <si>
    <t>Blautia obeum strain Bg7063_SSTS2015 chromosome, complete genome</t>
  </si>
  <si>
    <t>Blautia obeum</t>
  </si>
  <si>
    <t>Promethearchaeum syntrophicum strain MK-D1 chromosome, complete genome</t>
  </si>
  <si>
    <t>Promethearchaeum syntrophicum</t>
  </si>
  <si>
    <t>Geochelone nigra isolate CH3 NADH dehydrogenase subunit 5 (ND5) gene, partial cds; mitochondrial gene for mitochondrial product</t>
  </si>
  <si>
    <t>Megalaspis cordyla mitochondrion, complete genome</t>
  </si>
  <si>
    <t>Megalaspis cordyla</t>
  </si>
  <si>
    <t>Bacteroides fragilis strain BFG-536 chromosome, complete genome</t>
  </si>
  <si>
    <t>Anas platyrhynchos breed Jinding duck mitochondrion, complete genome</t>
  </si>
  <si>
    <t>Cetostoma regani mitochondrial DNA, complete genome, isolate: MCZ 164250</t>
  </si>
  <si>
    <t>Cetostoma regani</t>
  </si>
  <si>
    <t>Idiomarina loihiensis GSL 199, complete genome</t>
  </si>
  <si>
    <t>Idiomarina loihiensis GSL 199</t>
  </si>
  <si>
    <t>Haemulon macrostomum voucher USNM:FISH:416195 mitochondrion, complete genome</t>
  </si>
  <si>
    <t>Chaenogobius annularis mitochondrial DNA, nearly complete genome, haplotype: Shimonoseki12</t>
  </si>
  <si>
    <t>Botryllus schlosseri isolate E-star genome assembly, chromosome: 2</t>
  </si>
  <si>
    <t>Sphyrapicus varius voucher CMNH Birds 72422 NADH dehydrogenase subunit 5 (ND5) gene, complete cds; mitochondrial</t>
  </si>
  <si>
    <t>Fundulus zebrinus isolate SNARRC18-116 mitochondrion, complete genome</t>
  </si>
  <si>
    <t>Fundulus zebrinus</t>
  </si>
  <si>
    <t>Erebia palarica genome assembly, chromosome: 5</t>
  </si>
  <si>
    <t>Erebia palarica</t>
  </si>
  <si>
    <t>Anas rubripes isolate MO21 mitochondrion, complete genome</t>
  </si>
  <si>
    <t>Anas rubripes</t>
  </si>
  <si>
    <t>Sander vitreus isolate Ber7 mitochondrion, complete genome</t>
  </si>
  <si>
    <t>PREDICTED: Bicyclus anynana period circadian protein (LOC112050002), transcript variant X2, mRNA</t>
  </si>
  <si>
    <t>Eurystomus orientalis voucher AMNH 643218 mitochondrion, complete genome</t>
  </si>
  <si>
    <t>Micropterus floridanus isolate NEFC F17-244 mitochondrion, complete genome</t>
  </si>
  <si>
    <t>Micropterus floridanus</t>
  </si>
  <si>
    <t>Bacteroides pyogenes JCM 6292 DNA, complete genome</t>
  </si>
  <si>
    <t>Bacteroides pyogenes</t>
  </si>
  <si>
    <t>Sphyrapicus varius voucher UMMZ birds 245221 NADH dehydrogenase subunit 5 (ND5) gene, complete cds; mitochondrial</t>
  </si>
  <si>
    <t>PREDICTED: Haliotis rufescens uncharacterized LOC124139987 (LOC124139987), transcript variant X9, mRNA</t>
  </si>
  <si>
    <t>Pristiophorus nudipinnis haplotype PN ND5 10 NADH dehydrogenase subunit 5 (ND5) gene, partial cds; mitochondrial</t>
  </si>
  <si>
    <t>Sander vitreus isolate Mun-13 mitochondrion, complete genome</t>
  </si>
  <si>
    <t>Ponticoccus alexandrii strain C31 chromosome, complete genome</t>
  </si>
  <si>
    <t>Ponticoccus alexandrii</t>
  </si>
  <si>
    <t>Lophostoma silvicolum mitochondrion, complete genome</t>
  </si>
  <si>
    <t>Lophostoma silvicola</t>
  </si>
  <si>
    <t>Bacteroides fragilis strain BFG-634 chromosome</t>
  </si>
  <si>
    <t>Anas platyrhynchos breed Jianchang mitochondrion, complete genome</t>
  </si>
  <si>
    <t>Kajikia albida isolate WHM01 mitochondrion, complete genome</t>
  </si>
  <si>
    <t>Kajikia albida</t>
  </si>
  <si>
    <t>Bacteroides fragilis strain BFG-95 chromosome, complete genome</t>
  </si>
  <si>
    <t>Acipenser baerii mitochondrion, complete genome</t>
  </si>
  <si>
    <t>Dimidiochromis strigatus mitochondrion, complete genome</t>
  </si>
  <si>
    <t>Bacteroides fragilis strain BFG-502 chromosome, complete genome</t>
  </si>
  <si>
    <t>Sphyrapicus varius voucher AMNH Birds DOT-17610 NADH dehydrogenase subunit 5 (ND5) gene, complete cds; mitochondrial</t>
  </si>
  <si>
    <t>Chaenogobius annularis mitochondrial DNA, nearly complete genome, haplotype: Onagawa07</t>
  </si>
  <si>
    <t>Bacteroides fragilis strain 14-106904-1 chromosome, complete genome</t>
  </si>
  <si>
    <t>Tropheus moorii mitochondrion, complete genome</t>
  </si>
  <si>
    <t>Chaenogobius annularis mitochondrial DNA, nearly complete genome, haplotype: Kuji01</t>
  </si>
  <si>
    <t>MAG: uncultured Bacteroides sp. isolate 957ffbb5-8ec4-4b3e-b4c0-d4f05084aee6 genome assembly, chromosome: 4</t>
  </si>
  <si>
    <t>Sphyrapicus varius voucher UMMZ birds 247435 NADH dehydrogenase subunit 5 (ND5) gene, complete cds; mitochondrial</t>
  </si>
  <si>
    <t>Abudefduf saxatilis voucher BPC0173 mitochondrion, complete genome</t>
  </si>
  <si>
    <t>Psychrobacter sp. WY6 chromosome, complete genome</t>
  </si>
  <si>
    <t>Psychrobacter sp. WY6</t>
  </si>
  <si>
    <t>Sphyrapicus varius voucher CMNH Birds 72417 NADH dehydrogenase subunit 5 (ND5) gene, complete cds; mitochondrial</t>
  </si>
  <si>
    <t>Nealotus tripes voucher USNM:FISH:454737 mitochondrion, complete genome</t>
  </si>
  <si>
    <t>Bacteroides fragilis strain ZY0302 chromosome, complete genome</t>
  </si>
  <si>
    <t>Abbottina obtusirostris mitochondrion, complete genome</t>
  </si>
  <si>
    <t>Abbottina obtusirostris</t>
  </si>
  <si>
    <t>Arothron stellatus mitochondrion, complete genome</t>
  </si>
  <si>
    <t>Bacteroides fragilis strain S14, complete genome</t>
  </si>
  <si>
    <t>Chaenogobius annularis mitochondrial DNA, nearly complete genome, haplotype: Taro32</t>
  </si>
  <si>
    <t>Bacteroides fragilis strain FDAARGOS_1225 chromosome, complete genome</t>
  </si>
  <si>
    <t>Rhinogobius sp. BW mitochondrial ND5 gene for NADH dehydrogenase subunits 5, partial cds, isolate: BW-SG130601-1</t>
  </si>
  <si>
    <t>Spirosoma oryzicola strain RHs26 chromosome, complete genome</t>
  </si>
  <si>
    <t>Spirosoma oryzicola</t>
  </si>
  <si>
    <t>Rousettus aegyptiacus mitochondrion, complete genome</t>
  </si>
  <si>
    <t>Rousettus aegyptiacus</t>
  </si>
  <si>
    <t>Pristipomoides argyrogrammicus voucher USNM:FISH:466424 mitochondrion, complete genome</t>
  </si>
  <si>
    <t>Hymenobacter busanensis strain BT182 chromosome, complete genome</t>
  </si>
  <si>
    <t>Hymenobacter busanensis</t>
  </si>
  <si>
    <t>Megaerops niphanae isolate NLN25 mitochondrion, complete genome</t>
  </si>
  <si>
    <t>Megaerops niphanae</t>
  </si>
  <si>
    <t>Ptychochromoides katria mitochondrion, complete genome</t>
  </si>
  <si>
    <t>Ptychochromoides katria</t>
  </si>
  <si>
    <t>Bacteroides fragilis strain 1284 chromosome, complete genome</t>
  </si>
  <si>
    <t>Haemulon carbonarium voucher USNM:FISH:406703 mitochondrion, complete genome</t>
  </si>
  <si>
    <t>Lepomis humilis isolate BC-21 mitochondrion, complete genome</t>
  </si>
  <si>
    <t>Lepomis humilis</t>
  </si>
  <si>
    <t>PREDICTED: Drosophila rhopaloa uncharacterized LOC108040727 (LOC108040727), transcript variant X1, mRNA</t>
  </si>
  <si>
    <t>Acipenser baerii isolate AB1368 mitochondrion, complete genome</t>
  </si>
  <si>
    <t>Gagata dolichonema mitochondrion, complete genome</t>
  </si>
  <si>
    <t>Gagata dolichonema</t>
  </si>
  <si>
    <t>Copadichromis mloto mitochondrion, complete genome</t>
  </si>
  <si>
    <t>Sander vitreus isolate MC-0605 mitochondrion, complete genome</t>
  </si>
  <si>
    <t>PREDICTED: Pogonomyrmex barbatus splicing factor 3B subunit 3 (LOC105425991), transcript variant X1, mRNA</t>
  </si>
  <si>
    <t>Pogonomyrmex barbatus</t>
  </si>
  <si>
    <t>Acipenser baerii isolate AB1306 mitochondrion, complete genome</t>
  </si>
  <si>
    <t>Abudefduf saxatilis voucher USNM:FISH:416503 mitochondrion, complete genome</t>
  </si>
  <si>
    <t>Bacteroides fragilis strain BFG-435 chromosome, complete genome</t>
  </si>
  <si>
    <t>Anas platyrhynchos isolate Bihar mitochondrion, complete genome</t>
  </si>
  <si>
    <t>Lepomis gibbosus strain NEFC_F16-021 mitochondrion, complete genome</t>
  </si>
  <si>
    <t>Enterocloster clostridioformis strain YL32 chromosome</t>
  </si>
  <si>
    <t>Enterocloster clostridioformis</t>
  </si>
  <si>
    <t>Chelonoidis chathamensis voucher SCR_22 mitochondrion, partial genome</t>
  </si>
  <si>
    <t>PREDICTED: Aricia agestis neurexin-4 (LOC121726809), transcript variant X2, mRNA</t>
  </si>
  <si>
    <t>Acipenser gueldenstaedtii isolate DM361 mitochondrion</t>
  </si>
  <si>
    <t>Acipenser gueldenstaedtii</t>
  </si>
  <si>
    <t>Telmatherina bonti genome assembly, organelle: mitochondrion</t>
  </si>
  <si>
    <t>Telmatherina bonti</t>
  </si>
  <si>
    <t>Bacteroides fragilis strain BFG-518 chromosome, complete genome</t>
  </si>
  <si>
    <t>Anas platyrhynchos voucher JJW1592 mitochondrion, complete genome</t>
  </si>
  <si>
    <t>Lepomis macrochirus isolate CC-4 mitochondrion, complete genome</t>
  </si>
  <si>
    <t>Lepomis macrochirus</t>
  </si>
  <si>
    <t>MAG: uncultured Bacteroides sp. isolate e24bfff7-7933-45ae-a8f0-1b46c308d3d4 genome assembly, chromosome: 1</t>
  </si>
  <si>
    <t>Anas platyrhynchos isolate WP mitochondrion, complete genome</t>
  </si>
  <si>
    <t>Sander vitreus isolate MC-0612 mitochondrion, complete genome</t>
  </si>
  <si>
    <t>Bacteroides intestinalis strain APC919/174 substr. 8W chromosome</t>
  </si>
  <si>
    <t>Abbottina binhi isolate AB-YZl-ZongY01 mitochondrion, complete genome</t>
  </si>
  <si>
    <t>Abbottina binhi</t>
  </si>
  <si>
    <t>Anchoa tricolor mitochondrion, complete genome</t>
  </si>
  <si>
    <t>Engraulis tricolor</t>
  </si>
  <si>
    <t>Bacteroides fragilis strain BFG-85 chromosome, complete genome</t>
  </si>
  <si>
    <t>Chrysochir aureus mitochondrion, complete genome</t>
  </si>
  <si>
    <t>Rhinogobius sp. BW mitochondrial ND5 gene for NADH dehydrogenase subunit 5, complete cds, haplotype: BW15</t>
  </si>
  <si>
    <t>Bacteroides fragilis strain BFG-481 chromosome, complete genome</t>
  </si>
  <si>
    <t>Sphyrapicus varius voucher UMMZ birds 245883 NADH dehydrogenase subunit 5 (ND5) gene, complete cds; mitochondrial</t>
  </si>
  <si>
    <t>Megalaspis cordyla FRLM:37154 mitochondrial ND5 gene for NADH dehydrogenase subunit 5</t>
  </si>
  <si>
    <t>MAG: Methylophilaceae bacterium isolate M30B5 chromosome, complete genome</t>
  </si>
  <si>
    <t>Methylophilaceae bacterium</t>
  </si>
  <si>
    <t>Atropus mentalis FRLM:35759 mitochondrial ND5 gene for NADH dehydrogenase subunit 5, partial cds</t>
  </si>
  <si>
    <t>Linderina pennispora nuclear transport factor 2 (DL89DRAFT_266180), mRNA</t>
  </si>
  <si>
    <t>Linderina pennispora</t>
  </si>
  <si>
    <t>Sardinella longiceps isolate VE5 mitochondrion, complete genome</t>
  </si>
  <si>
    <t>PREDICTED: Haliotis rufescens uncharacterized LOC124139987 (LOC124139987), transcript variant X5, mRNA</t>
  </si>
  <si>
    <t>Sphyrapicus varius voucher NYSM ZO zo-9393 NADH dehydrogenase subunit 5 (ND5) gene, complete cds; mitochondrial</t>
  </si>
  <si>
    <t>Chaenogobius annularis mitochondrial DNA, nearly complete genome, haplotype: Asamushi07</t>
  </si>
  <si>
    <t>Paraflavitalea speifideaquila strain BL16E chromosome, complete genome</t>
  </si>
  <si>
    <t>Paraflavitalea speifideaquila</t>
  </si>
  <si>
    <t>Anas platyrhynchos breed JiAn red duck mitochondrion, complete genome</t>
  </si>
  <si>
    <t>Siniperca chuatsi x Siniperca knerii mitochondrion, complete genome</t>
  </si>
  <si>
    <t>Siniperca chuatsi x Siniperca knerii</t>
  </si>
  <si>
    <t>Aspergillus vadensis CBS 113365 Mpv17/PMP22 family protein (BO88DRAFT_407129), mRNA</t>
  </si>
  <si>
    <t>Aspergillus vadensis CBS 113365</t>
  </si>
  <si>
    <t>Anas platyrhynchos breed Liancheng White duck mitochondrion, complete genome</t>
  </si>
  <si>
    <t>Aspergillus luchuensis Mpv17/PMP22 family protein (AKAW2_60536A), partial mRNA</t>
  </si>
  <si>
    <t>Aspergillus luchuensis</t>
  </si>
  <si>
    <t>Psychrolutes sio voucher USNM:FISH:422602 mitochondrion, complete genome</t>
  </si>
  <si>
    <t>Psychrolutes sio</t>
  </si>
  <si>
    <t>Platycephalus cultellatus mitochondrion, complete genome</t>
  </si>
  <si>
    <t>Platycephalus cultellatus</t>
  </si>
  <si>
    <t>Scorpaenopsis diabolus voucher USNM:FISH:446087 mitochondrion, complete genome</t>
  </si>
  <si>
    <t>Scorpaenopsis diabolus</t>
  </si>
  <si>
    <t>MAG TPA_asm: Caudoviricetes sp. isolate ctJ4y6, partial genome</t>
  </si>
  <si>
    <t>Anas platyrhynchos voucher JJW943 mitochondrion, complete genome</t>
  </si>
  <si>
    <t>Lepomis macrochirus voucher NNIBR 2017 mitochondrion, complete genome</t>
  </si>
  <si>
    <t>Bacteroides fragilis strain BFG-604 chromosome, complete genome</t>
  </si>
  <si>
    <t>Epthianura albifrons mitochondrion, complete genome</t>
  </si>
  <si>
    <t>Epthianura albifrons</t>
  </si>
  <si>
    <t>Chaenogobius annularis mitochondrial DNA, nearly complete genome, haplotype: Kuji17</t>
  </si>
  <si>
    <t>Enterocloster bolteae strain ATCC BAA-613 chromosome, complete genome</t>
  </si>
  <si>
    <t>Enterocloster bolteae</t>
  </si>
  <si>
    <t>Sphyrapicus varius voucher NYSM ZO zo-10645 NADH dehydrogenase subunit 5 (ND5) gene, complete cds; mitochondrial</t>
  </si>
  <si>
    <t>Seriola rivoliana mitochondrion, complete genome</t>
  </si>
  <si>
    <t>Orchesella villosa genome assembly, chromosome: 5</t>
  </si>
  <si>
    <t>Acipenser mikadoi voucher VIII.9.4 (#4) mitochondrion, complete genome</t>
  </si>
  <si>
    <t>Acipenser mikadoi</t>
  </si>
  <si>
    <t>Etelis carbunculus voucher USNM:FISH:466456 mitochondrion, complete genome</t>
  </si>
  <si>
    <t>Homo sapiens BAC clone CTB-22K14 from 7, complete sequence</t>
  </si>
  <si>
    <t>Bradypodion damaranum isolate P783 NADH-ubiquinone oxidoreductase chain 5 (ND5) gene, partial cds; mitochondrial</t>
  </si>
  <si>
    <t>Oreochromis niloticus Forward Primer</t>
  </si>
  <si>
    <t>Oreochromis niloticus Reverse Primer</t>
  </si>
  <si>
    <t>Oreochromis  niloticus Probe</t>
  </si>
  <si>
    <t>Oreochromis niloticus isolate MG620 NADH dehydrogenase subunit 1 (ND1) gene, complete cds; mitochondrial</t>
  </si>
  <si>
    <t>8e-05</t>
  </si>
  <si>
    <t>Oreochromis niloticus isolate MG433 NADH dehydrogenase subunit 1 (ND1) gene, complete cds; mitochondrial</t>
  </si>
  <si>
    <t>Lonchophylla robusta voucher QCAZ:18236 mitochondrion, complete genome</t>
  </si>
  <si>
    <t>Lonchophylla robusta</t>
  </si>
  <si>
    <t>Oreochromis niloticus isolate TZ002 NADH dehydrogenase subunit 1 (ND1) gene, complete cds; mitochondrial</t>
  </si>
  <si>
    <t>Genetta servalina isolate GLC9 mitochondrion, complete genome</t>
  </si>
  <si>
    <t>Genetta servalina</t>
  </si>
  <si>
    <t>Melichthys vidua mitochondrion, complete genome</t>
  </si>
  <si>
    <t>Berardius bairdii mitochondrion, complete genome</t>
  </si>
  <si>
    <t>Berardius bairdii</t>
  </si>
  <si>
    <t>Ziphius cavirostris isolate SWFSC ID z0079900 mitochondrion, complete genome</t>
  </si>
  <si>
    <t>Ziphius cavirostris</t>
  </si>
  <si>
    <t>Methanolacinia petrolearia DSM 11571 chromosome, complete genome</t>
  </si>
  <si>
    <t>Methanolacinia petrolearia DSM 11571</t>
  </si>
  <si>
    <t>Lygosoma quadrupes voucher LSUHC 8403 tRNA-Leu gene, complete sequence; NADH dehydrogenase subunit 1 (ND1) gene, complete cds; tRNA-Xle gene, complete sequence; and tRNA-Glx gene, partial sequence; mitochondrial</t>
  </si>
  <si>
    <t>Lygosoma quadrupes</t>
  </si>
  <si>
    <t>Microphis boaja mitochondrion, complete genome</t>
  </si>
  <si>
    <t>Microphis boaja</t>
  </si>
  <si>
    <t>Lonchophylla robusta mitochondrial partial ND1 gene for NADH dehydrogenase subunit 1, isolate Lrob2051</t>
  </si>
  <si>
    <t>Dasycottus setiger mitochondrion, complete genome</t>
  </si>
  <si>
    <t>Dasycottus setiger</t>
  </si>
  <si>
    <t>Coptodon camerunensis mitochondrion, complete genome</t>
  </si>
  <si>
    <t>Leptonycteris nivalis mitochondrion, complete genome</t>
  </si>
  <si>
    <t>Leptonycteris nivalis</t>
  </si>
  <si>
    <t>Cottus gulosus mitochondrion, complete genome</t>
  </si>
  <si>
    <t>Cottus gulosus</t>
  </si>
  <si>
    <t>Tapirus pinchaque mitochondrion, complete genome</t>
  </si>
  <si>
    <t>Tapirus pinchaque</t>
  </si>
  <si>
    <t>Cottus perplexus mitochondrion, complete genome</t>
  </si>
  <si>
    <t>Cottus perplexus</t>
  </si>
  <si>
    <t>Genetta servalina mitochondrion, complete genome</t>
  </si>
  <si>
    <t>Cottus beldingii voucher OS&lt;USA-OR&gt;:2018-IC-009 22282 mitochondrion, complete genome</t>
  </si>
  <si>
    <t>Cottus beldingii</t>
  </si>
  <si>
    <t>Sebastes elongatus mitochondrion, complete genome</t>
  </si>
  <si>
    <t>Sebastes elongatus</t>
  </si>
  <si>
    <t>Sebastes diploproa mitochondrion, complete genome</t>
  </si>
  <si>
    <t>Sebastes diploproa</t>
  </si>
  <si>
    <t>Oreochromis niloticus isolate TZ029 NADH dehydrogenase subunit 1 (ND1) gene, complete cds; mitochondrial</t>
  </si>
  <si>
    <t>Comephorus baicalensis isolate 813 mitochondrion, complete genome</t>
  </si>
  <si>
    <t>Comephorus baikalensis</t>
  </si>
  <si>
    <t>Sebastes mentella 10_SEME mitochondrial DNA, complete genome</t>
  </si>
  <si>
    <t>Sebastes mentella</t>
  </si>
  <si>
    <t>Protemnodon anak voucher QVM:2000-GFV-10 mitochondrion, partial genome</t>
  </si>
  <si>
    <t>Protemnodon anak</t>
  </si>
  <si>
    <t>Tapirus terrestris mitochondrion, complete genome</t>
  </si>
  <si>
    <t>Tapirus terrestris</t>
  </si>
  <si>
    <t>Comephorus dybowskii isolate 090 mitochondrion, complete genome</t>
  </si>
  <si>
    <t>Comephorus dybowskii</t>
  </si>
  <si>
    <t>Sebastes viviparus ZMUB:21953 mitochondrial DNA, complete genome</t>
  </si>
  <si>
    <t>Sebastes viviparus</t>
  </si>
  <si>
    <t>Cottus asper mitochondrion, complete genome</t>
  </si>
  <si>
    <t>Cottus asper</t>
  </si>
  <si>
    <t>Sebastes goodei voucher UW:114058 mitochondrion, complete genome</t>
  </si>
  <si>
    <t>Comephorus baicalensis isolate B45 mitochondrion, complete genome</t>
  </si>
  <si>
    <t>Sebastes paucispinis isolate te-SEPA-6 mitochondrion, complete genome</t>
  </si>
  <si>
    <t>Sebastes paucispinis</t>
  </si>
  <si>
    <t>Lygosoma quadrupes voucher LSUHC:8002 NADH dehydrogenase subunit 1 (ND1) gene, complete cds; mitochondrial</t>
  </si>
  <si>
    <t>Sebastes constellatus voucher UW:113208 mitochondrion, complete genome</t>
  </si>
  <si>
    <t>Sebastes constellatus</t>
  </si>
  <si>
    <t>Delphinapterus leucas isolate S_20_03438 mitochondrion, complete genome</t>
  </si>
  <si>
    <t>Delphinapterus leucas</t>
  </si>
  <si>
    <t>Sebastes paucispinis isolate te-SEPA-5 mitochondrion, complete genome</t>
  </si>
  <si>
    <t>Delphinapterus leucas isolate S_20_02865 mitochondrion, complete genome</t>
  </si>
  <si>
    <t>Sebastes brevispinis voucher UW:119934 mitochondrion, complete genome</t>
  </si>
  <si>
    <t>Sebastes brevispinis</t>
  </si>
  <si>
    <t>Delphinapterus leucas isolate S_20_01555 mitochondrion, complete genome</t>
  </si>
  <si>
    <t>Delphinapterus leucas isolate S_20_02340 mitochondrion, complete genome</t>
  </si>
  <si>
    <t>Sebastes rosenblatti voucher UW:152332 mitochondrion, complete genome</t>
  </si>
  <si>
    <t>Sebastes rosenblatti</t>
  </si>
  <si>
    <t>Delphinapterus leucas isolate S_20_03822 mitochondrion, complete genome</t>
  </si>
  <si>
    <t>Sebastes nigrocinctus isolate C0HA8AC mitochondrion, complete genome</t>
  </si>
  <si>
    <t>Sebastes nigrocinctus</t>
  </si>
  <si>
    <t>Delphinapterus leucas isolate S_20_03754 mitochondrion, complete genome</t>
  </si>
  <si>
    <t>Nemipterus furcosus mitochondrial DNA, complete genome</t>
  </si>
  <si>
    <t>Nemipterus furcosus</t>
  </si>
  <si>
    <t>Delphinapterus leucas isolate S_20_00730 mitochondrion, complete genome</t>
  </si>
  <si>
    <t>Doryichthys boaja mitochondrion, complete genome</t>
  </si>
  <si>
    <t>Delphinapterus leucas isolate S_20_01489 mitochondrion, complete genome</t>
  </si>
  <si>
    <t>Delphinapterus leucas isolate DL3433 mitochondrion, complete genome</t>
  </si>
  <si>
    <t>Triglops pingelii voucher UW:48803 mitochondrion, complete genome</t>
  </si>
  <si>
    <t>Sebastes brevispinis mitochondrion, complete genome</t>
  </si>
  <si>
    <t>Delphinapterus leucas isolate S_20_03880 mitochondrion, complete genome</t>
  </si>
  <si>
    <t>Comephorus dybowskii isolate m225 mitochondrion, complete genome</t>
  </si>
  <si>
    <t>Sebastes rosaceus voucher UW:152331 mitochondrion, complete genome</t>
  </si>
  <si>
    <t>Sebastes rosaceus</t>
  </si>
  <si>
    <t>Delphinapterus leucas isolate DL3048 mitochondrion, complete genome</t>
  </si>
  <si>
    <t>Batrachocottus multiradiatus mitochondrion, complete genome</t>
  </si>
  <si>
    <t>Batrachocottus multiradiatus</t>
  </si>
  <si>
    <t>Sebastes oculatus mitochondrion, complete genome</t>
  </si>
  <si>
    <t>Sebastes oculatus</t>
  </si>
  <si>
    <t>Delphinapterus leucas isolate S_20_03257 mitochondrion, complete genome</t>
  </si>
  <si>
    <t>Cottus rhenanus mitochondrion, complete genome</t>
  </si>
  <si>
    <t>Cottus rhenanus</t>
  </si>
  <si>
    <t>Sebastes brevispinis isolate te-SEBR-243 mitochondrion, complete genome</t>
  </si>
  <si>
    <t>Delphinapterus leucas isolate S_20_01612 mitochondrion, complete genome</t>
  </si>
  <si>
    <t>Batrachocottus talievi mitochondrion, complete genome</t>
  </si>
  <si>
    <t>Batrachocottus talievi</t>
  </si>
  <si>
    <t>Delphinapterus leucas isolate S_20_03965 mitochondrion, complete genome</t>
  </si>
  <si>
    <t>Cottus confusus mitochondrion, complete genome</t>
  </si>
  <si>
    <t>Cottus confusus</t>
  </si>
  <si>
    <t>Delphinapterus leucas isolate S_20_03743 mitochondrion, complete genome</t>
  </si>
  <si>
    <t>Cottus beldingii mitochondrion, complete genome</t>
  </si>
  <si>
    <t>Sebastes elongatus voucher UW:48830 mitochondrion, complete genome</t>
  </si>
  <si>
    <t>Delphinapterus leucas isolate DL7637 mitochondrion, complete genome</t>
  </si>
  <si>
    <t>Procottus major mitochondrion, complete genome</t>
  </si>
  <si>
    <t>Procottus major</t>
  </si>
  <si>
    <t>Sebastes viviparus isolate DM436 mitochondrion, complete genome</t>
  </si>
  <si>
    <t>Delphinapterus leucas isolate DL9686 mitochondrion, complete genome</t>
  </si>
  <si>
    <t>Sebastes norvegicus mitochondrion, complete genome</t>
  </si>
  <si>
    <t>Sebastes norvegicus</t>
  </si>
  <si>
    <t>Delphinapterus leucas isolate S_20_02866 mitochondrion, complete genome</t>
  </si>
  <si>
    <t>Microphis boaja voucher FY-26 mitochondrion, complete genome</t>
  </si>
  <si>
    <t>Delphinapterus leucas isolate DL1661 mitochondrion, complete genome</t>
  </si>
  <si>
    <t>Triglops forficatus voucher UW:153512 mitochondrion, complete genome</t>
  </si>
  <si>
    <t>Delphinapterus leucas isolate DL7638 mitochondrion, complete genome</t>
  </si>
  <si>
    <t>Paracottus knerii mitochondrion, complete genome</t>
  </si>
  <si>
    <t>Paracottus knerii</t>
  </si>
  <si>
    <t>Sebastes diploproa voucher UW:49662 mitochondrion, complete genome</t>
  </si>
  <si>
    <t>Delphinapterus leucas isolate S_20_03951 mitochondrion, complete genome</t>
  </si>
  <si>
    <t>Sebastes simulator voucher UW:114049 mitochondrion, complete genome</t>
  </si>
  <si>
    <t>Sebastes simulator</t>
  </si>
  <si>
    <t>Delphinapterus leucas isolate S_20_03526 mitochondrion, complete genome</t>
  </si>
  <si>
    <t>Sebastes exsul voucher UW:114051 mitochondrion, complete genome</t>
  </si>
  <si>
    <t>Sebastes exsul</t>
  </si>
  <si>
    <t>Delphinapterus leucas isolate S_20_01507 mitochondrion, complete genome</t>
  </si>
  <si>
    <t>Cottus hispaniolensis isolate MT61 mitochondrion, complete genome</t>
  </si>
  <si>
    <t>Cottus hispaniolensis</t>
  </si>
  <si>
    <t>Amblygobius nocturnus isolate C204 NADH dehydrogenase subunit 1 (ND1) gene, complete cds; mitochondrial</t>
  </si>
  <si>
    <t>Amblygobius nocturnus</t>
  </si>
  <si>
    <t>Delphinapterus leucas isolate S_20_01574 mitochondrion, complete genome</t>
  </si>
  <si>
    <t>PREDICTED: Mytilus edulis solute carrier family 28 member 3-like (LOC139513615), transcript variant X2, mRNA</t>
  </si>
  <si>
    <t>Mytilus edulis</t>
  </si>
  <si>
    <t>Delphinapterus leucas isolate DL3431 mitochondrion, complete genome</t>
  </si>
  <si>
    <t>Cottus dzungaricus mitochondrion, complete genome</t>
  </si>
  <si>
    <t>Cottus dzungaricus</t>
  </si>
  <si>
    <t>PREDICTED: Lytechinus pictus probable RNA-binding protein EIF1AD (LOC129264553), mRNA</t>
  </si>
  <si>
    <t>Delphinapterus leucas isolate S_20_01419 mitochondrion, complete genome</t>
  </si>
  <si>
    <t>PREDICTED: Mytilus edulis solute carrier family 28 member 3-like (LOC139513615), transcript variant X1, mRNA</t>
  </si>
  <si>
    <t>Delphinapterus leucas isolate S_20_02539 mitochondrion, complete genome</t>
  </si>
  <si>
    <t>Haemulon striatum voucher USNM:FISH:471136 mitochondrion, complete genome</t>
  </si>
  <si>
    <t>PREDICTED: Mytilus galloprovincialis solute carrier family 28 member 3-like (LOC143065248), transcript variant X1, mRNA</t>
  </si>
  <si>
    <t>Mytilus galloprovincialis</t>
  </si>
  <si>
    <t>Delphinapterus leucas isolate S_20_03971 mitochondrion, complete genome</t>
  </si>
  <si>
    <t>Astatotilapia sp. 'ruaha red cheek' isolate TZ083 NADH dehydrogenase subunit 1 (ND1) gene, complete cds; mitochondrial</t>
  </si>
  <si>
    <t>Astatotilapia sp. 'ruaha red cheek'</t>
  </si>
  <si>
    <t>MAG: Motiliproteus sp. isolate cee35097-81c3-4b62-8185-fcd84872bf97 genome assembly, chromosome: 1</t>
  </si>
  <si>
    <t>Motiliproteus sp.</t>
  </si>
  <si>
    <t>Delphinapterus leucas isolate S_20_00781 mitochondrion, complete genome</t>
  </si>
  <si>
    <t>Zoarces gillii mitochondrion, complete genome</t>
  </si>
  <si>
    <t>PREDICTED: Lytechinus variegatus probable RNA-binding protein EIF1AD (LOC121418572), mRNA</t>
  </si>
  <si>
    <t>Lytechinus variegatus</t>
  </si>
  <si>
    <t>Streptomyces gobiensis strain 1_25 chromosome, complete genome</t>
  </si>
  <si>
    <t>Streptomyces gobiensis</t>
  </si>
  <si>
    <t>Batrachocottus baicalensis mitochondrion, complete genome</t>
  </si>
  <si>
    <t>Batrachocottus baicalensis</t>
  </si>
  <si>
    <t>PREDICTED: Mytilus galloprovincialis solute carrier family 28 member 3-like (LOC143065248), transcript variant X2, mRNA</t>
  </si>
  <si>
    <t>Delphinapterus leucas isolate DL1674 mitochondrion, complete genome</t>
  </si>
  <si>
    <t>Triglops murrayi ZMUB:21856 mitochondrial DNA, nearly complete genome</t>
  </si>
  <si>
    <t>Pseudecheneis sulcata mitochondrion, complete genome</t>
  </si>
  <si>
    <t>Pseudecheneis sulcata</t>
  </si>
  <si>
    <t>Chiroderma salvini voucher QCAZ:18227 mitochondrion, complete genome</t>
  </si>
  <si>
    <t>Chiroderma salvini</t>
  </si>
  <si>
    <t>Delphinapterus leucas isolate DL7648 mitochondrion, complete genome</t>
  </si>
  <si>
    <t>Triglops macellus voucher UW:48818 mitochondrion, complete genome</t>
  </si>
  <si>
    <t>Sebastes fasciatus mitochondrion, complete genome</t>
  </si>
  <si>
    <t>Delphinapterus leucas isolate DL0925 mitochondrion, complete genome</t>
  </si>
  <si>
    <t>Conodon nobilis mitochondrion, complete genome</t>
  </si>
  <si>
    <t>PREDICTED: Acanthaster planci sushi, von Willebrand factor type A, EGF and pentraxin domain-containing protein 1-like (LOC110984369), transcript variant X2, mRNA</t>
  </si>
  <si>
    <t>Acanthaster planci</t>
  </si>
  <si>
    <t>Delphinapterus leucas isolate S_20_03522 mitochondrion, complete genome</t>
  </si>
  <si>
    <t>PREDICTED: Apodemus sylvaticus parathyroid hormone 2 receptor (Pth2r), mRNA</t>
  </si>
  <si>
    <t>Apodemus sylvaticus</t>
  </si>
  <si>
    <t>Delphinapterus leucas isolate S_20_03653 mitochondrion, complete genome</t>
  </si>
  <si>
    <t>Lycodes ygreknotatus mitochondrial DNA, complete genome</t>
  </si>
  <si>
    <t>Sebastes mentella voucher ADN_21_00201 mitochondrion, complete genome</t>
  </si>
  <si>
    <t>Delphinapterus leucas isolate S_20_01388 mitochondrion, complete genome</t>
  </si>
  <si>
    <t>Astatotilapia sp. 'ruaha red cheek' isolate TZ123 NADH dehydrogenase subunit 1 (ND1) gene, complete cds; mitochondrial</t>
  </si>
  <si>
    <t>Osteogeneiosus militaris voucher MABIK 0016928 mitochondrion, complete genome</t>
  </si>
  <si>
    <t>Osteogeneiosus militaris</t>
  </si>
  <si>
    <t>Delphinapterus leucas isolate DL7669 mitochondrion, complete genome</t>
  </si>
  <si>
    <t>Batrachocottus nikolskii mitochondrion, complete genome</t>
  </si>
  <si>
    <t>Batrachocottus nikolskii</t>
  </si>
  <si>
    <t>Meleagris gallopavo genome assembly, chromosome: 6</t>
  </si>
  <si>
    <t>Delphinapterus leucas isolate S_20_03539 mitochondrion, complete genome</t>
  </si>
  <si>
    <t>Astatotilapia sp. 'ruaha red cheek' isolate TZ139 NADH dehydrogenase subunit 1 (ND1) gene, complete cds; mitochondrial</t>
  </si>
  <si>
    <t>Delphinapterus leucas isolate S_20_01546 mitochondrion, complete genome</t>
  </si>
  <si>
    <t>PREDICTED: Patiria miniata sushi, von Willebrand factor type A, EGF and pentraxin domain-containing protein 1-like (LOC119737127), mRNA</t>
  </si>
  <si>
    <t>Patiria miniata</t>
  </si>
  <si>
    <t>Delphinapterus leucas isolate S_20_01482 mitochondrion, complete genome</t>
  </si>
  <si>
    <t>Haemulon parra mitochondrion, complete genome</t>
  </si>
  <si>
    <t>Haemulon parra</t>
  </si>
  <si>
    <t>Luscinia svecica genome assembly, chromosome: 7</t>
  </si>
  <si>
    <t>Luscinia svecica</t>
  </si>
  <si>
    <t>Delphinapterus leucas isolate S_20_02328 mitochondrion, complete genome</t>
  </si>
  <si>
    <t>Sebastes fasciatus voucher ADN_21_00199 mitochondrion, complete genome</t>
  </si>
  <si>
    <t>Delphinapterus leucas isolate S_20_01179 mitochondrion, complete genome</t>
  </si>
  <si>
    <t>Sebastes fasciatus voucher ADN_21_00205 mitochondrion, complete genome</t>
  </si>
  <si>
    <t>Delphinapterus leucas isolate S_20_03466 mitochondrion, complete genome</t>
  </si>
  <si>
    <t>Toxotes jaculatrix voucher USNM 431511 mitochondrion, complete genome</t>
  </si>
  <si>
    <t>Sebastes mentella voucher ADN_21_00605 mitochondrion, complete genome</t>
  </si>
  <si>
    <t>Delphinapterus leucas isolate S_20_01331 mitochondrion, complete genome</t>
  </si>
  <si>
    <t>Cottus dzungaricus voucher DFY2017 mitochondrion, complete genome</t>
  </si>
  <si>
    <t>Delphinapterus leucas isolate S_20_01437 mitochondrion, complete genome</t>
  </si>
  <si>
    <t>Lutjanus buccanella voucher USNM:FISH:415506 mitochondrion, complete genome</t>
  </si>
  <si>
    <t>Lutjanus buccanella</t>
  </si>
  <si>
    <t>Oreochromis sp. isolate TZ006 NADH dehydrogenase subunit 1 (ND1) gene, complete cds; mitochondrial</t>
  </si>
  <si>
    <t>Delphinapterus leucas isolate DL0903 mitochondrion, complete genome</t>
  </si>
  <si>
    <t>Cottus szanaga isolate CSZID2 mitochondrion, complete genome</t>
  </si>
  <si>
    <t>Alpinocottus szanaga</t>
  </si>
  <si>
    <t>PREDICTED: Acanthaster planci sushi, von Willebrand factor type A, EGF and pentraxin domain-containing protein 1-like (LOC110984369), transcript variant X1, mRNA</t>
  </si>
  <si>
    <t>Delphinapterus leucas isolate S_20_02927 mitochondrion, complete genome</t>
  </si>
  <si>
    <t>Cottus marginatus mitochondrion, complete genome</t>
  </si>
  <si>
    <t>Cottus marginatus</t>
  </si>
  <si>
    <t>Sebastes mentella voucher ADN_21_00203 mitochondrion, complete genome</t>
  </si>
  <si>
    <t>Delphinapterus leucas isolate DL1701 mitochondrion, complete genome</t>
  </si>
  <si>
    <t>Lethrinus atlanticus mitochondrion, complete genome</t>
  </si>
  <si>
    <t>Lethrinus atlanticus</t>
  </si>
  <si>
    <t>PREDICTED: Populus alba ribonucleoside-diphosphate reductase small chain A (LOC118061093), transcript variant X3, mRNA</t>
  </si>
  <si>
    <t>Populus alba</t>
  </si>
  <si>
    <t>Delphinapterus leucas isolate S_20_03827 mitochondrion, complete genome</t>
  </si>
  <si>
    <t>PREDICTED: Larimichthys crocea cadherin 19, type 2 (cdh19), mRNA</t>
  </si>
  <si>
    <t>Larimichthys crocea</t>
  </si>
  <si>
    <t>Delphinapterus leucas isolate S_20_01513 mitochondrion, complete genome</t>
  </si>
  <si>
    <t>Kurtus gulliveri isolate A9 NADH dehydrogenase subunit I (ND1) gene, complete cds; mitochondrial</t>
  </si>
  <si>
    <t>Kurtus gulliveri</t>
  </si>
  <si>
    <t>Sebastes fasciatus voucher ADN_21_03386 mitochondrion, complete genome</t>
  </si>
  <si>
    <t>Mesalina olivieri voucher UJ-Lac-50 mitochondrion, complete genome</t>
  </si>
  <si>
    <t>Mesalina olivieri</t>
  </si>
  <si>
    <t>PREDICTED: Ovis canadensis uncharacterized lncRNA (LOC138418904), ncRNA</t>
  </si>
  <si>
    <t>Ovis canadensis</t>
  </si>
  <si>
    <t>Chloris chloris chloris genome assembly, chromosome: 10</t>
  </si>
  <si>
    <t>Chloris chloris chloris</t>
  </si>
  <si>
    <t>Delphinapterus leucas isolate S_20_03720 mitochondrion, complete genome</t>
  </si>
  <si>
    <t>Zaprora silenus mitochondrion, partial genome</t>
  </si>
  <si>
    <t>Pundamilia nyererei mitochondrion, complete genome</t>
  </si>
  <si>
    <t>Delphinapterus leucas isolate S_20_03418 mitochondrion, complete genome</t>
  </si>
  <si>
    <t>Cottocomephorus grewingki mitochondrion, complete genome</t>
  </si>
  <si>
    <t>Craterocephalus stramineus voucher DMC-CS8L-13 mitochondrion, complete genome</t>
  </si>
  <si>
    <t>Delphinapterus leucas isolate S_20_03540 mitochondrion, complete genome</t>
  </si>
  <si>
    <t>Sebastes ovalis voucher UW:114056 mitochondrion, complete genome</t>
  </si>
  <si>
    <t>Sebastes ovalis</t>
  </si>
  <si>
    <t>Delphinapterus leucas isolate S_20_01290 mitochondrion, complete genome</t>
  </si>
  <si>
    <t>Haplochromis pyrrhocephalus mitochondrial ND1 gene for NADH dehydrogenase subunit 1, partial cds, isolate: Hp1</t>
  </si>
  <si>
    <t>Delphinapterus leucas isolate S_20_01418 mitochondrion, complete genome</t>
  </si>
  <si>
    <t>Cottus klamathensis mitochondrion, complete genome</t>
  </si>
  <si>
    <t>Cottus klamathensis</t>
  </si>
  <si>
    <t>PREDICTED: Peromyscus californicus insignis synaptotagmin 16 (Syt16), mRNA</t>
  </si>
  <si>
    <t>Peromyscus californicus insignis</t>
  </si>
  <si>
    <t>Delphinapterus leucas isolate S_20_01788 mitochondrion, complete genome</t>
  </si>
  <si>
    <t>Cottus cognatus voucher NEFC_F19-402 mitochondrion, complete genome</t>
  </si>
  <si>
    <t>Cottus cognatus</t>
  </si>
  <si>
    <t>Parmaturus melanobranchus mitochondrion, complete genome</t>
  </si>
  <si>
    <t>Parmaturus melanobranchus</t>
  </si>
  <si>
    <t>Delphinapterus leucas isolate S_20_03681 mitochondrion, complete genome</t>
  </si>
  <si>
    <t>Sebastes polyspinis voucher UW:150635 mitochondrion, complete genome</t>
  </si>
  <si>
    <t>Sebastes polyspinis</t>
  </si>
  <si>
    <t>Delphinapterus leucas isolate S_20_03480 mitochondrion, complete genome</t>
  </si>
  <si>
    <t>Marukawichthys ambulator mitochondrial DNA, complete genome except for D-loop</t>
  </si>
  <si>
    <t>Pangasius nasutus mitochondrion, complete genome</t>
  </si>
  <si>
    <t>Pangasius nasutus</t>
  </si>
  <si>
    <t>Delphinapterus leucas isolate S_20_01773 mitochondrion, complete genome</t>
  </si>
  <si>
    <t>Cottus perplexus voucher OS&lt;USA-OR&gt;:2016-IC-007 20080 mitochondrion, complete genome</t>
  </si>
  <si>
    <t>PREDICTED: Lutra lutra mitogen-activated protein kinase 4 (MAPK4), transcript variant X2, mRNA</t>
  </si>
  <si>
    <t>Lutra lutra</t>
  </si>
  <si>
    <t>Delphinapterus leucas isolate S_20_01062 mitochondrion, complete genome</t>
  </si>
  <si>
    <t>Pseudanthias pascalus mitochondrion, complete genome</t>
  </si>
  <si>
    <t>Wallago attu mitochondrion, complete genome</t>
  </si>
  <si>
    <t>Wallago attu</t>
  </si>
  <si>
    <t>Delphinapterus leucas isolate S_20_01727 mitochondrion, complete genome</t>
  </si>
  <si>
    <t>Sebastes pinniger voucher UW:114063 mitochondrion, complete genome</t>
  </si>
  <si>
    <t>Sebastes pinniger</t>
  </si>
  <si>
    <t>Delphinapterus leucas isolate S_20_01154 mitochondrion, complete genome</t>
  </si>
  <si>
    <t>Lampetra fluviatilis genome assembly, chromosome: 20</t>
  </si>
  <si>
    <t>Sebastes variabilis mitochondrion, partial genome</t>
  </si>
  <si>
    <t>Sebastes variabilis</t>
  </si>
  <si>
    <t>Delphinapterus leucas isolate S_20_01472 mitochondrion, complete genome</t>
  </si>
  <si>
    <t>Astatotilapia gigliolii isolate TZ068 NADH dehydrogenase subunit 1 (ND1) gene, complete cds; mitochondrial</t>
  </si>
  <si>
    <t>Sebastes ruberrimus mitochondrion, complete genome</t>
  </si>
  <si>
    <t>Sebastes ruberrimus</t>
  </si>
  <si>
    <t>Delphinapterus leucas isolate S_20_03471 mitochondrion, complete genome</t>
  </si>
  <si>
    <t>Cyprichromis leptosoma mitochondrial ND1 gene for NADH dehydrogenase subunit 1, partial cds, isolate: Cl1</t>
  </si>
  <si>
    <t>Oreochromis urolepis isolate TZ095 NADH dehydrogenase subunit 1 (ND1) gene, complete cds; mitochondrial</t>
  </si>
  <si>
    <t>Delphinapterus leucas isolate DL3432 mitochondrion, complete genome</t>
  </si>
  <si>
    <t>Hemilepidotus hemilepidotus NADH dehydrogenase subunit 1 gene, partial cds; mitochondrial</t>
  </si>
  <si>
    <t>Delphinapterus leucas isolate DL1690 mitochondrion, complete genome</t>
  </si>
  <si>
    <t>Bufoceratias wedli voucher USNM:FISH:407089 mitochondrion, complete genome</t>
  </si>
  <si>
    <t>Bufoceratias wedli</t>
  </si>
  <si>
    <t>PREDICTED: Meles meles mitogen-activated protein kinase 4 (MAPK4), transcript variant X2, mRNA</t>
  </si>
  <si>
    <t>Delphinapterus leucas isolate S_20_01213 mitochondrion, complete genome</t>
  </si>
  <si>
    <t>Pristimantis mindo voucher QCAZ56512 NADH dehyrogenase subunit 1 (ND1) gene, partial cds; mitochondrial</t>
  </si>
  <si>
    <t>Pristimantis mindo</t>
  </si>
  <si>
    <t>Peptoniphilus lacrimalis strain F0141 isolate D048 chromosome, complete genome</t>
  </si>
  <si>
    <t>Peptoniphilus lacrimalis</t>
  </si>
  <si>
    <t>Delphinapterus leucas isolate S_20_03759 mitochondrion, complete genome</t>
  </si>
  <si>
    <t>Alpinocottus szanaga isolate CSZIF3 mitochondrion, complete genome</t>
  </si>
  <si>
    <t>Sebastes melanops isolate 1003048 mitochondrion, complete genome</t>
  </si>
  <si>
    <t>Sebastes melanops</t>
  </si>
  <si>
    <t>Delphinapterus leucas isolate S_20_01441 mitochondrion, complete genome</t>
  </si>
  <si>
    <t>Boulengerochromis microlepis mitochondrial ND1 gene for NADH dehydrogenase subunit 1, partial cds, strain: Bm1</t>
  </si>
  <si>
    <t>Sebastes helvomaculatus voucher UW:119875 mitochondrion, complete genome</t>
  </si>
  <si>
    <t>Sebastes helvomaculatus</t>
  </si>
  <si>
    <t>Delphinapterus leucas isolate DL9696 mitochondrion, complete genome</t>
  </si>
  <si>
    <t>Sebastes rubrivinctus isolate C0HA8AC mitochondrion, complete genome</t>
  </si>
  <si>
    <t>Sebastes rubrivinctus</t>
  </si>
  <si>
    <t>Delphinapterus leucas mitochondrion, complete genome</t>
  </si>
  <si>
    <t>Kurtus gulliveri mitochondrion, complete genome</t>
  </si>
  <si>
    <t>Aphelia unitana genome assembly, chromosome: 21</t>
  </si>
  <si>
    <t>Delphinapterus leucas isolate S_20_01744 mitochondrion, complete genome</t>
  </si>
  <si>
    <t>Lactoria fornasini mitochondrion, complete genome</t>
  </si>
  <si>
    <t>PREDICTED: Aegilops tauschii subsp. strangulata uncharacterized protein (LOC109781973), mRNA</t>
  </si>
  <si>
    <t>Aegilops tauschii subsp. strangulata</t>
  </si>
  <si>
    <t>Delphinapterus leucas isolate S_20_03671 mitochondrion, complete genome</t>
  </si>
  <si>
    <t>Synodontis cf. caudalis FDBS-2022 voucher DRC-2013-1939 mitochondrion, complete genome</t>
  </si>
  <si>
    <t>Synodontis cf. caudalis FDBS-2022</t>
  </si>
  <si>
    <t>Delphinapterus leucas isolate DL0900 mitochondrion, complete genome</t>
  </si>
  <si>
    <t>PREDICTED: Acipenser ruthenus transmembrane protein 184B-like (LOC117433101), transcript variant X3, mRNA</t>
  </si>
  <si>
    <t>Acipenser ruthenus</t>
  </si>
  <si>
    <t>Delphinapterus leucas isolate DL3041 mitochondrion, complete genome</t>
  </si>
  <si>
    <t>Cottus volki isolate CVO61-14 mitochondrion, complete genome</t>
  </si>
  <si>
    <t>Xiphophorus milleri mitochondrion, complete genome</t>
  </si>
  <si>
    <t>Xiphophorus milleri</t>
  </si>
  <si>
    <t>Delphinapterus leucas isolate S_20_02863 mitochondrion, complete genome</t>
  </si>
  <si>
    <t>Oryzias latipes HNI DNA, chromosome 16</t>
  </si>
  <si>
    <t>Delphinapterus leucas isolate DL1676 mitochondrion, complete genome</t>
  </si>
  <si>
    <t>Heterotilapia buttikoferi mitochondrion, complete genome</t>
  </si>
  <si>
    <t>Pristigenys alta voucher USNM:FISH:477696 mitochondrion, complete genome</t>
  </si>
  <si>
    <t>Pristigenys alta</t>
  </si>
  <si>
    <t>Delphinapterus leucas isolate S_20_01181 mitochondrion, complete genome</t>
  </si>
  <si>
    <t>PREDICTED: Carassius auratus uncharacterized LOC113044999 (LOC113044999), transcript variant X4, mRNA</t>
  </si>
  <si>
    <t>Carassius auratus</t>
  </si>
  <si>
    <t>Delphinapterus leucas isolate DL9652 mitochondrion, complete genome</t>
  </si>
  <si>
    <t>Sargocentron rubrum mitochondrion, complete genome</t>
  </si>
  <si>
    <t>Sebastes pinniger mitochondrion, complete genome</t>
  </si>
  <si>
    <t>Delphinapterus leucas isolate DL0934 mitochondrion, complete genome</t>
  </si>
  <si>
    <t>Bothragonus swanii mitochondrion, partial genome</t>
  </si>
  <si>
    <t>MAG: Cognaticolwellia aestuarii isolate f2a76895-5966-4e41-b587-69e9a19e3c0c genome assembly, chromosome: 1</t>
  </si>
  <si>
    <t>Cognaticolwellia aestuarii</t>
  </si>
  <si>
    <t>Delphinapterus leucas isolate S_20_00727 mitochondrion, complete genome</t>
  </si>
  <si>
    <t>Cottocomephorus inermis mitochondrion, complete genome</t>
  </si>
  <si>
    <t>Delphinapterus leucas isolate S_20_01178 mitochondrion, complete genome</t>
  </si>
  <si>
    <t>Plectrypops lima voucher USNM:FISH:446088 mitochondrion, complete genome</t>
  </si>
  <si>
    <t>Plectrypops lima</t>
  </si>
  <si>
    <t>Rutilus rutilus isolate CES-075 mitochondrion, complete genome</t>
  </si>
  <si>
    <t>Rutilus rutilus</t>
  </si>
  <si>
    <t>Delphinapterus leucas isolate S_20_00809 mitochondrion, complete genome</t>
  </si>
  <si>
    <t>Cottus bairdii voucher ROMI-T01732M mitochondrion, complete genome</t>
  </si>
  <si>
    <t>Cottus bairdii</t>
  </si>
  <si>
    <t>Sebastes variabilis isolate 1003082 mitochondrion, complete genome</t>
  </si>
  <si>
    <t>Delphinapterus leucas isolate S_20_01391 mitochondrion, complete genome</t>
  </si>
  <si>
    <t>Cottus cognatus isolate F19-413 mitochondrion, complete genome</t>
  </si>
  <si>
    <t>Lycodes reticulatus ZMUB:21871 mitochondrial DNA, complete genome</t>
  </si>
  <si>
    <t>Lycodes reticulatus</t>
  </si>
  <si>
    <t>Delphinapterus leucas isolate DL9691 mitochondrion, complete genome</t>
  </si>
  <si>
    <t>Pseudanthias tuka mitochondrion, complete genome</t>
  </si>
  <si>
    <t>PREDICTED: Glycine soja uncharacterized LOC114392902 (LOC114392902), transcript variant X1, ncRNA</t>
  </si>
  <si>
    <t>Glycine soja</t>
  </si>
  <si>
    <t>Delphinapterus leucas isolate S_20_01781 mitochondrion, complete genome</t>
  </si>
  <si>
    <t>Triglops scepticus voucher UW:151461 mitochondrion, complete genome</t>
  </si>
  <si>
    <t>Sebastes reedi mitochondrion, complete genome</t>
  </si>
  <si>
    <t>Sebastes reedi</t>
  </si>
  <si>
    <t>Delphinapterus leucas isolate S_20_00719 mitochondrion, complete genome</t>
  </si>
  <si>
    <t>Embiotoca lateralis mitochondrion, complete genome</t>
  </si>
  <si>
    <t>PREDICTED: Entelurus aequoreus cryptochrome circadian regulator 5 (cry5), mRNA</t>
  </si>
  <si>
    <t>Entelurus aequoreus</t>
  </si>
  <si>
    <t>Delphinapterus leucas isolate S_20_00795 mitochondrion, complete genome</t>
  </si>
  <si>
    <t>Cottus perifretum mitochondrion, complete genome</t>
  </si>
  <si>
    <t>Cottus perifretum</t>
  </si>
  <si>
    <t>PREDICTED: Contarinia nasturtii protein 5NUC-like (LOC116346261), mRNA</t>
  </si>
  <si>
    <t>Contarinia nasturtii</t>
  </si>
  <si>
    <t>Delphinapterus leucas isolate S_20_01410 mitochondrion, complete genome</t>
  </si>
  <si>
    <t>Cottus princeps mitochondrion, complete genome</t>
  </si>
  <si>
    <t>Cottus princeps</t>
  </si>
  <si>
    <t>PREDICTED: Triticum aestivum uncharacterized protein (LOC123151716), transcript variant X2, mRNA</t>
  </si>
  <si>
    <t>Triticum aestivum</t>
  </si>
  <si>
    <t>Delphinapterus leucas isolate S_20_01784 mitochondrion, complete genome</t>
  </si>
  <si>
    <t>Lutjanus buccanella mitochondrion, complete genome</t>
  </si>
  <si>
    <t>Sebastes rubrivinctus isolate 800VEAB mitochondrion, complete genome</t>
  </si>
  <si>
    <t>Delphinapterus leucas isolate DL1680 mitochondrion, complete genome</t>
  </si>
  <si>
    <t>Sebastes proriger mitochondrion, complete genome</t>
  </si>
  <si>
    <t>Sebastes proriger</t>
  </si>
  <si>
    <t>Delphinapterus leucas isolate DL1704 mitochondrion, complete genome</t>
  </si>
  <si>
    <t>Cottus czerskii mitochondrion, complete genome</t>
  </si>
  <si>
    <t>Oryzias latipes Hd-rR DNA, chromosome 16</t>
  </si>
  <si>
    <t>Delphinapterus leucas isolate S_20_01180 mitochondrion, complete genome</t>
  </si>
  <si>
    <t>Cottus aleuticus mitochondrion, complete genome</t>
  </si>
  <si>
    <t>Cottus aleuticus</t>
  </si>
  <si>
    <t>Pampus punctatissimus mitochondrion, complete genome</t>
  </si>
  <si>
    <t>Pampus punctatissimus</t>
  </si>
  <si>
    <t>Delphinapterus leucas isolate DL0902 mitochondrion, complete genome</t>
  </si>
  <si>
    <t>Sebastes eos voucher UW:114068 mitochondrion, partial genome</t>
  </si>
  <si>
    <t>Sebastes eos</t>
  </si>
  <si>
    <t>Delphinapterus leucas isolate S_20_01261 mitochondrion, complete genome</t>
  </si>
  <si>
    <t>Lampetra planeri genome assembly, chromosome: 20</t>
  </si>
  <si>
    <t>Lycodes polaris mitochondrion, complete genome</t>
  </si>
  <si>
    <t>Lycodes polaris</t>
  </si>
  <si>
    <t>Delphinapterus leucas isolate S_20_01273 mitochondrion, complete genome</t>
  </si>
  <si>
    <t>Lampetra fluviatilis genome assembly, chromosome: 19</t>
  </si>
  <si>
    <t>Sebastes variabilis isolate 267107 mitochondrion, complete genome</t>
  </si>
  <si>
    <t>Delphinapterus leucas isolate DL3037 mitochondrion, complete genome</t>
  </si>
  <si>
    <t>Cottus bairdii voucher ROMI-T26127F mitochondrion, complete genome</t>
  </si>
  <si>
    <t>PREDICTED: Lutra lutra mitogen-activated protein kinase 4 (MAPK4), transcript variant X1, mRNA</t>
  </si>
  <si>
    <t>Delphinapterus leucas isolate S_20_01288 mitochondrion, complete genome</t>
  </si>
  <si>
    <t>Bodianus rufus voucher USNM:FISH:406336 mitochondrion, complete genome</t>
  </si>
  <si>
    <t>Bodianus rufus</t>
  </si>
  <si>
    <t>Oreochromis urolepis isolate TZ011 NADH dehydrogenase subunit 1 (ND1) gene, complete cds; mitochondrial</t>
  </si>
  <si>
    <t>Delphinapterus leucas isolate S_20_00929 mitochondrion, complete genome</t>
  </si>
  <si>
    <t>Cottus klamathensis polyporus mitochondrion, complete genome</t>
  </si>
  <si>
    <t>Cottus klamathensis polyporus</t>
  </si>
  <si>
    <t>Oreochromis urolepis isolate TZ130 NADH dehydrogenase subunit 1 (ND1) gene, complete cds; mitochondrial</t>
  </si>
  <si>
    <t>Delphinapterus leucas isolate DL1691 mitochondrion, complete genome</t>
  </si>
  <si>
    <t>Hemilepidotus papilio voucher UW:151277 mitochondrion, complete genome</t>
  </si>
  <si>
    <t>Hemilepidotus papilio</t>
  </si>
  <si>
    <t>MAG: Candidatus Aminicenantes bacterium isolate bin99 chromosome</t>
  </si>
  <si>
    <t>Candidatus Aminicenantota bacterium</t>
  </si>
  <si>
    <t>Delphinapterus leucas isolate DL9689 mitochondrion, complete genome</t>
  </si>
  <si>
    <t>Pseudocrenilabrus sp. isolate TZ127 NADH dehydrogenase subunit 1 (ND1) gene, complete cds; mitochondrial</t>
  </si>
  <si>
    <t>Sebastes saxicola mitochondrion, complete genome</t>
  </si>
  <si>
    <t>Sebastes saxicola</t>
  </si>
  <si>
    <t>Delphinapterus leucas isolate S_20_01270 mitochondrion, complete genome</t>
  </si>
  <si>
    <t>Dendarus foraminosus genome assembly, chromosome: 7</t>
  </si>
  <si>
    <t>PREDICTED: Carassius auratus uncharacterized LOC113044999 (LOC113044999), transcript variant X1, mRNA</t>
  </si>
  <si>
    <t>Delphinapterus leucas isolate S_20_03642 mitochondrion, complete genome</t>
  </si>
  <si>
    <t>Vibrio nigripulchritudo TUMSAT-V.nig2 DNA, chromosome 2, complete sequence</t>
  </si>
  <si>
    <t>Vibrio nigripulchritudo</t>
  </si>
  <si>
    <t>Sebastes zacentrus mitochondrion, complete genome</t>
  </si>
  <si>
    <t>Sebastes zacentrus</t>
  </si>
  <si>
    <t>Delphinapterus leucas isolate DL1677 mitochondrion, complete genome</t>
  </si>
  <si>
    <t>Coptodon rendalli isolate TZ153 NADH dehydrogenase subunit 1 (ND1) gene, complete cds; mitochondrial</t>
  </si>
  <si>
    <t>Synodontis khartoumensis voucher SUD-2018-942 mitochondrion, complete genome</t>
  </si>
  <si>
    <t>Synodontis khartoumensis</t>
  </si>
  <si>
    <t>Delphinapterus leucas isolate S_20_01736 mitochondrion, complete genome</t>
  </si>
  <si>
    <t>Coptodon rendalli isolate MG674 NADH dehydrogenase subunit 1 (ND1) gene, complete cds; mitochondrial</t>
  </si>
  <si>
    <t>Chrysochir aurea mitochondrion, complete genome</t>
  </si>
  <si>
    <t>Delphinapterus leucas from Russia mitochondrion, partial genome</t>
  </si>
  <si>
    <t>PREDICTED: Hyla sarda uncharacterized LOC130295599 (LOC130295599), transcript variant X1, ncRNA</t>
  </si>
  <si>
    <t>Hyla sarda</t>
  </si>
  <si>
    <t>PREDICTED: Cydia fagiglandana mitochondrial uncoupling protein 4 (LOC134667350), transcript variant X1, mRNA</t>
  </si>
  <si>
    <t>Cydia fagiglandana</t>
  </si>
  <si>
    <t>Delphinapterus leucas isolate DL3049 mitochondrion, complete genome</t>
  </si>
  <si>
    <t>Hyporhamphus sajori mitochondrion, complete genome</t>
  </si>
  <si>
    <t>PREDICTED: Osmia lignaria lignaria cuticular protein 16 (CPR16), mRNA</t>
  </si>
  <si>
    <t>Osmia lignaria lignaria</t>
  </si>
  <si>
    <t>Delphinapterus leucas isolate S_20_01779 mitochondrion, complete genome</t>
  </si>
  <si>
    <t>Vibrio nigripulchritudo TUMSAT-V.nig3 DNA, chromosome 2, complete sequence</t>
  </si>
  <si>
    <t>PREDICTED: Nerophis lumbriciformis cryptochrome circadian regulator 5 (cry5), mRNA</t>
  </si>
  <si>
    <t>Nerophis lumbriciformis</t>
  </si>
  <si>
    <t>Delphinapterus leucas isolate DL0867 mitochondrion, complete genome</t>
  </si>
  <si>
    <t>PREDICTED: Hyla sarda uncharacterized LOC130295599 (LOC130295599), transcript variant X2, ncRNA</t>
  </si>
  <si>
    <t>Sebastes entomelas mitochondrion, complete genome</t>
  </si>
  <si>
    <t>Sebastes entomelas</t>
  </si>
  <si>
    <t>Delphinapterus leucas isolate S_20_03952 mitochondrion, complete genome</t>
  </si>
  <si>
    <t>PREDICTED: Hyla sarda uncharacterized LOC130295599 (LOC130295599), transcript variant X3, ncRNA</t>
  </si>
  <si>
    <t>Sebastes alutus mitochondrion, complete genome</t>
  </si>
  <si>
    <t>Sebastes alutus</t>
  </si>
  <si>
    <t>Delphinapterus leucas isolate S_20_01530 mitochondrion, complete genome</t>
  </si>
  <si>
    <t>PREDICTED: Hyla sarda uncharacterized LOC130295599 (LOC130295599), transcript variant X5, ncRNA</t>
  </si>
  <si>
    <t>Sebastes helvomaculatus mitochondrion, complete genome</t>
  </si>
  <si>
    <t>Delphinapterus leucas isolate S_20_01466 mitochondrion, complete genome</t>
  </si>
  <si>
    <t>PREDICTED: Hyla sarda uncharacterized LOC130295599 (LOC130295599), transcript variant X6, ncRNA</t>
  </si>
  <si>
    <t>PREDICTED: Triticum aestivum uncharacterized protein (LOC123168653), mRNA</t>
  </si>
  <si>
    <t>Delphinapterus leucas isolate S_20_04034 mitochondrion, complete genome</t>
  </si>
  <si>
    <t>PREDICTED: Fundulus heteroclitus zinc finger DHHC-type palmitoyltransferase 7 (zdhhc7), transcript variant X1, mRNA</t>
  </si>
  <si>
    <t>Pangasius nasutus isolate IKP018 voucher IKP018 mitochondrion, complete genome</t>
  </si>
  <si>
    <t>Delphinapterus leucas isolate S_20_01335 mitochondrion, complete genome</t>
  </si>
  <si>
    <t>Coptodon rendalli isolate Site16A NADH dehydrogenase subunit 1 (ND1) gene, complete cds; mitochondrial</t>
  </si>
  <si>
    <t>Mergellus albellus genome assembly, chromosome: 5</t>
  </si>
  <si>
    <t>Delphinapterus leucas isolate DL7674 mitochondrion, complete genome</t>
  </si>
  <si>
    <t>Vibrio nigripulchritudo str. SFn1 chromosome, complete genome</t>
  </si>
  <si>
    <t>Delphinapterus leucas isolate S_20_03731 mitochondrion, complete genome</t>
  </si>
  <si>
    <t>PREDICTED: Hyla sarda uncharacterized LOC130295599 (LOC130295599), transcript variant X4, ncRNA</t>
  </si>
  <si>
    <t>Rutilus rutilus genome assembly, organelle: mitochondrion</t>
  </si>
  <si>
    <t>Delphinapterus leucas isolate S_20_02719 mitochondrion, complete genome</t>
  </si>
  <si>
    <t>Lophiodes reticulatus voucher USNM:FISH:440564 mitochondrion, complete genome</t>
  </si>
  <si>
    <t>Lophiodes reticulatus</t>
  </si>
  <si>
    <t>Sebastes proriger voucher UW:118658 mitochondrion, complete genome</t>
  </si>
  <si>
    <t>Delphinapterus leucas isolate S_20_03742 mitochondrion, complete genome</t>
  </si>
  <si>
    <t>Coptodon rendalli isolate MG101 NADH dehydrogenase subunit 1 (ND1) gene, complete cds; mitochondrial</t>
  </si>
  <si>
    <t>Sebastes mystinus voucher UW:114028 mitochondrion, complete genome</t>
  </si>
  <si>
    <t>Sebastes mystinus</t>
  </si>
  <si>
    <t>PREDICTED: Hyla sarda uncharacterized LOC130295599 (LOC130295599), transcript variant X7, ncRNA</t>
  </si>
  <si>
    <t>Oreochromis urolepis isolate TZ094 NADH dehydrogenase subunit 1 (ND1) gene, complete cds; mitochondrial</t>
  </si>
  <si>
    <t>Delphinapterus leucas isolate S_20_03420 mitochondrion, complete genome</t>
  </si>
  <si>
    <t>PREDICTED: Fundulus heteroclitus zinc finger DHHC-type palmitoyltransferase 7 (zdhhc7), transcript variant X2, mRNA</t>
  </si>
  <si>
    <t>Synodontis caudovittatus voucher SUD-2018-956 mitochondrion, complete genome</t>
  </si>
  <si>
    <t>Synodontis caudovittatus</t>
  </si>
  <si>
    <t>Delphinapterus leucas isolate S_20_01162 mitochondrion, complete genome</t>
  </si>
  <si>
    <t>Toxotes chatareus mitochondrion, complete genome</t>
  </si>
  <si>
    <t>Pammene gallicana genome assembly, chromosome: 8</t>
  </si>
  <si>
    <t>Pammene gallicana</t>
  </si>
  <si>
    <t>Delphinapterus leucas isolate S_20_01149 mitochondrion, complete genome</t>
  </si>
  <si>
    <t>Sebastes caurinus mitochondrion, complete genome</t>
  </si>
  <si>
    <t>Sebastes caurinus</t>
  </si>
  <si>
    <t>Delphinapterus leucas isolate S_20_01350 mitochondrion, complete genome</t>
  </si>
  <si>
    <t>Oreochromis urolepis isolate T2J6 NADH dehydrogenase subunit 1 (ND1) gene, complete cds; mitochondrial</t>
  </si>
  <si>
    <t>Delphinapterus leucas isolate S_20_01279 mitochondrion, complete genome</t>
  </si>
  <si>
    <t>Delphinapterus leucas isolate S_20_01597 mitochondrion, complete genome</t>
  </si>
  <si>
    <t>PREDICTED: Rissa tridactyla proline and serine rich 2 (PROSER2), transcript variant X3, mRNA</t>
  </si>
  <si>
    <t>Delphinapterus leucas isolate S_20_03969 mitochondrion, complete genome</t>
  </si>
  <si>
    <t>Parambassis ranga genome assembly, organelle: mitochondrion</t>
  </si>
  <si>
    <t>Parambassis ranga</t>
  </si>
  <si>
    <t>Delphinapterus leucas isolate DL0928 mitochondrion, complete genome</t>
  </si>
  <si>
    <t>PREDICTED: Strongylocentrotus purpuratus arachidonate 5-lipoxygenase (LOC591845), transcript variant X1, mRNA</t>
  </si>
  <si>
    <t>Strongylocentrotus purpuratus</t>
  </si>
  <si>
    <t>Delphinapterus leucas isolate S_20_01486 mitochondrion, complete genome</t>
  </si>
  <si>
    <t>Delphinapterus leucas isolate DL1665 mitochondrion, complete genome</t>
  </si>
  <si>
    <t>Eleutheronema rhadinum mitochondrion, complete genome</t>
  </si>
  <si>
    <t>PREDICTED: Bombus vancouverensis nearcticus cuticular protein 16 (CPR16), mRNA</t>
  </si>
  <si>
    <t>Bombus vancouverensis nearcticus</t>
  </si>
  <si>
    <t>Delphinapterus leucas isolate DL3047 mitochondrion, complete genome</t>
  </si>
  <si>
    <t>Syngnathus temminckii mitochondrion, complete genome</t>
  </si>
  <si>
    <t>Syngnathus temminckii</t>
  </si>
  <si>
    <t>Sebastes melanops voucher UW:150232 mitochondrion, complete genome</t>
  </si>
  <si>
    <t>Delphinapterus leucas isolate DL1672 mitochondrion, complete genome</t>
  </si>
  <si>
    <t>Parablennius marmoreus voucher USNM:FISH:415793 mitochondrion, complete genome</t>
  </si>
  <si>
    <t>Parablennius marmoreus</t>
  </si>
  <si>
    <t>Delphinapterus leucas isolate S_20_03836 mitochondrion, complete genome</t>
  </si>
  <si>
    <t>Delphinapterus leucas isolate DL1666 mitochondrion, complete genome</t>
  </si>
  <si>
    <t>Gonostoma elongatum voucher USNM:FISH:466497 mitochondrion, partial genome</t>
  </si>
  <si>
    <t>Gonostoma elongatum</t>
  </si>
  <si>
    <t>PREDICTED: Astatotilapia calliptera cholesterol 24-hydroxylase-like (LOC113037511), mRNA</t>
  </si>
  <si>
    <t>Delphinapterus leucas isolate S_20_01783 mitochondrion, complete genome</t>
  </si>
  <si>
    <t>Sporobolus alterniflorus strain S0325 mitochondrion, complete genome</t>
  </si>
  <si>
    <t>Sporobolus alterniflorus</t>
  </si>
  <si>
    <t>Claveliimonas bilis 12BBH14 DNA, complete genome</t>
  </si>
  <si>
    <t>Claveliimonas bilis</t>
  </si>
  <si>
    <t>Delphinapterus leucas isolate S_20_03830 mitochondrion, complete genome</t>
  </si>
  <si>
    <t>Sebastes macdonaldi voucher UW:114065 mitochondrion, complete genome</t>
  </si>
  <si>
    <t>Sebastes macdonaldi</t>
  </si>
  <si>
    <t>Delphinapterus leucas isolate S_20_03707 mitochondrion, complete genome</t>
  </si>
  <si>
    <t>Rhamphochromis sp. LMw mitochondrial ND1 gene for NADH dehydrogenase subunit 1, partial cds</t>
  </si>
  <si>
    <t>Sebastes ciliatus isolate 267108 mitochondrion, complete genome</t>
  </si>
  <si>
    <t>Sebastes ciliatus</t>
  </si>
  <si>
    <t>Delphinapterus leucas isolate S_20_01066 mitochondrion, complete genome</t>
  </si>
  <si>
    <t>PREDICTED: Carassius auratus uncharacterized LOC113044999 (LOC113044999), transcript variant X5, mRNA</t>
  </si>
  <si>
    <t>Delphinapterus leucas isolate S_20_01392 mitochondrion, complete genome</t>
  </si>
  <si>
    <t>Caulolatilus microps voucher USNM:FISH:433311 mitochondrion, complete genome</t>
  </si>
  <si>
    <t>PREDICTED: Bombus bifarius uncharacterized LOC117208054 (LOC117208054), transcript variant X2, mRNA</t>
  </si>
  <si>
    <t>Bombus bifarius</t>
  </si>
  <si>
    <t>Delphinapterus leucas isolate S_20_03803 mitochondrion, complete genome</t>
  </si>
  <si>
    <t>Eleutheronema tetradactylum mitochondrion, complete genome</t>
  </si>
  <si>
    <t>Sebastes crameri mitochondrion, complete genome</t>
  </si>
  <si>
    <t>Sebastes crameri</t>
  </si>
  <si>
    <t>Delphinapterus leucas isolate S_20_03957 mitochondrion, complete genome</t>
  </si>
  <si>
    <t>Aulonocara stuartgranti mitochondrion, complete genome</t>
  </si>
  <si>
    <t>Scomberomorus cavalla voucher USNM:FISH:477589 mitochondrion, complete genome</t>
  </si>
  <si>
    <t>Scomberomorus cavalla</t>
  </si>
  <si>
    <t>Delphinapterus leucas isolate S_20_01430 mitochondrion, complete genome</t>
  </si>
  <si>
    <t>Leptocottus armatus mitochondrion, partial genome</t>
  </si>
  <si>
    <t>Delphinapterus leucas isolate S_20_01355 mitochondrion, complete genome</t>
  </si>
  <si>
    <t>PREDICTED: Vigna radiata var. radiata phytoene dehydrogenase, chloroplastic/chromoplastic (LOC106774013), mRNA</t>
  </si>
  <si>
    <t>Vigna radiata var. radiata</t>
  </si>
  <si>
    <t>PREDICTED: Glycine max uncharacterized lncRNA (LOC106796319), transcript variant X2, ncRNA</t>
  </si>
  <si>
    <t>Glycine max</t>
  </si>
  <si>
    <t>Delphinapterus leucas isolate S_20_01393 mitochondrion, complete genome</t>
  </si>
  <si>
    <t>Pseudoscopelus astronesthidens mitochondrion, complete genome</t>
  </si>
  <si>
    <t>Pseudoscopelus astronesthidens</t>
  </si>
  <si>
    <t>Delphinapterus leucas isolate S_20_03753 mitochondrion, complete genome</t>
  </si>
  <si>
    <t>PREDICTED: Camelus bactrianus uncharacterized LOC141579349 (LOC141579349), transcript variant X2, mRNA</t>
  </si>
  <si>
    <t>Camelus bactrianus</t>
  </si>
  <si>
    <t>Delphinapterus leucas isolate S_20_01567 mitochondrion, complete genome</t>
  </si>
  <si>
    <t>Diplotaxodon limnothrissa genome assembly, organelle: mitochondrion</t>
  </si>
  <si>
    <t>Tachysurus gracilis mitochondrion, complete genome</t>
  </si>
  <si>
    <t>Tachysurus gracilis</t>
  </si>
  <si>
    <t>Delphinapterus leucas isolate DL1673 mitochondrion, complete genome</t>
  </si>
  <si>
    <t>Mylochromis lateristriga mitochondrion, complete genome</t>
  </si>
  <si>
    <t>Pangasius conchophilus isolate BR5 mitochondrion, complete genome</t>
  </si>
  <si>
    <t>Pangasius conchophilus</t>
  </si>
  <si>
    <t>Delphinapterus leucas isolate S_20_00905 mitochondrion, complete genome</t>
  </si>
  <si>
    <t>Petrotilapia nigra mitochondrion, complete genome</t>
  </si>
  <si>
    <t>PREDICTED: Balearica regulorum gibbericeps paired related homeobox 2 (PRRX2), transcript variant X2, misc_RNA</t>
  </si>
  <si>
    <t>Balearica regulorum gibbericeps</t>
  </si>
  <si>
    <t>Delphinapterus leucas isolate DL7644 mitochondrion, complete genome</t>
  </si>
  <si>
    <t>Buccochromis nototaenia mitochondrion, complete genome</t>
  </si>
  <si>
    <t>Sebastes caurinus voucher UW:156954 mitochondrion, complete genome</t>
  </si>
  <si>
    <t>Delphinapterus leucas isolate S_20_03551 mitochondrion, complete genome</t>
  </si>
  <si>
    <t>PREDICTED: Andrographis paniculata clathrin heavy chain 1 (LOC127245791), transcript variant X1, mRNA</t>
  </si>
  <si>
    <t>Andrographis paniculata</t>
  </si>
  <si>
    <t>PREDICTED: Meles meles mitogen-activated protein kinase 4 (MAPK4), transcript variant X1, mRNA</t>
  </si>
  <si>
    <t>Delphinapterus leucas isolate DL1688 mitochondrion, complete genome</t>
  </si>
  <si>
    <t>Alticorpus geoffreyi mitochondrion, complete genome</t>
  </si>
  <si>
    <t>Sebastes flavidus mitochondrion, complete genome</t>
  </si>
  <si>
    <t>Sebastes flavidus</t>
  </si>
  <si>
    <t>Delphinapterus leucas isolate DL3044 mitochondrion, complete genome</t>
  </si>
  <si>
    <t>Pseudotropheus crabro mitochondrion, complete genome</t>
  </si>
  <si>
    <t>Sebastes entomelas voucher UW:114039 mitochondrion, complete genome</t>
  </si>
  <si>
    <t>Delphinapterus leucas isolate S_20_00830 mitochondrion, complete genome</t>
  </si>
  <si>
    <t>Cyathochromis obliquidens mitochondrion, complete genome</t>
  </si>
  <si>
    <t>PREDICTED: Acipenser ruthenus transmembrane protein 184B-like (LOC117968496), transcript variant X1, mRNA</t>
  </si>
  <si>
    <t>Delphinapterus leucas isolate S_20_00664 mitochondrion, complete genome</t>
  </si>
  <si>
    <t>Copadichromis virginalis mitochondrion, complete genome</t>
  </si>
  <si>
    <t>Delphinapterus leucas isolate DL3051 mitochondrion, complete genome</t>
  </si>
  <si>
    <t>Trematocranus placodon mitochondrion, complete genome</t>
  </si>
  <si>
    <t>Winogradskyella forsetii strain HL6110 chromosome, complete genome</t>
  </si>
  <si>
    <t>Winogradskyella forsetii</t>
  </si>
  <si>
    <t>Caulolatilus microps voucher USNM:FISH:477520 mitochondrion, complete genome</t>
  </si>
  <si>
    <t>Sebastes miniatus voucher UW:114060 mitochondrion, complete genome</t>
  </si>
  <si>
    <t>Sebastes miniatus</t>
  </si>
  <si>
    <t>Delphinapterus leucas isolate S_20_03846 mitochondrion, complete genome</t>
  </si>
  <si>
    <t>Nimbochromis linni mitochondrion, complete genome</t>
  </si>
  <si>
    <t>PREDICTED: Arvicola amphibius parathyroid hormone 2 receptor (Pth2r), mRNA</t>
  </si>
  <si>
    <t>Arvicola amphibius</t>
  </si>
  <si>
    <t>Delphinapterus leucas isolate S_20_00744 mitochondrion, complete genome</t>
  </si>
  <si>
    <t>Haliichthys taeniophorus isolate Haltae0432 NADH dehydrogenase subunit 1 (ND1) gene, partial cds; mitochondrial</t>
  </si>
  <si>
    <t>Haliichthys taeniophorus</t>
  </si>
  <si>
    <t>PREDICTED: Maylandia zebra cholesterol 24-hydroxylase (LOC101466901), mRNA</t>
  </si>
  <si>
    <t>Delphinapterus leucas isolate S_20_01750 mitochondrion, complete genome</t>
  </si>
  <si>
    <t>Alpinocottus poecilopus mitochondrion, complete genome</t>
  </si>
  <si>
    <t>Oreochromis sp. isolate TZ076 NADH dehydrogenase subunit 1 (ND1) gene, complete cds; mitochondrial</t>
  </si>
  <si>
    <t>Delphinapterus leucas isolate S_20_03531 mitochondrion, complete genome</t>
  </si>
  <si>
    <t>Bradyrhizobium sp. Ash2021 chromosome, complete genome</t>
  </si>
  <si>
    <t>Bradyrhizobium sp. Ash2021</t>
  </si>
  <si>
    <t>Bombyx mori p50ma DNA, chromosome: 22</t>
  </si>
  <si>
    <t>Delphinapterus leucas isolate S_20_01266 mitochondrion, complete genome</t>
  </si>
  <si>
    <t>TPA_asm: Neoarius pectoralis mitochondrion, complete genome</t>
  </si>
  <si>
    <t>Neoarius pectoralis</t>
  </si>
  <si>
    <t>Delphinapterus leucas isolate S_20_01079 mitochondrion, complete genome</t>
  </si>
  <si>
    <t>Apteryx australis mantelli genome assembly AptMant0, scaffold scaffold570</t>
  </si>
  <si>
    <t>Apteryx mantelli mantelli</t>
  </si>
  <si>
    <t>Delphinapterus leucas isolate S_20_03832 mitochondrion, complete genome</t>
  </si>
  <si>
    <t>Rhamphochromis sp. 'chilingali' genome assembly, organelle: mitochondrion</t>
  </si>
  <si>
    <t>Rhamphochromis sp. 'chilingali'</t>
  </si>
  <si>
    <t>Sebastes variegatus mitochondrion, complete genome</t>
  </si>
  <si>
    <t>Sebastes variegatus</t>
  </si>
  <si>
    <t>Delphinapterus leucas isolate S_20_01487 mitochondrion, complete genome</t>
  </si>
  <si>
    <t>Stellerina xyosterna NADH dehydrogenase subunit 1 gene, partial cds; mitochondrial</t>
  </si>
  <si>
    <t>Stellerina xyosterna</t>
  </si>
  <si>
    <t>Delphinapterus leucas isolate DL1694 mitochondrion, complete genome</t>
  </si>
  <si>
    <t>Dimidiochromis compressiceps mitochondrion, complete genome</t>
  </si>
  <si>
    <t>Bothrocara hollandi mitochondrion, complete genome</t>
  </si>
  <si>
    <t>Delphinapterus leucas isolate DL3046 mitochondrion, complete genome</t>
  </si>
  <si>
    <t>PREDICTED: Acipenser ruthenus transmembrane protein 184B-like (LOC117968496), transcript variant X3, mRNA</t>
  </si>
  <si>
    <t>Delphinapterus leucas isolate DL9679 mitochondrion, complete genome</t>
  </si>
  <si>
    <t>Astatotilapia sp. 'ruaha red cheek' isolate TZ084 NADH dehydrogenase subunit 1 (ND1) gene, complete cds; mitochondrial</t>
  </si>
  <si>
    <t>Delphinapterus leucas isolate S_20_01551 mitochondrion, complete genome</t>
  </si>
  <si>
    <t>Copadichromis trimaculatus mitochondrion, complete genome</t>
  </si>
  <si>
    <t>PREDICTED: Carassius carassius uncharacterized LOC132095758 (LOC132095758), transcript variant X2, ncRNA</t>
  </si>
  <si>
    <t>Carassius carassius</t>
  </si>
  <si>
    <t>Delphinapterus leucas isolate S_20_01386 mitochondrion, complete genome</t>
  </si>
  <si>
    <t>PREDICTED: Grus americana paired related homeobox 2 (PRRX2), mRNA</t>
  </si>
  <si>
    <t>Grus americana</t>
  </si>
  <si>
    <t>Delphinapterus leucas isolate S_20_04087 mitochondrion, complete genome</t>
  </si>
  <si>
    <t>PREDICTED: Andrographis paniculata clathrin heavy chain 1 (LOC127245791), transcript variant X2, mRNA</t>
  </si>
  <si>
    <t>PREDICTED: Bombus bifarius uncharacterized LOC117208054 (LOC117208054), transcript variant X1, mRNA</t>
  </si>
  <si>
    <t>Delphinapterus leucas isolate DL1663 mitochondrion, complete genome</t>
  </si>
  <si>
    <t>Labidochromis caeruleus mitochondrial ND1 gene for NADH dehydrogenase subunit 1, partial cds, isolate: Lc1</t>
  </si>
  <si>
    <t>PREDICTED: Glycine soja uncharacterized LOC114392902 (LOC114392902), transcript variant X2, ncRNA</t>
  </si>
  <si>
    <t>Delphinapterus leucas isolate S_20_02952 mitochondrion, complete genome</t>
  </si>
  <si>
    <t>Chilotilapia rhoadesii mitochondrion, complete genome</t>
  </si>
  <si>
    <t>Strongylocentrotus droebachiensis genome assembly, chromosome: 16</t>
  </si>
  <si>
    <t>Delphinapterus leucas isolate S_20_00782 mitochondrion, complete genome</t>
  </si>
  <si>
    <t>Sebastes ciliatus voucher UW:151032 mitochondrion, complete genome</t>
  </si>
  <si>
    <t>Delphinapterus leucas isolate S_20_02022 mitochondrion, complete genome</t>
  </si>
  <si>
    <t>Lycalopex sechurae mitochondrion, partial genome</t>
  </si>
  <si>
    <t>Lycalopex sechurae</t>
  </si>
  <si>
    <t>Sebastes wilsoni voucher UW:114041 mitochondrion, complete genome</t>
  </si>
  <si>
    <t>Sebastes wilsoni</t>
  </si>
  <si>
    <t>Delphinapterus leucas isolate DL3057 mitochondrion, complete genome</t>
  </si>
  <si>
    <t>Delphinapterus leucas isolate S_20_01346 mitochondrion, complete genome</t>
  </si>
  <si>
    <t>Scarus ghobban mitochondrion, complete genome</t>
  </si>
  <si>
    <t>Scarus ghobban</t>
  </si>
  <si>
    <t>Synodontis sp. 'Upper Benue' voucher Pop-714 mitochondrion, complete genome</t>
  </si>
  <si>
    <t>Synodontis sp. 'Upper Benue'</t>
  </si>
  <si>
    <t>Delphinapterus leucas isolate S_20_01463 mitochondrion, complete genome</t>
  </si>
  <si>
    <t>4_Tte_b3v08</t>
  </si>
  <si>
    <t>Timema tahoe</t>
  </si>
  <si>
    <t>Delphinapterus leucas isolate S_20_02016 mitochondrion, complete genome</t>
  </si>
  <si>
    <t>Serranochromis robustus mitochondrion, complete genome</t>
  </si>
  <si>
    <t>Delphinapterus leucas isolate S_20_00767 mitochondrion, complete genome</t>
  </si>
  <si>
    <t>PREDICTED: Simochromis diagramma NADH-ubiquinone oxidoreductase chain 1-like (LOC120719338), mRNA</t>
  </si>
  <si>
    <t>Simochromis diagramma</t>
  </si>
  <si>
    <t>PREDICTED: Salmo salar arylsulfatase A (LOC100195737), mRNA</t>
  </si>
  <si>
    <t>Salmo salar</t>
  </si>
  <si>
    <t>Delphinapterus leucas isolate S_20_03510 mitochondrion, complete genome</t>
  </si>
  <si>
    <t>Borostomias antarcticus genome assembly, organelle: mitochondrion</t>
  </si>
  <si>
    <t>Borostomias antarcticus</t>
  </si>
  <si>
    <t>PREDICTED: Notolabrus celidotus tetraspanin 4b (tspan4b), mRNA</t>
  </si>
  <si>
    <t>Notolabrus celidotus</t>
  </si>
  <si>
    <t>Delphinapterus leucas isolate DL7675 mitochondrion, complete genome</t>
  </si>
  <si>
    <t>Aptocyclus ventricosus mitochondrion, complete genome</t>
  </si>
  <si>
    <t>Aptocyclus ventricosus</t>
  </si>
  <si>
    <t>Delphinapterus leucas isolate DL1659 mitochondrion, complete genome</t>
  </si>
  <si>
    <t>PREDICTED: Leucoraja erinacea interleukin-6 receptor subunit beta-like (LOC129711330), transcript variant X3, mRNA</t>
  </si>
  <si>
    <t>Leucoraja erinaceus</t>
  </si>
  <si>
    <t>Leibnitzia nepalensis voucher FZX2608 chromosome 1 mitochondrion, complete sequence</t>
  </si>
  <si>
    <t>Leibnitzia nepalensis</t>
  </si>
  <si>
    <t>Delphinapterus leucas isolate S_20_03769 mitochondrion, complete genome</t>
  </si>
  <si>
    <t>Istiophorus platypterus isolate SFA27 mitochondrion, complete genome</t>
  </si>
  <si>
    <t>PREDICTED: Acipenser ruthenus transmembrane protein 184B-like (LOC117433101), transcript variant X2, mRNA</t>
  </si>
  <si>
    <t>Delphinapterus leucas isolate S_20_01296 mitochondrion, complete genome</t>
  </si>
  <si>
    <t>Sebastes variegatus voucher UW:151401 mitochondrion, complete genome</t>
  </si>
  <si>
    <t>Delphinapterus leucas isolate S_20_00804 mitochondrion, complete genome</t>
  </si>
  <si>
    <t>Diplotaxodon limnothrissa mitochondrion, complete genome</t>
  </si>
  <si>
    <t>Delphinapterus leucas isolate DL1669 mitochondrion, complete genome</t>
  </si>
  <si>
    <t>Delphinapterus leucas isolate DL3039 mitochondrion, complete genome</t>
  </si>
  <si>
    <t>Vulpes ferrilata mitochondrion, complete genome</t>
  </si>
  <si>
    <t>Vulpes ferrilata</t>
  </si>
  <si>
    <t>Rangifer tarandus genome assembly, chromosome: 19</t>
  </si>
  <si>
    <t>Delphinapterus leucas isolate S_20_01432 mitochondrion, complete genome</t>
  </si>
  <si>
    <t>Claveliimonas bilis 10CPCBH12 DNA, complete genome</t>
  </si>
  <si>
    <t>Delphinapterus leucas isolate DL1684 mitochondrion, complete genome</t>
  </si>
  <si>
    <t>Astatotilapia calliptera mitochondrion, complete genome</t>
  </si>
  <si>
    <t>Rutilus rutilus mitochondrion, complete genome</t>
  </si>
  <si>
    <t>Delphinapterus leucas isolate DL9681 mitochondrion, complete genome</t>
  </si>
  <si>
    <t>Claveliimonas bilis c-25 DNA, complete genome</t>
  </si>
  <si>
    <t>Delphinapterus leucas isolate S_20_02317 mitochondrion, complete genome</t>
  </si>
  <si>
    <t>Cheilochromis euchilus mitochondrion, complete genome</t>
  </si>
  <si>
    <t>PREDICTED: Cydia fagiglandana mitochondrial uncoupling protein 4 (LOC134667350), transcript variant X2, mRNA</t>
  </si>
  <si>
    <t>Delphinapterus leucas isolate DL1668 mitochondrion, complete genome</t>
  </si>
  <si>
    <t>Caulolatilus microps voucher USNM:FISH:471014 mitochondrion, complete genome</t>
  </si>
  <si>
    <t>Pangasius nasutus isolate MR4 mitochondrion, complete genome</t>
  </si>
  <si>
    <t>Delphinapterus leucas isolate S_20_01051 mitochondrion, complete genome</t>
  </si>
  <si>
    <t>Bombyx mori p50ma DNA, chromosome: 01</t>
  </si>
  <si>
    <t>Delphinapterus leucas isolate S_20_03659 mitochondrion, complete genome</t>
  </si>
  <si>
    <t>Rhamphochromis esox mitochondrion, complete genome</t>
  </si>
  <si>
    <t>Delphinapterus leucas isolate DL9680 mitochondrion, complete genome</t>
  </si>
  <si>
    <t>Anomalops katoptron mitochondrion, complete genome</t>
  </si>
  <si>
    <t>Delphinapterus leucas isolate DL3054 mitochondrion, complete genome</t>
  </si>
  <si>
    <t>Aulonocara stuartgranti genome assembly, organelle: mitochondrion</t>
  </si>
  <si>
    <t>Sebastes steindachneri isolate D2C43AC mitochondrion, complete genome</t>
  </si>
  <si>
    <t>Sebastes steindachneri</t>
  </si>
  <si>
    <t>Delphinapterus leucas isolate S_20_01169 mitochondrion, complete genome</t>
  </si>
  <si>
    <t>Haplochromis burtoni mitochondrial ND1 gene for NADH dehydrogenase subunit 1, partial cds, isolate: Ab1</t>
  </si>
  <si>
    <t>Pangasius conchophilus isolate TM2 mitochondrion, complete genome</t>
  </si>
  <si>
    <t>Delphinapterus leucas isolate S_20_01514 mitochondrion, complete genome</t>
  </si>
  <si>
    <t>PREDICTED: Simochromis diagramma NADH-ubiquinone oxidoreductase chain 1-like (LOC120719337), mRNA</t>
  </si>
  <si>
    <t>Aliikangiella sp. IMCC44359 chromosome, complete genome</t>
  </si>
  <si>
    <t>Aliikangiella sp. IMCC44359</t>
  </si>
  <si>
    <t>Delphinapterus leucas isolate DL3043 mitochondrion, complete genome</t>
  </si>
  <si>
    <t>Cynotilapia afra mitochondrion, complete genome</t>
  </si>
  <si>
    <t>PREDICTED: Triticum urartu uncharacterized LOC125521220 (LOC125521220), mRNA</t>
  </si>
  <si>
    <t>Triticum urartu</t>
  </si>
  <si>
    <t>Delphinapterus leucas isolate S_20_00663 mitochondrion, complete genome</t>
  </si>
  <si>
    <t>Chrysiptera cyanea mitochondrion, complete genome</t>
  </si>
  <si>
    <t>Chrysiptera cyanea</t>
  </si>
  <si>
    <t>Bombyx mori BmN4 cell DNA, chromosome 22, sequence</t>
  </si>
  <si>
    <t>Delphinapterus leucas isolate S_20_01259 mitochondrion, complete genome</t>
  </si>
  <si>
    <t>Delphinapterus leucas isolate DL3038 mitochondrion, complete genome</t>
  </si>
  <si>
    <t>Viola epipsila genome assembly, chromosome: 2</t>
  </si>
  <si>
    <t>Pangasius conchophilus voucher PCO_02 Mekong Delta mitochondrion, complete genome</t>
  </si>
  <si>
    <t>Delphinapterus leucas isolate S_20_01465 mitochondrion, complete genome</t>
  </si>
  <si>
    <t>Drosophila obscura genome assembly, chromosome: X</t>
  </si>
  <si>
    <t>Mergellus albellus genome assembly, chromosome: 26</t>
  </si>
  <si>
    <t>Delphinapterus leucas isolate DL7664 mitochondrion, complete genome</t>
  </si>
  <si>
    <t>Chionodes viduella genome assembly, chromosome: 10</t>
  </si>
  <si>
    <t>Winogradskyella forsetii strain HL857 chromosome, complete genome</t>
  </si>
  <si>
    <t>Delphinapterus leucas isolate S_20_01734 mitochondrion, complete genome</t>
  </si>
  <si>
    <t>PREDICTED: Dendrobates tinctorius misshapen like kinase 1 (MINK1), transcript variant X2, mRNA</t>
  </si>
  <si>
    <t>Dendrobates tinctorius</t>
  </si>
  <si>
    <t>Delphinapterus leucas isolate S_20_01743 mitochondrion, complete genome</t>
  </si>
  <si>
    <t>Rangifer tarandus genome assembly, chromosome: 26</t>
  </si>
  <si>
    <t>Sebastes crameri voucher UW:114055 mitochondrion, complete genome</t>
  </si>
  <si>
    <t>Delphinapterus leucas isolate DL1705 mitochondrion, complete genome</t>
  </si>
  <si>
    <t>Alectoris rufa genome assembly, chromosome: 7</t>
  </si>
  <si>
    <t>Alectoris rufa</t>
  </si>
  <si>
    <t>Pangasius conchophilus voucher PCO_03 Mekong Delta mitochondrion, complete genome</t>
  </si>
  <si>
    <t>Delphinapterus leucas isolate S_20_01754 mitochondrion, complete genome</t>
  </si>
  <si>
    <t>Alces alces genome assembly, chromosome: 32</t>
  </si>
  <si>
    <t>Oreochromis urolepis isolate T2J5 NADH dehydrogenase subunit 1 (ND1) gene, complete cds; mitochondrial</t>
  </si>
  <si>
    <t>Tapirus bairdii mitochondrion, complete genome</t>
  </si>
  <si>
    <t>Tapirus bairdii</t>
  </si>
  <si>
    <t>Galium boreale genome assembly, chromosome: 11A</t>
  </si>
  <si>
    <t>Galium boreale</t>
  </si>
  <si>
    <t>PREDICTED: Astyanax mexicanus uncharacterized LOC125786784 (LOC125786784), ncRNA</t>
  </si>
  <si>
    <t>Delphinapterus leucas isolate S_20_01308 mitochondrion, complete genome</t>
  </si>
  <si>
    <t>Alces alces genome assembly, chromosome: 28</t>
  </si>
  <si>
    <t>PREDICTED: Leptodactylus fuscus ankyrin repeat and SOCS box containing 6 (ASB6), mRNA</t>
  </si>
  <si>
    <t>Leptodactylus fuscus</t>
  </si>
  <si>
    <t>Delphinapterus leucas isolate S_20_03538 mitochondrion, complete genome</t>
  </si>
  <si>
    <t>Fringilla coelebs genome assembly, chromosome: 5</t>
  </si>
  <si>
    <t>Fringilla coelebs</t>
  </si>
  <si>
    <t>Poeciliopsis occidentalis voucher AV76-7 mitochondrion, complete genome</t>
  </si>
  <si>
    <t>Poeciliopsis occidentalis</t>
  </si>
  <si>
    <t>Delphinapterus leucas isolate S_20_04095 mitochondrion, complete genome</t>
  </si>
  <si>
    <t>PREDICTED: Dendrobates tinctorius misshapen like kinase 1 (MINK1), transcript variant X5, mRNA</t>
  </si>
  <si>
    <t>Pangasius conchophilus voucher PCO_01 mitochondrion, complete genome</t>
  </si>
  <si>
    <t>Delphinapterus leucas isolate S_20_01480 mitochondrion, complete genome</t>
  </si>
  <si>
    <t>PREDICTED: Dendrobates tinctorius misshapen like kinase 1 (MINK1), transcript variant X4, mRNA</t>
  </si>
  <si>
    <t>Sebastes caurinus voucher UW:114025 mitochondrion, complete genome</t>
  </si>
  <si>
    <t>Delphinapterus leucas isolate S_20_01260 mitochondrion, complete genome</t>
  </si>
  <si>
    <t>Sitta europaea genome assembly, chromosome: 7</t>
  </si>
  <si>
    <t>Sitta europaea</t>
  </si>
  <si>
    <t>PREDICTED: Simochromis diagramma cholesterol 24-hydroxylase-like (LOC120725391), mRNA</t>
  </si>
  <si>
    <t>Delphinapterus leucas isolate S_20_01174 mitochondrion, complete genome</t>
  </si>
  <si>
    <t>PREDICTED: Chlorocebus sabaeus family with sequence similarity 43 member A (FAM43A), transcript variant X5, misc_RNA</t>
  </si>
  <si>
    <t>Chlorocebus sabaeus</t>
  </si>
  <si>
    <t>PREDICTED: Rissa tridactyla proline and serine rich 2 (PROSER2), transcript variant X1, mRNA</t>
  </si>
  <si>
    <t>Delphinapterus leucas isolate S_20_01968 mitochondrion, complete genome</t>
  </si>
  <si>
    <t>PREDICTED: Dendrobates tinctorius misshapen like kinase 1 (MINK1), transcript variant X6, mRNA</t>
  </si>
  <si>
    <t>Pangasius nasutus isolate JR1 mitochondrion, complete genome</t>
  </si>
  <si>
    <t>Delphinapterus leucas isolate S_20_00743 mitochondrion, complete genome</t>
  </si>
  <si>
    <t>PREDICTED: Aquarana catesbeiana formin binding protein 1 like (FNBP1L), transcript variant X2, mRNA</t>
  </si>
  <si>
    <t>Aquarana catesbeiana</t>
  </si>
  <si>
    <t>PREDICTED: Salmo salar arylsulfatase A-like (LOC123724481), misc_RNA</t>
  </si>
  <si>
    <t>Delphinapterus leucas isolate DL7643 mitochondrion, complete genome</t>
  </si>
  <si>
    <t>PREDICTED: Chlorocebus sabaeus family with sequence similarity 43 member A (FAM43A), transcript variant X2, misc_RNA</t>
  </si>
  <si>
    <t>Pangasius conchophilus mitochondrion, complete genome</t>
  </si>
  <si>
    <t>Delphinapterus leucas isolate DL1687 mitochondrion, complete genome</t>
  </si>
  <si>
    <t>PREDICTED: Aquarana catesbeiana formin binding protein 1 like (FNBP1L), transcript variant X1, mRNA</t>
  </si>
  <si>
    <t>PREDICTED: Carassius auratus uncharacterized LOC113044999 (LOC113044999), transcript variant X2, mRNA</t>
  </si>
  <si>
    <t>Delphinapterus leucas isolate S_20_01282 mitochondrion, complete genome</t>
  </si>
  <si>
    <t>Xiphophorus variatus strain Zarco mitochondrion, complete genome</t>
  </si>
  <si>
    <t>Xiphophorus variatus</t>
  </si>
  <si>
    <t>Delphinapterus leucas isolate S_20_04130 mitochondrion, complete genome</t>
  </si>
  <si>
    <t>Mergellus albellus genome assembly, chromosome: Z</t>
  </si>
  <si>
    <t>Delphinapterus leucas isolate S_20_01317 mitochondrion, complete genome</t>
  </si>
  <si>
    <t>Sitta europaea genome assembly, chromosome: 9</t>
  </si>
  <si>
    <t>Lycodes tanakae isolate Lyc_04 mitochondrion, complete genome</t>
  </si>
  <si>
    <t>Lycodes tanakae</t>
  </si>
  <si>
    <t>Delphinapterus leucas isolate S_20_01233 mitochondrion, complete genome</t>
  </si>
  <si>
    <t>Chloris chloris genome assembly, chromosome: Z</t>
  </si>
  <si>
    <t>Chloris chloris</t>
  </si>
  <si>
    <t>Oryzias latipes HNI DNA, chromosome 15</t>
  </si>
  <si>
    <t>Delphinapterus leucas isolate DL3050 mitochondrion, complete genome</t>
  </si>
  <si>
    <t>MAG: Parvicellaceae bacterium isolate 5523de6e-4b18-46bc-b93d-b93e5fed2c7b genome assembly, chromosome: 1</t>
  </si>
  <si>
    <t>Parvicellaceae bacterium</t>
  </si>
  <si>
    <t xml:space="preserve">		</t>
  </si>
  <si>
    <r>
      <t xml:space="preserve">Table S1 - </t>
    </r>
    <r>
      <rPr>
        <sz val="11"/>
        <color theme="1"/>
        <rFont val="Arial"/>
        <family val="2"/>
      </rPr>
      <t>Sequences used in the development of the primers</t>
    </r>
  </si>
  <si>
    <r>
      <t xml:space="preserve">Table S2 </t>
    </r>
    <r>
      <rPr>
        <sz val="11"/>
        <color theme="1"/>
        <rFont val="Arial"/>
        <family val="2"/>
        <charset val="1"/>
      </rPr>
      <t>- Oligonucleotide sequences for qPCR primers and hydrolysis probes, and gene Sanger sequencing primers. The 5′ and 3′ probe modifications are shown as [FAM] and [BHQ1] respectively. Position is relative to mitogenome sequence of NC_009057.1.</t>
    </r>
  </si>
  <si>
    <t>PX311111.1</t>
  </si>
  <si>
    <t>PX311109.1</t>
  </si>
  <si>
    <t>GU477631.1</t>
  </si>
  <si>
    <t>GU477625.1</t>
  </si>
  <si>
    <t>PX311125.1</t>
  </si>
  <si>
    <t>GU477628.1</t>
  </si>
  <si>
    <t>GU477626.1</t>
  </si>
  <si>
    <t>GU370126.1</t>
  </si>
  <si>
    <t>NC_009057.1</t>
  </si>
  <si>
    <t>MW149239.1</t>
  </si>
  <si>
    <t>MH237607.1</t>
  </si>
  <si>
    <t>OR499729.1</t>
  </si>
  <si>
    <t>MK951678.1</t>
  </si>
  <si>
    <t>NC_037020.1</t>
  </si>
  <si>
    <t>NC_085187.1</t>
  </si>
  <si>
    <t>OR641515.1</t>
  </si>
  <si>
    <t>OR641514.1</t>
  </si>
  <si>
    <t>OR641526.1</t>
  </si>
  <si>
    <t>LC493910.1</t>
  </si>
  <si>
    <t>OR641504.1</t>
  </si>
  <si>
    <t>LC493909.1</t>
  </si>
  <si>
    <t>OR641513.1</t>
  </si>
  <si>
    <t>NC_082764.1</t>
  </si>
  <si>
    <t>PX119168.1</t>
  </si>
  <si>
    <t>OR641527.1</t>
  </si>
  <si>
    <t>NC_082758.1</t>
  </si>
  <si>
    <t>PX119169.1</t>
  </si>
  <si>
    <t>NC_082776.1</t>
  </si>
  <si>
    <t>PV820012.1</t>
  </si>
  <si>
    <t>NC_082792.1</t>
  </si>
  <si>
    <t>NC_039778.1</t>
  </si>
  <si>
    <t>OR641516.1</t>
  </si>
  <si>
    <t>NC_037046.1</t>
  </si>
  <si>
    <t>NC_037019.1</t>
  </si>
  <si>
    <t>OR641505.1</t>
  </si>
  <si>
    <t>NC_082791.1</t>
  </si>
  <si>
    <t>NC_053985.1</t>
  </si>
  <si>
    <t>PX119165.1</t>
  </si>
  <si>
    <t>PX311150.1</t>
  </si>
  <si>
    <t>NC_007231.1</t>
  </si>
  <si>
    <t>NC_082818.1</t>
  </si>
  <si>
    <t>NC_052754.1</t>
  </si>
  <si>
    <t>NC_056783.1</t>
  </si>
  <si>
    <t>MH259592.1</t>
  </si>
  <si>
    <t>NC_082794.1</t>
  </si>
  <si>
    <t>NC_082821.1</t>
  </si>
  <si>
    <t>OP035238.1</t>
  </si>
  <si>
    <t>OP035291.1</t>
  </si>
  <si>
    <t>HQ536735.1</t>
  </si>
  <si>
    <t>XM_071302277.1</t>
  </si>
  <si>
    <t>XM_054902434.2</t>
  </si>
  <si>
    <t>XM_071302276.1</t>
  </si>
  <si>
    <t>XM_076238700.1</t>
  </si>
  <si>
    <t>OZ245995.1</t>
  </si>
  <si>
    <t>XM_041612506.1</t>
  </si>
  <si>
    <t>XM_076238701.1</t>
  </si>
  <si>
    <t>NC_021605.1</t>
  </si>
  <si>
    <t>NC_013663.1</t>
  </si>
  <si>
    <t>NC_036048.1</t>
  </si>
  <si>
    <t>XM_022244511.1</t>
  </si>
  <si>
    <t>XM_052192515.1</t>
  </si>
  <si>
    <t>PQ858632.1</t>
  </si>
  <si>
    <t>MW566786.1</t>
  </si>
  <si>
    <t>HG999686.4</t>
  </si>
  <si>
    <t>OC003610.1</t>
  </si>
  <si>
    <t>XM_038211231.1</t>
  </si>
  <si>
    <t>OZ296836.1</t>
  </si>
  <si>
    <t>PQ858629.1</t>
  </si>
  <si>
    <t>PQ858630.1</t>
  </si>
  <si>
    <t>PQ858634.1</t>
  </si>
  <si>
    <t>GU477624.1</t>
  </si>
  <si>
    <t>PX311129.1</t>
  </si>
  <si>
    <t>XM_022244510.1</t>
  </si>
  <si>
    <t>PQ858633.1</t>
  </si>
  <si>
    <t>XM_073410720.1</t>
  </si>
  <si>
    <t>XM_010744883.3</t>
  </si>
  <si>
    <t>PQ858631.1</t>
  </si>
  <si>
    <t>OZ274176.1</t>
  </si>
  <si>
    <t>NC_028011.1</t>
  </si>
  <si>
    <t>NC_043854.1</t>
  </si>
  <si>
    <t>OP035099.2</t>
  </si>
  <si>
    <t>AB915412.1</t>
  </si>
  <si>
    <t>XM_052739585.1</t>
  </si>
  <si>
    <t>NC_056784.1</t>
  </si>
  <si>
    <t>NC_083047.1</t>
  </si>
  <si>
    <t>OP236030.1</t>
  </si>
  <si>
    <t>XM_047698326.1</t>
  </si>
  <si>
    <t>NC_063564.1</t>
  </si>
  <si>
    <t>NC_082766.1</t>
  </si>
  <si>
    <t>OR499734.1</t>
  </si>
  <si>
    <t>NC_085186.1</t>
  </si>
  <si>
    <t>PX311205.1</t>
  </si>
  <si>
    <t>OR641549.1</t>
  </si>
  <si>
    <t>XM_046025983.1</t>
  </si>
  <si>
    <t>CP165621.1</t>
  </si>
  <si>
    <t>NC_060710.1</t>
  </si>
  <si>
    <t>OP035093.1</t>
  </si>
  <si>
    <t>NC_039777.1</t>
  </si>
  <si>
    <t>OZ311048.1</t>
  </si>
  <si>
    <t>XM_020340562.4</t>
  </si>
  <si>
    <t>MZ930107.1</t>
  </si>
  <si>
    <t>XM_059016792.1</t>
  </si>
  <si>
    <t>NC_066829.1</t>
  </si>
  <si>
    <t>AP040413.1</t>
  </si>
  <si>
    <t>PX070000.1</t>
  </si>
  <si>
    <t>XM_026205077.1</t>
  </si>
  <si>
    <t>OR641542.1</t>
  </si>
  <si>
    <t>OZ240682.1</t>
  </si>
  <si>
    <t>OR641548.1</t>
  </si>
  <si>
    <t>OR263623.1</t>
  </si>
  <si>
    <t>OK048743.1</t>
  </si>
  <si>
    <t>NC_045521.1</t>
  </si>
  <si>
    <t>XR_003662418.1</t>
  </si>
  <si>
    <t>OR641547.1</t>
  </si>
  <si>
    <t>XM_062024835.1</t>
  </si>
  <si>
    <t>XM_031776203.1</t>
  </si>
  <si>
    <t>XM_044571381.1</t>
  </si>
  <si>
    <t>MH378777.1</t>
  </si>
  <si>
    <t>OR641544.1</t>
  </si>
  <si>
    <t>AP040385.1</t>
  </si>
  <si>
    <t>OP096423.1</t>
  </si>
  <si>
    <t>OP035269.2</t>
  </si>
  <si>
    <t>NC_057073.1</t>
  </si>
  <si>
    <t>NC_060711.1</t>
  </si>
  <si>
    <t>XM_047698325.1</t>
  </si>
  <si>
    <t>PX311134.1</t>
  </si>
  <si>
    <t>PX311210.1</t>
  </si>
  <si>
    <t>CP070627.1</t>
  </si>
  <si>
    <t>OR641550.1</t>
  </si>
  <si>
    <t>XM_026205074.1</t>
  </si>
  <si>
    <t>OR641499.1</t>
  </si>
  <si>
    <t>NC_061923.1</t>
  </si>
  <si>
    <t>MW026682.1</t>
  </si>
  <si>
    <t>XM_063524713.1</t>
  </si>
  <si>
    <t>XM_076690964.1</t>
  </si>
  <si>
    <t>XM_061964411.2</t>
  </si>
  <si>
    <t>OR641520.1</t>
  </si>
  <si>
    <t>OR641502.1</t>
  </si>
  <si>
    <t>OR641528.1</t>
  </si>
  <si>
    <t>XM_044586525.1</t>
  </si>
  <si>
    <t>OP901624.1</t>
  </si>
  <si>
    <t>OZ310690.1</t>
  </si>
  <si>
    <t>OR641518.1</t>
  </si>
  <si>
    <t>OX637958.1</t>
  </si>
  <si>
    <t>NC_082771.1</t>
  </si>
  <si>
    <t>NC_082760.1</t>
  </si>
  <si>
    <t>PX311204.1</t>
  </si>
  <si>
    <t>NC_061384.1</t>
  </si>
  <si>
    <t>OZ311303.1</t>
  </si>
  <si>
    <t>OR641508.1</t>
  </si>
  <si>
    <t>PX311118.1</t>
  </si>
  <si>
    <t>OR641507.1</t>
  </si>
  <si>
    <t>XM_054194738.1</t>
  </si>
  <si>
    <t>LR822063.1</t>
  </si>
  <si>
    <t>XM_030986490.1</t>
  </si>
  <si>
    <t>NC_082814.1</t>
  </si>
  <si>
    <t>XM_033347506.2</t>
  </si>
  <si>
    <t>OR482534.1</t>
  </si>
  <si>
    <t>OP035122.2</t>
  </si>
  <si>
    <t>OR641497.1</t>
  </si>
  <si>
    <t>XM_026194696.1</t>
  </si>
  <si>
    <t>AP027742.1</t>
  </si>
  <si>
    <t>OP035284.1</t>
  </si>
  <si>
    <t>OK048740.1</t>
  </si>
  <si>
    <t>XM_026205078.1</t>
  </si>
  <si>
    <t>XM_033448882.1</t>
  </si>
  <si>
    <t>OR641511.1</t>
  </si>
  <si>
    <t>PV720039.1</t>
  </si>
  <si>
    <t>OR641545.1</t>
  </si>
  <si>
    <t>XR_003264833.2</t>
  </si>
  <si>
    <t>NC_070076.1</t>
  </si>
  <si>
    <t>XM_074374645.1</t>
  </si>
  <si>
    <t>MW980438.1</t>
  </si>
  <si>
    <t>OQ078745.1</t>
  </si>
  <si>
    <t>XR_012838514.1</t>
  </si>
  <si>
    <t>OR546210.1</t>
  </si>
  <si>
    <t>XM_046025982.1</t>
  </si>
  <si>
    <t>OR641522.1</t>
  </si>
  <si>
    <t>NC_082761.1</t>
  </si>
  <si>
    <t>XM_059016126.1</t>
  </si>
  <si>
    <t>NC_066933.1</t>
  </si>
  <si>
    <t>CP053349.1</t>
  </si>
  <si>
    <t>NC_082765.1</t>
  </si>
  <si>
    <t>XM_038341057.1</t>
  </si>
  <si>
    <t>XM_024805162.2</t>
  </si>
  <si>
    <t>PX311194.1</t>
  </si>
  <si>
    <t>AP039569.1</t>
  </si>
  <si>
    <t>BK064994.1</t>
  </si>
  <si>
    <t>OR641498.1</t>
  </si>
  <si>
    <t>OR641553.1</t>
  </si>
  <si>
    <t>OR641509.1</t>
  </si>
  <si>
    <t>NC_043859.1</t>
  </si>
  <si>
    <t>XM_059016128.1</t>
  </si>
  <si>
    <t>OR641521.1</t>
  </si>
  <si>
    <t>XR_009422498.1</t>
  </si>
  <si>
    <t>XM_054848207.1</t>
  </si>
  <si>
    <t>XM_033448881.1</t>
  </si>
  <si>
    <t>XR_003662419.1</t>
  </si>
  <si>
    <t>OZ296900.1</t>
  </si>
  <si>
    <t>OR482540.1</t>
  </si>
  <si>
    <t>NC_082762.1</t>
  </si>
  <si>
    <t>OR538387.1</t>
  </si>
  <si>
    <t>MZ930092.1</t>
  </si>
  <si>
    <t>NC_082817.1</t>
  </si>
  <si>
    <t>OR641512.1</t>
  </si>
  <si>
    <t>XM_014124952.2</t>
  </si>
  <si>
    <t>XM_034711729.1</t>
  </si>
  <si>
    <t>OR641551.1</t>
  </si>
  <si>
    <t>OQ420729.1</t>
  </si>
  <si>
    <t>XM_059016791.1</t>
  </si>
  <si>
    <t>NC_082788.1</t>
  </si>
  <si>
    <t>OR641543.1</t>
  </si>
  <si>
    <t>OR641546.1</t>
  </si>
  <si>
    <t>OZ289212.1</t>
  </si>
  <si>
    <t>AP027743.1</t>
  </si>
  <si>
    <t>OP612947.1</t>
  </si>
  <si>
    <t>AP024845.1</t>
  </si>
  <si>
    <t>XM_063524714.1</t>
  </si>
  <si>
    <t>OQ078746.1</t>
  </si>
  <si>
    <t>AP039547.1</t>
  </si>
  <si>
    <t>OR641506.1</t>
  </si>
  <si>
    <t>OR641519.1</t>
  </si>
  <si>
    <t>MH378779.1</t>
  </si>
  <si>
    <t>OQ078744.1</t>
  </si>
  <si>
    <t>CP199292.1</t>
  </si>
  <si>
    <t>XM_048686284.1</t>
  </si>
  <si>
    <t>AP039410.1</t>
  </si>
  <si>
    <t>OR641525.1</t>
  </si>
  <si>
    <t>PP727124.1</t>
  </si>
  <si>
    <t>OZ310711.1</t>
  </si>
  <si>
    <t>CP053348.1</t>
  </si>
  <si>
    <t>NC_066440.1</t>
  </si>
  <si>
    <t>OP035263.1</t>
  </si>
  <si>
    <t>PP727125.1</t>
  </si>
  <si>
    <t>PX311117.1</t>
  </si>
  <si>
    <t>XR_007428821.1</t>
  </si>
  <si>
    <t>XM_075259006.1</t>
  </si>
  <si>
    <t>MK860198.1</t>
  </si>
  <si>
    <t>PP721193.1</t>
  </si>
  <si>
    <t>OP035205.1</t>
  </si>
  <si>
    <t>XM_040018256.1</t>
  </si>
  <si>
    <t>XM_054194726.1</t>
  </si>
  <si>
    <t>OQ078747.1</t>
  </si>
  <si>
    <t>XR_006757034.1</t>
  </si>
  <si>
    <t>NC_067896.1</t>
  </si>
  <si>
    <t>XM_026205075.1</t>
  </si>
  <si>
    <t>MW934558.1</t>
  </si>
  <si>
    <t>CP034491.1</t>
  </si>
  <si>
    <t>OR687549.1</t>
  </si>
  <si>
    <t>AP040412.1</t>
  </si>
  <si>
    <r>
      <t xml:space="preserve">Table S3 </t>
    </r>
    <r>
      <rPr>
        <sz val="11"/>
        <color theme="1"/>
        <rFont val="Arial"/>
        <family val="2"/>
        <charset val="1"/>
      </rPr>
      <t>- NCBI BLAST nucleotide search result</t>
    </r>
    <r>
      <rPr>
        <sz val="11"/>
        <color theme="1"/>
        <rFont val="Arial"/>
        <family val="2"/>
      </rPr>
      <t>s oligonucleotide sequences for qPCR primers and hydrolysis probes (blue = target species, red = congeneric species). Note, we consider NC_009057.1 and GU477631.1 to be possess O. niloticus mtDNA, see Fig. S1)</t>
    </r>
  </si>
  <si>
    <t>PX311233.1</t>
  </si>
  <si>
    <t>KC858616.1</t>
  </si>
  <si>
    <t>PX311221.1</t>
  </si>
  <si>
    <t>NC_059060.1</t>
  </si>
  <si>
    <t>NC_015786.1</t>
  </si>
  <si>
    <t>OQ862830.1</t>
  </si>
  <si>
    <t>KC858615.1</t>
  </si>
  <si>
    <t>PX311223.1</t>
  </si>
  <si>
    <t>AB610503.1</t>
  </si>
  <si>
    <t>AP017957.1</t>
  </si>
  <si>
    <t>NC_026109.1</t>
  </si>
  <si>
    <t>NC_027967.1</t>
  </si>
  <si>
    <t>PV185776.1</t>
  </si>
  <si>
    <t>NC_086945.1</t>
  </si>
  <si>
    <t>OQ862828.1</t>
  </si>
  <si>
    <t>NC_027596.1</t>
  </si>
  <si>
    <t>KF640755.1</t>
  </si>
  <si>
    <t>NC_086947.1</t>
  </si>
  <si>
    <t>KC858602.1</t>
  </si>
  <si>
    <t>NC_086949.1</t>
  </si>
  <si>
    <t>OM312055.1</t>
  </si>
  <si>
    <t>KF640765.1</t>
  </si>
  <si>
    <t>AP009509.1</t>
  </si>
  <si>
    <t>OP035217.1</t>
  </si>
  <si>
    <t>PV710555.1</t>
  </si>
  <si>
    <t>NC_086950.1</t>
  </si>
  <si>
    <t>NC_033957.1</t>
  </si>
  <si>
    <t>NC_063704.1</t>
  </si>
  <si>
    <t>PV710558.1</t>
  </si>
  <si>
    <t>NC_026028.1</t>
  </si>
  <si>
    <t>KC858570.1</t>
  </si>
  <si>
    <t>NC_010265.1</t>
  </si>
  <si>
    <t>AP018421.1</t>
  </si>
  <si>
    <t>OP056841.1</t>
  </si>
  <si>
    <t>PV710559.1</t>
  </si>
  <si>
    <t>LC495487.1</t>
  </si>
  <si>
    <t>KF765500.2</t>
  </si>
  <si>
    <t>PV710556.1</t>
  </si>
  <si>
    <t>NC_087907.1</t>
  </si>
  <si>
    <t>NC_004383.1</t>
  </si>
  <si>
    <t>PV710546.1</t>
  </si>
  <si>
    <t>NC_005252.1</t>
  </si>
  <si>
    <t>NC_025935.1</t>
  </si>
  <si>
    <t>OR582701.1</t>
  </si>
  <si>
    <t>MT376182.1</t>
  </si>
  <si>
    <t>KC858617.1</t>
  </si>
  <si>
    <t>PX311224.1</t>
  </si>
  <si>
    <t>OQ043383.1</t>
  </si>
  <si>
    <t>XM_052920757.1</t>
  </si>
  <si>
    <t>AY098138.1</t>
  </si>
  <si>
    <t>PV710545.1</t>
  </si>
  <si>
    <t>PV590084.1</t>
  </si>
  <si>
    <t>OR282509.1</t>
  </si>
  <si>
    <t>KC858603.1</t>
  </si>
  <si>
    <t>NC_072543.1</t>
  </si>
  <si>
    <t>MT376181.1</t>
  </si>
  <si>
    <t>NC_028423.1</t>
  </si>
  <si>
    <t>OP056838.2</t>
  </si>
  <si>
    <t>KF668288.1</t>
  </si>
  <si>
    <t>OR582720.1</t>
  </si>
  <si>
    <t>NC_083064.1</t>
  </si>
  <si>
    <t>KX817309.2</t>
  </si>
  <si>
    <t>OP035132.1</t>
  </si>
  <si>
    <t>KU341409.1</t>
  </si>
  <si>
    <t>OL477727.1</t>
  </si>
  <si>
    <t>NC_003097.1</t>
  </si>
  <si>
    <t>MW411454.1</t>
  </si>
  <si>
    <t>AP006808.1</t>
  </si>
  <si>
    <t>MG251942.1</t>
  </si>
  <si>
    <t>OZ291592.1</t>
  </si>
  <si>
    <t>OM719679.1</t>
  </si>
  <si>
    <t>AB355921.1</t>
  </si>
  <si>
    <t>OZ289215.1</t>
  </si>
  <si>
    <t>MH973734.1</t>
  </si>
  <si>
    <t>LC646818.1</t>
  </si>
  <si>
    <t>CP174122.1</t>
  </si>
  <si>
    <t>OQ561759.1</t>
  </si>
  <si>
    <t>NC_028420.1</t>
  </si>
  <si>
    <t>NC_009856.1</t>
  </si>
  <si>
    <t>LC880101.1</t>
  </si>
  <si>
    <t>NC_082847.1</t>
  </si>
  <si>
    <t>PV339719.1</t>
  </si>
  <si>
    <t>NC_027595.1</t>
  </si>
  <si>
    <t>MG251978.1</t>
  </si>
  <si>
    <t>XM_009267554.1</t>
  </si>
  <si>
    <t>MT376176.1</t>
  </si>
  <si>
    <t>NC_033552.1</t>
  </si>
  <si>
    <t>OR282511.1</t>
  </si>
  <si>
    <t>NC_016671.1</t>
  </si>
  <si>
    <t>AP025476.1</t>
  </si>
  <si>
    <t>OR242806.1</t>
  </si>
  <si>
    <t>NC_073585.1</t>
  </si>
  <si>
    <t>NC_034341.1</t>
  </si>
  <si>
    <t>KC466567.1</t>
  </si>
  <si>
    <t>OZ263305.1</t>
  </si>
  <si>
    <t>NC_029737.1</t>
  </si>
  <si>
    <t>NC_027289.1</t>
  </si>
  <si>
    <t>XM_052014333.1</t>
  </si>
  <si>
    <t>NC_072332.1</t>
  </si>
  <si>
    <t>AB915452.1</t>
  </si>
  <si>
    <t>PQ773495.1</t>
  </si>
  <si>
    <t>AP006798.1</t>
  </si>
  <si>
    <t>OQ043416.1</t>
  </si>
  <si>
    <t>PV294982.1</t>
  </si>
  <si>
    <t>OR540300.1</t>
  </si>
  <si>
    <t>NC_023781.1</t>
  </si>
  <si>
    <t>NC_058961.1</t>
  </si>
  <si>
    <t>CP162386.1</t>
  </si>
  <si>
    <t>MH973730.1</t>
  </si>
  <si>
    <t>XM_052014331.1</t>
  </si>
  <si>
    <t>PQ198871.1</t>
  </si>
  <si>
    <t>NC_070072.1</t>
  </si>
  <si>
    <t>XM_052014332.1</t>
  </si>
  <si>
    <t>CP070758.1</t>
  </si>
  <si>
    <t>KJ833586.1</t>
  </si>
  <si>
    <t>OM736806.1</t>
  </si>
  <si>
    <t>PQ014274.1</t>
  </si>
  <si>
    <t>KY081397.1</t>
  </si>
  <si>
    <t>PV357919.1</t>
  </si>
  <si>
    <t>CP011913.1</t>
  </si>
  <si>
    <t>NC_027934.1</t>
  </si>
  <si>
    <t>AP019484.1</t>
  </si>
  <si>
    <t>MW505928.1</t>
  </si>
  <si>
    <t>OQ043404.1</t>
  </si>
  <si>
    <t>PV642274.1</t>
  </si>
  <si>
    <t>OP056969.2</t>
  </si>
  <si>
    <t>MT376175.1</t>
  </si>
  <si>
    <t>OP035259.1</t>
  </si>
  <si>
    <t>NC_072540.1</t>
  </si>
  <si>
    <t>OR269154.1</t>
  </si>
  <si>
    <t>NC_009061.1</t>
  </si>
  <si>
    <t>NC_086569.1</t>
  </si>
  <si>
    <t>MK239311.1</t>
  </si>
  <si>
    <t>PV185772.1</t>
  </si>
  <si>
    <t>OR578703.1</t>
  </si>
  <si>
    <t>PV040728.1</t>
  </si>
  <si>
    <t>LC085153.1</t>
  </si>
  <si>
    <t>AP043771.1</t>
  </si>
  <si>
    <t>AY275872.1</t>
  </si>
  <si>
    <t>OP035299.1</t>
  </si>
  <si>
    <t>CP068134.1</t>
  </si>
  <si>
    <t>NC_065474.1</t>
  </si>
  <si>
    <t>OP056893.2</t>
  </si>
  <si>
    <t>NC_072333.1</t>
  </si>
  <si>
    <t>KX276660.1</t>
  </si>
  <si>
    <t>KT211451.1</t>
  </si>
  <si>
    <t>LS483416.1</t>
  </si>
  <si>
    <t>NC_021757.1</t>
  </si>
  <si>
    <t>PV170586.1</t>
  </si>
  <si>
    <t>XM_015953462.3</t>
  </si>
  <si>
    <t>KX817304.2</t>
  </si>
  <si>
    <t>MG251943.1</t>
  </si>
  <si>
    <t>NC_027386.1</t>
  </si>
  <si>
    <t>MF069250.1</t>
  </si>
  <si>
    <t>AP017651.1</t>
  </si>
  <si>
    <t>MZ427900.1</t>
  </si>
  <si>
    <t>OQ043425.1</t>
  </si>
  <si>
    <t>OP057023.1</t>
  </si>
  <si>
    <t>NC_024737.1</t>
  </si>
  <si>
    <t>EU755253.1</t>
  </si>
  <si>
    <t>LC085148.1</t>
  </si>
  <si>
    <t>CP035925.1</t>
  </si>
  <si>
    <t>NC_034784.1</t>
  </si>
  <si>
    <t>NC_027970.1</t>
  </si>
  <si>
    <t>CP010818.1</t>
  </si>
  <si>
    <t>KX592536.1</t>
  </si>
  <si>
    <t>NC_028089.1</t>
  </si>
  <si>
    <t>NC_070106.1</t>
  </si>
  <si>
    <t>XR_011806273.1</t>
  </si>
  <si>
    <t>JF895700.1</t>
  </si>
  <si>
    <t>LT906443.1</t>
  </si>
  <si>
    <t>NC_027594.1</t>
  </si>
  <si>
    <t>AP019602.1</t>
  </si>
  <si>
    <t>OZ310981.1</t>
  </si>
  <si>
    <t>OZ256451.1</t>
  </si>
  <si>
    <t>AP019428.1</t>
  </si>
  <si>
    <t>OZ291539.1</t>
  </si>
  <si>
    <t>NC_016709.1</t>
  </si>
  <si>
    <t>KP271438.1</t>
  </si>
  <si>
    <t>XM_053618603.1</t>
  </si>
  <si>
    <t>KJ883269.1</t>
  </si>
  <si>
    <t>AP019427.1</t>
  </si>
  <si>
    <t>CP072371.1</t>
  </si>
  <si>
    <t>OQ043410.1</t>
  </si>
  <si>
    <t>XM_035904157.1</t>
  </si>
  <si>
    <t>PP060928.1</t>
  </si>
  <si>
    <t>OQ043395.1</t>
  </si>
  <si>
    <t>LC646777.1</t>
  </si>
  <si>
    <t>NC_086951.1</t>
  </si>
  <si>
    <t>OR269158.1</t>
  </si>
  <si>
    <t>KC858593.1</t>
  </si>
  <si>
    <t>PV990965.1</t>
  </si>
  <si>
    <t>MT376183.1</t>
  </si>
  <si>
    <t>KF646795.1</t>
  </si>
  <si>
    <t>NC_086568.1</t>
  </si>
  <si>
    <t>NC_025500.1</t>
  </si>
  <si>
    <t>MG251938.1</t>
  </si>
  <si>
    <t>OR578702.1</t>
  </si>
  <si>
    <t>OR701262.1</t>
  </si>
  <si>
    <t>CP072373.1</t>
  </si>
  <si>
    <t>OQ043408.1</t>
  </si>
  <si>
    <t>AP014741.1</t>
  </si>
  <si>
    <t>NC_072542.1</t>
  </si>
  <si>
    <t>NC_020151.1</t>
  </si>
  <si>
    <t>NC_026998.1</t>
  </si>
  <si>
    <t>CP002589.1</t>
  </si>
  <si>
    <t>MT376180.1</t>
  </si>
  <si>
    <t>OP179302.1</t>
  </si>
  <si>
    <t>XM_046236224.1</t>
  </si>
  <si>
    <t>OR701282.1</t>
  </si>
  <si>
    <t>OP035177.1</t>
  </si>
  <si>
    <t>PQ198869.1</t>
  </si>
  <si>
    <t>OQ561755.1</t>
  </si>
  <si>
    <t>NC_024587.1</t>
  </si>
  <si>
    <t>PQ198873.1</t>
  </si>
  <si>
    <t>MN356144.1</t>
  </si>
  <si>
    <t>AP019485.1</t>
  </si>
  <si>
    <t>CP002790.1</t>
  </si>
  <si>
    <t>MW719564.1</t>
  </si>
  <si>
    <t>NC_030607.1</t>
  </si>
  <si>
    <t>XM_003352167.2</t>
  </si>
  <si>
    <t>OR269156.1</t>
  </si>
  <si>
    <t>DQ028044.1</t>
  </si>
  <si>
    <t>CP181052.1</t>
  </si>
  <si>
    <t>NC_024179.1</t>
  </si>
  <si>
    <t>NC_027944.1</t>
  </si>
  <si>
    <t>AP043722.1</t>
  </si>
  <si>
    <t>OQ043421.1</t>
  </si>
  <si>
    <t>LC646787.1</t>
  </si>
  <si>
    <t>CP072361.1</t>
  </si>
  <si>
    <t>MH973733.1</t>
  </si>
  <si>
    <t>AP019472.1</t>
  </si>
  <si>
    <t>LR135899.1</t>
  </si>
  <si>
    <t>NC_028405.1</t>
  </si>
  <si>
    <t>NC_024885.1</t>
  </si>
  <si>
    <t>OZ245933.1</t>
  </si>
  <si>
    <t>PQ726980.1</t>
  </si>
  <si>
    <t>AP014765.1</t>
  </si>
  <si>
    <t>CP022655.2</t>
  </si>
  <si>
    <t>NC_020582.1</t>
  </si>
  <si>
    <t>NC_028293.1</t>
  </si>
  <si>
    <t>XM_015953463.3</t>
  </si>
  <si>
    <t>OR282508.1</t>
  </si>
  <si>
    <t>PV454018.1</t>
  </si>
  <si>
    <t>AP025576.1</t>
  </si>
  <si>
    <t>NC_011938.1</t>
  </si>
  <si>
    <t>MZ567023.1</t>
  </si>
  <si>
    <t>CP009583.1</t>
  </si>
  <si>
    <t>KJ637997.1</t>
  </si>
  <si>
    <t>NC_033548.1</t>
  </si>
  <si>
    <t>OP749999.1</t>
  </si>
  <si>
    <t>OM719678.1</t>
  </si>
  <si>
    <t>OL471029.1</t>
  </si>
  <si>
    <t>CP072360.1</t>
  </si>
  <si>
    <t>KF150287.1</t>
  </si>
  <si>
    <t>KT211450.1</t>
  </si>
  <si>
    <t>OZ253668.1</t>
  </si>
  <si>
    <t>NC_061376.1</t>
  </si>
  <si>
    <t>PV720024.1</t>
  </si>
  <si>
    <t>OZ290778.1</t>
  </si>
  <si>
    <t>MT276289.1</t>
  </si>
  <si>
    <t>NC_040003.1</t>
  </si>
  <si>
    <t>OP056823.1</t>
  </si>
  <si>
    <t>MT376187.1</t>
  </si>
  <si>
    <t>NC_072541.1</t>
  </si>
  <si>
    <t>XM_043752383.1</t>
  </si>
  <si>
    <t>OQ043422.1</t>
  </si>
  <si>
    <t>MG251955.1</t>
  </si>
  <si>
    <t>PQ198872.1</t>
  </si>
  <si>
    <t>NC_012433.1</t>
  </si>
  <si>
    <t>AB915447.1</t>
  </si>
  <si>
    <t>OQ043377.1</t>
  </si>
  <si>
    <t>AP019444.1</t>
  </si>
  <si>
    <t>OQ862835.1</t>
  </si>
  <si>
    <t>MZ895120.1</t>
  </si>
  <si>
    <t>NC_031419.1</t>
  </si>
  <si>
    <t>OZ310198.1</t>
  </si>
  <si>
    <t>KJ833587.1</t>
  </si>
  <si>
    <t>JF895703.1</t>
  </si>
  <si>
    <t>NC_072706.1</t>
  </si>
  <si>
    <t>OQ043417.1</t>
  </si>
  <si>
    <t>KT211462.1</t>
  </si>
  <si>
    <t>CP144514.1</t>
  </si>
  <si>
    <t>MH973728.1</t>
  </si>
  <si>
    <t>OP035208.1</t>
  </si>
  <si>
    <t>CP032056.1</t>
  </si>
  <si>
    <t>MZ922472.1</t>
  </si>
  <si>
    <t>MG251941.1</t>
  </si>
  <si>
    <t>CP009500.1</t>
  </si>
  <si>
    <t>NC_009684.1</t>
  </si>
  <si>
    <t>NC_039895.1</t>
  </si>
  <si>
    <t>CP072348.1</t>
  </si>
  <si>
    <t>OR701291.1</t>
  </si>
  <si>
    <t>OL477730.1</t>
  </si>
  <si>
    <t>OZ297377.1</t>
  </si>
  <si>
    <t>MW856903.1</t>
  </si>
  <si>
    <t>KT222932.1</t>
  </si>
  <si>
    <t>AP043793.1</t>
  </si>
  <si>
    <t>MT276292.1</t>
  </si>
  <si>
    <t>AP017949.1</t>
  </si>
  <si>
    <t>NC_023526.1</t>
  </si>
  <si>
    <t>KJ689447.1</t>
  </si>
  <si>
    <t>AB355909.1</t>
  </si>
  <si>
    <t>LS483400.1</t>
  </si>
  <si>
    <t>KX817306.2</t>
  </si>
  <si>
    <t>PV185779.1</t>
  </si>
  <si>
    <t>NC_013137.1</t>
  </si>
  <si>
    <t>OR242807.1</t>
  </si>
  <si>
    <t>LC085146.1</t>
  </si>
  <si>
    <t>OZ291586.1</t>
  </si>
  <si>
    <t>AY098142.1</t>
  </si>
  <si>
    <t>PV170581.1</t>
  </si>
  <si>
    <t>MZ269266.1</t>
  </si>
  <si>
    <t>ON758297.1</t>
  </si>
  <si>
    <t>AP014726.1</t>
  </si>
  <si>
    <t>XM_064112982.1</t>
  </si>
  <si>
    <t>MT376188.1</t>
  </si>
  <si>
    <t>OP057048.2</t>
  </si>
  <si>
    <t>OZ311128.1</t>
  </si>
  <si>
    <t>OL806610.1</t>
  </si>
  <si>
    <t>OP035134.1</t>
  </si>
  <si>
    <t>CP072357.1</t>
  </si>
  <si>
    <t>OZ077016.1</t>
  </si>
  <si>
    <t>PP727280.1</t>
  </si>
  <si>
    <t>KU363233.1</t>
  </si>
  <si>
    <t>NC_058992.1</t>
  </si>
  <si>
    <t>PP796839.2</t>
  </si>
  <si>
    <t>CP073339.1</t>
  </si>
  <si>
    <t>PV742858.1</t>
  </si>
  <si>
    <t>NC_033550.1</t>
  </si>
  <si>
    <t>CP072374.1</t>
  </si>
  <si>
    <t>OR242796.1</t>
  </si>
  <si>
    <t>NC_028156.1</t>
  </si>
  <si>
    <t>NC_027346.1</t>
  </si>
  <si>
    <t>NC_026451.1</t>
  </si>
  <si>
    <t>LC649807.1</t>
  </si>
  <si>
    <t>XM_008080376.1</t>
  </si>
  <si>
    <t>AY098143.1</t>
  </si>
  <si>
    <t>KC858613.1</t>
  </si>
  <si>
    <t>OZ297385.1</t>
  </si>
  <si>
    <t>MN122918.1</t>
  </si>
  <si>
    <t>NC_082848.1</t>
  </si>
  <si>
    <t>OR578701.1</t>
  </si>
  <si>
    <t>AB537553.1</t>
  </si>
  <si>
    <t>AP019615.1</t>
  </si>
  <si>
    <t>XM_017459735.3</t>
  </si>
  <si>
    <t>MK078264.1</t>
  </si>
  <si>
    <t>OK583901.1</t>
  </si>
  <si>
    <t>MZ427899.1</t>
  </si>
  <si>
    <t>MZ895121.1</t>
  </si>
  <si>
    <t>OZ289209.1</t>
  </si>
  <si>
    <t>MT276296.1</t>
  </si>
  <si>
    <t>NC_025671.1</t>
  </si>
  <si>
    <t>XM_067101091.1</t>
  </si>
  <si>
    <t>NC_032715.1</t>
  </si>
  <si>
    <t>AP014744.1</t>
  </si>
  <si>
    <t>PP928732.1</t>
  </si>
  <si>
    <t>NC_003137.1</t>
  </si>
  <si>
    <t>LS483402.1</t>
  </si>
  <si>
    <t>OQ043411.1</t>
  </si>
  <si>
    <t>AP043723.1</t>
  </si>
  <si>
    <t>MF069251.1</t>
  </si>
  <si>
    <t>NC_020016.1</t>
  </si>
  <si>
    <t>OZ309106.1</t>
  </si>
  <si>
    <t>NC_023837.1</t>
  </si>
  <si>
    <t>NC_082229.1</t>
  </si>
  <si>
    <t>FO704550.1</t>
  </si>
  <si>
    <t>OX395146.1</t>
  </si>
  <si>
    <t>KJ642220.1</t>
  </si>
  <si>
    <t>OY781474.1</t>
  </si>
  <si>
    <t>NC_025307.1</t>
  </si>
  <si>
    <t>NC_083266.1</t>
  </si>
  <si>
    <t>OZ311035.1</t>
  </si>
  <si>
    <t>NC_012646.1</t>
  </si>
  <si>
    <t>AP019467.1</t>
  </si>
  <si>
    <t>XM_024088466.2</t>
  </si>
  <si>
    <t>MT276290.1</t>
  </si>
  <si>
    <t>AP014727.1</t>
  </si>
  <si>
    <t>XM_017267092.1</t>
  </si>
  <si>
    <t>OQ043378.1</t>
  </si>
  <si>
    <t>MH301085.1</t>
  </si>
  <si>
    <t>XM_074477214.1</t>
  </si>
  <si>
    <t>MW856904.1</t>
  </si>
  <si>
    <t>NC_031415.1</t>
  </si>
  <si>
    <t>XM_039181092.1</t>
  </si>
  <si>
    <t>OR242803.1</t>
  </si>
  <si>
    <t>MG251965.1</t>
  </si>
  <si>
    <t>CP196750.1</t>
  </si>
  <si>
    <t>MW233587.1</t>
  </si>
  <si>
    <t>NC_011275.1</t>
  </si>
  <si>
    <t>LR134385.1</t>
  </si>
  <si>
    <t>OQ561760.1</t>
  </si>
  <si>
    <t>NC_026794.1</t>
  </si>
  <si>
    <t>OZ297383.1</t>
  </si>
  <si>
    <t>MT376177.1</t>
  </si>
  <si>
    <t>AP014773.1</t>
  </si>
  <si>
    <t>KC996751.1</t>
  </si>
  <si>
    <t>PQ723587.1</t>
  </si>
  <si>
    <t>NC_081026.1</t>
  </si>
  <si>
    <t>AC278135.1</t>
  </si>
  <si>
    <t>MK770342.1</t>
  </si>
  <si>
    <t>KT211437.1</t>
  </si>
  <si>
    <t>LN020359.1</t>
  </si>
  <si>
    <t>OR242797.1</t>
  </si>
  <si>
    <t>AB915451.1</t>
  </si>
  <si>
    <t>LT630003.1</t>
  </si>
  <si>
    <t>PV453995.1</t>
  </si>
  <si>
    <t>NC_057282.1</t>
  </si>
  <si>
    <t>CP103244.1</t>
  </si>
  <si>
    <t>MH973729.1</t>
  </si>
  <si>
    <t>NC_030779.1</t>
  </si>
  <si>
    <t>XM_074477215.1</t>
  </si>
  <si>
    <t>MT276295.1</t>
  </si>
  <si>
    <t>NC_031431.1</t>
  </si>
  <si>
    <t>LR902220.1</t>
  </si>
  <si>
    <t>OR242801.1</t>
  </si>
  <si>
    <t>OP718221.1</t>
  </si>
  <si>
    <t>AP006841.1</t>
  </si>
  <si>
    <t>OQ043380.1</t>
  </si>
  <si>
    <t>PV170572.1</t>
  </si>
  <si>
    <t>XM_029336131.2</t>
  </si>
  <si>
    <t>NC_082995.1</t>
  </si>
  <si>
    <t>OR263615.1</t>
  </si>
  <si>
    <t>OZ297382.1</t>
  </si>
  <si>
    <t>OQ043396.1</t>
  </si>
  <si>
    <t>OP572171.1</t>
  </si>
  <si>
    <t>XM_025940698.1</t>
  </si>
  <si>
    <t>NC_046903.1</t>
  </si>
  <si>
    <t>MZ567026.1</t>
  </si>
  <si>
    <t>CP015399.2</t>
  </si>
  <si>
    <t>MH744426.1</t>
  </si>
  <si>
    <t>KT716513.1</t>
  </si>
  <si>
    <t>XM_069754960.1</t>
  </si>
  <si>
    <t>PV656764.1</t>
  </si>
  <si>
    <t>NC_028182.1</t>
  </si>
  <si>
    <t>LN877293.1</t>
  </si>
  <si>
    <t>OQ043405.1</t>
  </si>
  <si>
    <t>NC_027953.1</t>
  </si>
  <si>
    <t>DQ329962.1</t>
  </si>
  <si>
    <t>PX311235.1</t>
  </si>
  <si>
    <t>OP035100.1</t>
  </si>
  <si>
    <t>CP103253.1</t>
  </si>
  <si>
    <t>MT276291.1</t>
  </si>
  <si>
    <t>PV720026.1</t>
  </si>
  <si>
    <t>OZ308544.1</t>
  </si>
  <si>
    <t>OQ043379.1</t>
  </si>
  <si>
    <t>KC823605.1</t>
  </si>
  <si>
    <t>FQ312004.1</t>
  </si>
  <si>
    <t>MZ593724.1</t>
  </si>
  <si>
    <t>NC_042249.1</t>
  </si>
  <si>
    <t>AP039554.1</t>
  </si>
  <si>
    <t>NC_024198.1</t>
  </si>
  <si>
    <t>AP019462.1</t>
  </si>
  <si>
    <t>KU031405.1</t>
  </si>
  <si>
    <t>MK078263.1</t>
  </si>
  <si>
    <t>MG251979.1</t>
  </si>
  <si>
    <t>OZ220464.1</t>
  </si>
  <si>
    <t>OQ043390.1</t>
  </si>
  <si>
    <t>NC_081037.1</t>
  </si>
  <si>
    <t>XM_062280988.1</t>
  </si>
  <si>
    <t>MT376179.1</t>
  </si>
  <si>
    <t>AP019423.1</t>
  </si>
  <si>
    <t>OZ220750.1</t>
  </si>
  <si>
    <t>MN356262.1</t>
  </si>
  <si>
    <t>PV170547.1</t>
  </si>
  <si>
    <t>AC117436.6</t>
  </si>
  <si>
    <t>GU353267.1</t>
  </si>
  <si>
    <t>AP014768.1</t>
  </si>
  <si>
    <t>JQ385623.2</t>
  </si>
  <si>
    <t>DQ256378.1</t>
  </si>
  <si>
    <t>KT211431.1</t>
  </si>
  <si>
    <t>CP012074.1</t>
  </si>
  <si>
    <t>GQ281579.1</t>
  </si>
  <si>
    <t>AP019429.1</t>
  </si>
  <si>
    <t>CP150307.1</t>
  </si>
  <si>
    <t>MT276294.1</t>
  </si>
  <si>
    <t>OZ297379.1</t>
  </si>
  <si>
    <t>OQ561756.1</t>
  </si>
  <si>
    <t>PV691884.1</t>
  </si>
  <si>
    <t>CP126064.1</t>
  </si>
  <si>
    <t>NC_027597.1</t>
  </si>
  <si>
    <t>AP019477.1</t>
  </si>
  <si>
    <t>XM_024088306.2</t>
  </si>
  <si>
    <t>OQ043397.1</t>
  </si>
  <si>
    <t>NC_009572.1</t>
  </si>
  <si>
    <t>AE017340.1</t>
  </si>
  <si>
    <t>NC_024750.1</t>
  </si>
  <si>
    <t>NC_015822.1</t>
  </si>
  <si>
    <t>CP048752.1</t>
  </si>
  <si>
    <t>MK078261.1</t>
  </si>
  <si>
    <t>PV423365.1</t>
  </si>
  <si>
    <t>XM_048384456.1</t>
  </si>
  <si>
    <t>KX817303.2</t>
  </si>
  <si>
    <t>MG251950.1</t>
  </si>
  <si>
    <t>OZ244048.1</t>
  </si>
  <si>
    <t>KX817305.2</t>
  </si>
  <si>
    <t>NC_086852.1</t>
  </si>
  <si>
    <t>CP041379.1</t>
  </si>
  <si>
    <t>MT276293.1</t>
  </si>
  <si>
    <t>NC_022499.1</t>
  </si>
  <si>
    <t>CP072370.1</t>
  </si>
  <si>
    <t>OR282507.1</t>
  </si>
  <si>
    <t>NC_025771.1</t>
  </si>
  <si>
    <t>CP103356.1</t>
  </si>
  <si>
    <t>MK078265.1</t>
  </si>
  <si>
    <t>NC_018562.1</t>
  </si>
  <si>
    <t>CP103188.1</t>
  </si>
  <si>
    <t>NC_051475.1</t>
  </si>
  <si>
    <t>MG251962.1</t>
  </si>
  <si>
    <t>XM_073764000.1</t>
  </si>
  <si>
    <t>MT376186.1</t>
  </si>
  <si>
    <t>AP019433.1</t>
  </si>
  <si>
    <t>CP103092.1</t>
  </si>
  <si>
    <t>OR242804.1</t>
  </si>
  <si>
    <t>OR786466.1</t>
  </si>
  <si>
    <t>CP003481.1</t>
  </si>
  <si>
    <t>OR269155.1</t>
  </si>
  <si>
    <t>MH301083.1</t>
  </si>
  <si>
    <t>XM_048384454.1</t>
  </si>
  <si>
    <t>KP313718.1</t>
  </si>
  <si>
    <t>AB011885.1</t>
  </si>
  <si>
    <t>AB915453.1</t>
  </si>
  <si>
    <t>AP019500.1</t>
  </si>
  <si>
    <t>CP103074.1</t>
  </si>
  <si>
    <t>MT017692.1</t>
  </si>
  <si>
    <t>OP882648.1</t>
  </si>
  <si>
    <t>OY968765.1</t>
  </si>
  <si>
    <t>OR282506.1</t>
  </si>
  <si>
    <t>AB915450.1</t>
  </si>
  <si>
    <t>OZ223189.1</t>
  </si>
  <si>
    <t>NC_066236.1</t>
  </si>
  <si>
    <t>AP019470.1</t>
  </si>
  <si>
    <t>XM_017267093.1</t>
  </si>
  <si>
    <t>NC_011198.1</t>
  </si>
  <si>
    <t>MK344191.1</t>
  </si>
  <si>
    <t>AC198640.1</t>
  </si>
  <si>
    <t>OQ043382.1</t>
  </si>
  <si>
    <t>AP019609.1</t>
  </si>
  <si>
    <t>AL161626.20</t>
  </si>
  <si>
    <t>MK213065.2</t>
  </si>
  <si>
    <t>AB378750.1</t>
  </si>
  <si>
    <t>XR_006035582.1</t>
  </si>
  <si>
    <t>AP013312.1</t>
  </si>
  <si>
    <t>KT211461.1</t>
  </si>
  <si>
    <t>CP134866.1</t>
  </si>
  <si>
    <t>EU755252.1</t>
  </si>
  <si>
    <t>AP019613.1</t>
  </si>
  <si>
    <t>XM_042114345.1</t>
  </si>
  <si>
    <t>PV357904.1</t>
  </si>
  <si>
    <t>MF621725.1</t>
  </si>
  <si>
    <t>BK023241.1</t>
  </si>
  <si>
    <t>KF751616.1</t>
  </si>
  <si>
    <t>NC_027971.1</t>
  </si>
  <si>
    <t>CP151956.1</t>
  </si>
  <si>
    <t>KC820796.1</t>
  </si>
  <si>
    <t>KT211457.1</t>
  </si>
  <si>
    <t>GQ264050.1</t>
  </si>
  <si>
    <t>OR575604.1</t>
  </si>
  <si>
    <t>KJ510416.1</t>
  </si>
  <si>
    <t>XM_052987255.1</t>
  </si>
  <si>
    <t>MT259180.1</t>
  </si>
  <si>
    <t>OM736829.1</t>
  </si>
  <si>
    <t>CP083676.1</t>
  </si>
  <si>
    <t>NC_011606.1</t>
  </si>
  <si>
    <t>XM_017784369.1</t>
  </si>
  <si>
    <t>KX276659.1</t>
  </si>
  <si>
    <t>KT211422.1</t>
  </si>
  <si>
    <t>CP102257.1</t>
  </si>
  <si>
    <t>NC_026453.1</t>
  </si>
  <si>
    <t>OP057031.2</t>
  </si>
  <si>
    <t>XM_071258394.1</t>
  </si>
  <si>
    <t>OR242800.1</t>
  </si>
  <si>
    <t>AP019464.1</t>
  </si>
  <si>
    <t>AY917453.1</t>
  </si>
  <si>
    <t>NC_020574.1</t>
  </si>
  <si>
    <t>AP012519.1</t>
  </si>
  <si>
    <t>CP188201.1</t>
  </si>
  <si>
    <t>OR269157.1</t>
  </si>
  <si>
    <t>AP012521.1</t>
  </si>
  <si>
    <t>CP103078.1</t>
  </si>
  <si>
    <t>MZ962673.1</t>
  </si>
  <si>
    <t>PV170549.1</t>
  </si>
  <si>
    <t>CP103091.1</t>
  </si>
  <si>
    <t>MH973732.1</t>
  </si>
  <si>
    <t>KT222937.1</t>
  </si>
  <si>
    <t>JQ385618.2</t>
  </si>
  <si>
    <t>OQ561754.1</t>
  </si>
  <si>
    <t>NC_016661.1</t>
  </si>
  <si>
    <t>CP114371.1</t>
  </si>
  <si>
    <t>MN720361.1</t>
  </si>
  <si>
    <t>MT628402.1</t>
  </si>
  <si>
    <t>XM_052890815.1</t>
  </si>
  <si>
    <t>NC_010089.1</t>
  </si>
  <si>
    <t>AP014733.1</t>
  </si>
  <si>
    <t>CP025612.1</t>
  </si>
  <si>
    <t>MK213068.2</t>
  </si>
  <si>
    <t>CP178179.1</t>
  </si>
  <si>
    <t>OM719702.1</t>
  </si>
  <si>
    <t>AP014795.1</t>
  </si>
  <si>
    <t>CP145091.1</t>
  </si>
  <si>
    <t>KJ778676.1</t>
  </si>
  <si>
    <t>CP042905.2</t>
  </si>
  <si>
    <t>AY098147.1</t>
  </si>
  <si>
    <t>OR703829.1</t>
  </si>
  <si>
    <t>CP103264.1</t>
  </si>
  <si>
    <t>MF069248.1</t>
  </si>
  <si>
    <t>AP010882.1</t>
  </si>
  <si>
    <t>CP005964.1</t>
  </si>
  <si>
    <t>OP056928.2</t>
  </si>
  <si>
    <t>AP014792.1</t>
  </si>
  <si>
    <t>OZ297374.1</t>
  </si>
  <si>
    <t>OQ043385.1</t>
  </si>
  <si>
    <t>NC_056698.1</t>
  </si>
  <si>
    <t>OZ035988.2</t>
  </si>
  <si>
    <t>PQ726986.1</t>
  </si>
  <si>
    <t>KT211427.1</t>
  </si>
  <si>
    <t>XM_024088225.2</t>
  </si>
  <si>
    <t>OR282510.1</t>
  </si>
  <si>
    <t>MH301072.1</t>
  </si>
  <si>
    <t>AP043705.1</t>
  </si>
  <si>
    <t>OQ043409.1</t>
  </si>
  <si>
    <t>XM_048384461.1</t>
  </si>
  <si>
    <t>MT376184.1</t>
  </si>
  <si>
    <t>KT211466.1</t>
  </si>
  <si>
    <t>CP047166.1</t>
  </si>
  <si>
    <t>NC_022424.1</t>
  </si>
  <si>
    <t>NC_039702.1</t>
  </si>
  <si>
    <t>CP103096.1</t>
  </si>
  <si>
    <t>FJ167857.1</t>
  </si>
  <si>
    <t>OP414775.1</t>
  </si>
  <si>
    <t>CP103083.1</t>
  </si>
  <si>
    <t>NC_017603.1</t>
  </si>
  <si>
    <t>KX346235.1</t>
  </si>
  <si>
    <t>CP103218.1</t>
  </si>
  <si>
    <t>OQ043394.1</t>
  </si>
  <si>
    <t>AP019435.1</t>
  </si>
  <si>
    <t>CP129606.2</t>
  </si>
  <si>
    <t>NC_018815.1</t>
  </si>
  <si>
    <t>AP019481.1</t>
  </si>
  <si>
    <t>OZ223292.1</t>
  </si>
  <si>
    <t>OQ043403.1</t>
  </si>
  <si>
    <t>MZ567027.1</t>
  </si>
  <si>
    <t>CP049902.1</t>
  </si>
  <si>
    <t>OQ043384.1</t>
  </si>
  <si>
    <t>NC_083025.1</t>
  </si>
  <si>
    <t>CP139162.1</t>
  </si>
  <si>
    <t>KF955012.1</t>
  </si>
  <si>
    <t>NC_056962.1</t>
  </si>
  <si>
    <t>CP012706.1</t>
  </si>
  <si>
    <t>KM081703.1</t>
  </si>
  <si>
    <t>AP019507.1</t>
  </si>
  <si>
    <t>CP069563.1</t>
  </si>
  <si>
    <t>KJ174513.1</t>
  </si>
  <si>
    <t>AB988904.1</t>
  </si>
  <si>
    <t>CP089538.1</t>
  </si>
  <si>
    <t>NC_007393.1</t>
  </si>
  <si>
    <t>PV170539.1</t>
  </si>
  <si>
    <t>CP047647.1</t>
  </si>
  <si>
    <t>NC_046915.1</t>
  </si>
  <si>
    <t>NC_011169.1</t>
  </si>
  <si>
    <t>CP131536.1</t>
  </si>
  <si>
    <t>OP056956.1</t>
  </si>
  <si>
    <t>NC_084074.1</t>
  </si>
  <si>
    <t>XM_017118309.2</t>
  </si>
  <si>
    <t>PV453997.1</t>
  </si>
  <si>
    <t>NC_021596.1</t>
  </si>
  <si>
    <t>LR903185.1</t>
  </si>
  <si>
    <t>NC_030584.1</t>
  </si>
  <si>
    <t>KT211463.1</t>
  </si>
  <si>
    <t>XM_011637039.2</t>
  </si>
  <si>
    <t>PV453996.1</t>
  </si>
  <si>
    <t>OP057028.1</t>
  </si>
  <si>
    <t>CP103082.1</t>
  </si>
  <si>
    <t>OQ561758.1</t>
  </si>
  <si>
    <t>MF621724.1</t>
  </si>
  <si>
    <t>CP065314.1</t>
  </si>
  <si>
    <t>OM719704.1</t>
  </si>
  <si>
    <t>XM_042114346.1</t>
  </si>
  <si>
    <t>MT410937.1</t>
  </si>
  <si>
    <t>OW121845.1</t>
  </si>
  <si>
    <t>CP103181.1</t>
  </si>
  <si>
    <t>OR242802.1</t>
  </si>
  <si>
    <t>OR552035.1</t>
  </si>
  <si>
    <t>OY762899.1</t>
  </si>
  <si>
    <t>OQ561757.1</t>
  </si>
  <si>
    <t>KT211464.1</t>
  </si>
  <si>
    <t>CP064940.1</t>
  </si>
  <si>
    <t>MK852689.1</t>
  </si>
  <si>
    <t>NC_087982.1</t>
  </si>
  <si>
    <t>CP103073.1</t>
  </si>
  <si>
    <t>NC_016987.1</t>
  </si>
  <si>
    <t>LC085154.1</t>
  </si>
  <si>
    <t>CP103158.1</t>
  </si>
  <si>
    <t>OQ043414.1</t>
  </si>
  <si>
    <t>LC780460.1</t>
  </si>
  <si>
    <t>CP073759.1</t>
  </si>
  <si>
    <t>OK094492.1</t>
  </si>
  <si>
    <t>LC646776.1</t>
  </si>
  <si>
    <t>XM_040886997.1</t>
  </si>
  <si>
    <t>OK094493.1</t>
  </si>
  <si>
    <t>MG251974.1</t>
  </si>
  <si>
    <t>XM_048384457.1</t>
  </si>
  <si>
    <t>OQ043426.1</t>
  </si>
  <si>
    <t>AP019471.1</t>
  </si>
  <si>
    <t>CP135920.1</t>
  </si>
  <si>
    <t>MW354666.1</t>
  </si>
  <si>
    <t>NC_025317.1</t>
  </si>
  <si>
    <t>XM_025707341.1</t>
  </si>
  <si>
    <t>MF069249.1</t>
  </si>
  <si>
    <t>MG751766.1</t>
  </si>
  <si>
    <t>XM_041692673.1</t>
  </si>
  <si>
    <t>PX070020.1</t>
  </si>
  <si>
    <t>MW423368.1</t>
  </si>
  <si>
    <t>CP046176.1</t>
  </si>
  <si>
    <t>NC_022418.1</t>
  </si>
  <si>
    <t>OP035194.1</t>
  </si>
  <si>
    <t>BK039377.1</t>
  </si>
  <si>
    <t>OR242805.1</t>
  </si>
  <si>
    <t>MK840862.1</t>
  </si>
  <si>
    <t>CP103225.1</t>
  </si>
  <si>
    <t>NC_019664.1</t>
  </si>
  <si>
    <t>AP019496.1</t>
  </si>
  <si>
    <t>CP022464.2</t>
  </si>
  <si>
    <t>OQ043423.1</t>
  </si>
  <si>
    <t>NC_027183.1</t>
  </si>
  <si>
    <t>OZ308543.1</t>
  </si>
  <si>
    <t>NC_031188.1</t>
  </si>
  <si>
    <t>PV170588.1</t>
  </si>
  <si>
    <t>AC004014.2</t>
  </si>
  <si>
    <t>OR701290.1</t>
  </si>
  <si>
    <t>NC_014060.1</t>
  </si>
  <si>
    <t>PX311242.1</t>
  </si>
  <si>
    <t>PX311229.1</t>
  </si>
  <si>
    <t>PX311228.1</t>
  </si>
  <si>
    <t>NC_004594.1</t>
  </si>
  <si>
    <t>NC_084244.1</t>
  </si>
  <si>
    <t>PP405424.1</t>
  </si>
  <si>
    <t>PQ210872.1</t>
  </si>
  <si>
    <t>NC_084242.1</t>
  </si>
  <si>
    <t>PV710298.1</t>
  </si>
  <si>
    <t>NC_082561.1</t>
  </si>
  <si>
    <t>PP033003.1</t>
  </si>
  <si>
    <t>AP042724.1</t>
  </si>
  <si>
    <t>NC_026110.1</t>
  </si>
  <si>
    <t>PV710310.1</t>
  </si>
  <si>
    <t>KR150863.1</t>
  </si>
  <si>
    <t>AP043225.1</t>
  </si>
  <si>
    <t>NC_009058.1</t>
  </si>
  <si>
    <t>OX638351.1</t>
  </si>
  <si>
    <t>OP035275.1</t>
  </si>
  <si>
    <t>NC_015611.1</t>
  </si>
  <si>
    <t>AP043580.1</t>
  </si>
  <si>
    <t>XM_035904153.1</t>
  </si>
  <si>
    <t>AC093157.2</t>
  </si>
  <si>
    <t>NC_056334.1</t>
  </si>
  <si>
    <t>NC_030272.1</t>
  </si>
  <si>
    <t>CP085426.1</t>
  </si>
  <si>
    <t>NC_084243.1</t>
  </si>
  <si>
    <t>OZ311017.1</t>
  </si>
  <si>
    <t>MH714706.1</t>
  </si>
  <si>
    <t>XM_049808316.1</t>
  </si>
  <si>
    <t>NC_033546.1</t>
  </si>
  <si>
    <t>AL023586.1</t>
  </si>
  <si>
    <t>NC_025555.1</t>
  </si>
  <si>
    <t>NC_011177.1</t>
  </si>
  <si>
    <t>OP035191.1</t>
  </si>
  <si>
    <t>CP011378.1</t>
  </si>
  <si>
    <t>NC_015618.1</t>
  </si>
  <si>
    <t>XM_069789204.1</t>
  </si>
  <si>
    <t>CP011376.1</t>
  </si>
  <si>
    <t>KT340680.1</t>
  </si>
  <si>
    <t>OQ868373.1</t>
  </si>
  <si>
    <t>OZ311218.1</t>
  </si>
  <si>
    <t>KT340678.1</t>
  </si>
  <si>
    <t>XM_069789205.1</t>
  </si>
  <si>
    <t>XM_055498310.1</t>
  </si>
  <si>
    <t>KT340679.1</t>
  </si>
  <si>
    <t>XM_067018157.1</t>
  </si>
  <si>
    <t>KT340675.1</t>
  </si>
  <si>
    <t>OY764894.2</t>
  </si>
  <si>
    <t>KT340676.1</t>
  </si>
  <si>
    <t>XM_052801942.1</t>
  </si>
  <si>
    <t>XM_069766001.1</t>
  </si>
  <si>
    <t>KT340677.1</t>
  </si>
  <si>
    <t>OC202524.1</t>
  </si>
  <si>
    <t>LR701661.1</t>
  </si>
  <si>
    <t>KT340674.1</t>
  </si>
  <si>
    <t>XM_030031884.2</t>
  </si>
  <si>
    <t>XM_069766003.1</t>
  </si>
  <si>
    <t>XM_020369867.1</t>
  </si>
  <si>
    <t>XM_052801935.1</t>
  </si>
  <si>
    <t>XM_069766002.1</t>
  </si>
  <si>
    <t>XM_044007292.1</t>
  </si>
  <si>
    <t>XM_049808321.1</t>
  </si>
  <si>
    <t>CP006571.1</t>
  </si>
  <si>
    <t>NC_031582.1</t>
  </si>
  <si>
    <t>XM_052801948.1</t>
  </si>
  <si>
    <t>XM_069766000.1</t>
  </si>
  <si>
    <t>CP015163.1</t>
  </si>
  <si>
    <t>XM_052801941.1</t>
  </si>
  <si>
    <t>CP002879.1</t>
  </si>
  <si>
    <t>AP011980.1</t>
  </si>
  <si>
    <t>XM_059042890.2</t>
  </si>
  <si>
    <t>XM_069766004.1</t>
  </si>
  <si>
    <t>KR061357.1</t>
  </si>
  <si>
    <t>XM_069789195.1</t>
  </si>
  <si>
    <t>CP012685.1</t>
  </si>
  <si>
    <t>AL137061.12</t>
  </si>
  <si>
    <t>OE334223.1</t>
  </si>
  <si>
    <t>AC007146.15</t>
  </si>
  <si>
    <t>CP034516.1</t>
  </si>
  <si>
    <t>LN227105.1</t>
  </si>
  <si>
    <t>XM_016740579.1</t>
  </si>
  <si>
    <t>CP062790.1</t>
  </si>
  <si>
    <t>CP012748.1</t>
  </si>
  <si>
    <t>XM_018013936.1</t>
  </si>
  <si>
    <t>OC038339.1</t>
  </si>
  <si>
    <t>XM_049808322.1</t>
  </si>
  <si>
    <t>CP013349.1</t>
  </si>
  <si>
    <t>XM_045740861.2</t>
  </si>
  <si>
    <t>XM_030031883.2</t>
  </si>
  <si>
    <t>CP193792.1</t>
  </si>
  <si>
    <t>XM_055988968.1</t>
  </si>
  <si>
    <t>XM_069789198.1</t>
  </si>
  <si>
    <t>XM_064849468.1</t>
  </si>
  <si>
    <t>XM_069323618.1</t>
  </si>
  <si>
    <t>XM_030031881.2</t>
  </si>
  <si>
    <t>CP011071.1</t>
  </si>
  <si>
    <t>XM_069323620.1</t>
  </si>
  <si>
    <t>XM_052801938.1</t>
  </si>
  <si>
    <t>XM_069323616.1</t>
  </si>
  <si>
    <t>XM_030031873.2</t>
  </si>
  <si>
    <t>CP026103.1</t>
  </si>
  <si>
    <t>XM_028314459.1</t>
  </si>
  <si>
    <t>PP577918.1</t>
  </si>
  <si>
    <t>MF621710.1</t>
  </si>
  <si>
    <t>CP041242.1</t>
  </si>
  <si>
    <t>OZ078412.1</t>
  </si>
  <si>
    <t>OM736879.1</t>
  </si>
  <si>
    <t>XM_069323615.1</t>
  </si>
  <si>
    <t>XM_030031878.2</t>
  </si>
  <si>
    <t>NC_039423.1</t>
  </si>
  <si>
    <t>XM_058153329.1</t>
  </si>
  <si>
    <t>XM_030031877.2</t>
  </si>
  <si>
    <t>NC_056399.1</t>
  </si>
  <si>
    <t>CP168970.1</t>
  </si>
  <si>
    <t>OZ296915.1</t>
  </si>
  <si>
    <t>XM_059311853.1</t>
  </si>
  <si>
    <t>HG999682.4</t>
  </si>
  <si>
    <t>CP015960.1</t>
  </si>
  <si>
    <t>AP035879.1</t>
  </si>
  <si>
    <t>OP056853.2</t>
  </si>
  <si>
    <t>MF621711.1</t>
  </si>
  <si>
    <t>NC_011578.1</t>
  </si>
  <si>
    <t>OM736834.1</t>
  </si>
  <si>
    <t>BT070767.1</t>
  </si>
  <si>
    <t>MH119954.1</t>
  </si>
  <si>
    <t>NC_011361.1</t>
  </si>
  <si>
    <t>AP029059.1</t>
  </si>
  <si>
    <t>AP003266.3</t>
  </si>
  <si>
    <t>XM_016184765.3</t>
  </si>
  <si>
    <t>CP160486.1</t>
  </si>
  <si>
    <t>CP116341.1</t>
  </si>
  <si>
    <t>PX311230.1</t>
  </si>
  <si>
    <t>XM_037965386.1</t>
  </si>
  <si>
    <t>CP073682.1</t>
  </si>
  <si>
    <t>CP126121.1</t>
  </si>
  <si>
    <t>EF083603.1</t>
  </si>
  <si>
    <t>XM_049808318.1</t>
  </si>
  <si>
    <t>CP065405.1</t>
  </si>
  <si>
    <t>NC_024835.1</t>
  </si>
  <si>
    <t>CP011512.1</t>
  </si>
  <si>
    <t>NM_001259061.1</t>
  </si>
  <si>
    <t>CP007656.1</t>
  </si>
  <si>
    <t>XM_052801936.1</t>
  </si>
  <si>
    <t>CP013104.1</t>
  </si>
  <si>
    <t>OZ310792.1</t>
  </si>
  <si>
    <t>CP017968.3</t>
  </si>
  <si>
    <t>PX311225.1</t>
  </si>
  <si>
    <t>OD049998.1</t>
  </si>
  <si>
    <t>XM_069789203.1</t>
  </si>
  <si>
    <t>XM_015160045.1</t>
  </si>
  <si>
    <t>XM_030527964.1</t>
  </si>
  <si>
    <t>XM_030031885.2</t>
  </si>
  <si>
    <t>PX311231.1</t>
  </si>
  <si>
    <t>XM_029022811.1</t>
  </si>
  <si>
    <t>XM_069789201.1</t>
  </si>
  <si>
    <t>OK623663.1</t>
  </si>
  <si>
    <t>XM_002292666.1</t>
  </si>
  <si>
    <t>OZ311024.1</t>
  </si>
  <si>
    <t>OR552094.1</t>
  </si>
  <si>
    <t>XM_037965384.1</t>
  </si>
  <si>
    <t>AK070390.1</t>
  </si>
  <si>
    <t>CP095053.1</t>
  </si>
  <si>
    <t>CP160485.1</t>
  </si>
  <si>
    <t>XM_049808324.1</t>
  </si>
  <si>
    <t>NC_042259.1</t>
  </si>
  <si>
    <t>XM_007512130.1</t>
  </si>
  <si>
    <t>XM_052801933.1</t>
  </si>
  <si>
    <t>AC008138.5</t>
  </si>
  <si>
    <t>BT114939.1</t>
  </si>
  <si>
    <t>CP102865.1</t>
  </si>
  <si>
    <t>OZ030368.2</t>
  </si>
  <si>
    <t>XM_062770151.1</t>
  </si>
  <si>
    <t>CP006941.2</t>
  </si>
  <si>
    <t>AP031387.1</t>
  </si>
  <si>
    <t>OZ276490.1</t>
  </si>
  <si>
    <t>NC_022479.1</t>
  </si>
  <si>
    <t>XM_016363549.1</t>
  </si>
  <si>
    <t>XM_037965387.1</t>
  </si>
  <si>
    <t>XM_049808314.1</t>
  </si>
  <si>
    <t>OY748513.1</t>
  </si>
  <si>
    <t>CP160487.1</t>
  </si>
  <si>
    <t>XM_069789206.1</t>
  </si>
  <si>
    <t>AP040380.1</t>
  </si>
  <si>
    <t>CP160490.1</t>
  </si>
  <si>
    <t>XM_052801949.1</t>
  </si>
  <si>
    <t>CP175670.1</t>
  </si>
  <si>
    <t>XR_001915183.2</t>
  </si>
  <si>
    <t>XM_041128171.1</t>
  </si>
  <si>
    <t>KU701241.1</t>
  </si>
  <si>
    <t>OC000953.1</t>
  </si>
  <si>
    <t>XM_030031882.2</t>
  </si>
  <si>
    <t>CP083931.1</t>
  </si>
  <si>
    <t>CP160491.1</t>
  </si>
  <si>
    <t>XM_030031875.2</t>
  </si>
  <si>
    <t>AP023176.1</t>
  </si>
  <si>
    <t>OZ078373.2</t>
  </si>
  <si>
    <t>XM_052801950.1</t>
  </si>
  <si>
    <t>OZ310798.1</t>
  </si>
  <si>
    <t>CP160488.1</t>
  </si>
  <si>
    <t>XM_030031874.2</t>
  </si>
  <si>
    <t>LR134440.1</t>
  </si>
  <si>
    <t>OZ310470.1</t>
  </si>
  <si>
    <t>XM_067018158.1</t>
  </si>
  <si>
    <t>CP020452.2</t>
  </si>
  <si>
    <t>XM_040808183.1</t>
  </si>
  <si>
    <t>XM_052579840.1</t>
  </si>
  <si>
    <t>CP118932.1</t>
  </si>
  <si>
    <t>OZ248322.1</t>
  </si>
  <si>
    <t>AP027385.1</t>
  </si>
  <si>
    <t>XM_055854367.1</t>
  </si>
  <si>
    <t>OZ078618.2</t>
  </si>
  <si>
    <t>CP097771.3</t>
  </si>
  <si>
    <t>OZ223184.1</t>
  </si>
  <si>
    <t>XM_008894188.1</t>
  </si>
  <si>
    <t>XM_059042889.2</t>
  </si>
  <si>
    <t>OZ310683.1</t>
  </si>
  <si>
    <t>AP010358.1</t>
  </si>
  <si>
    <t>XM_052801943.1</t>
  </si>
  <si>
    <t>CP146980.1</t>
  </si>
  <si>
    <t>CP160484.1</t>
  </si>
  <si>
    <t>XM_049808315.1</t>
  </si>
  <si>
    <t>CP027018.1</t>
  </si>
  <si>
    <t>OY762463.1</t>
  </si>
  <si>
    <t>PV170561.1</t>
  </si>
  <si>
    <t>OY760498.1</t>
  </si>
  <si>
    <t>XM_037965385.1</t>
  </si>
  <si>
    <t>XM_052801944.1</t>
  </si>
  <si>
    <t>CP059567.1</t>
  </si>
  <si>
    <t>OZ311062.1</t>
  </si>
  <si>
    <t>XM_052801947.1</t>
  </si>
  <si>
    <t>CP054692.1</t>
  </si>
  <si>
    <t>CP160489.1</t>
  </si>
  <si>
    <t>CP151651.1</t>
  </si>
  <si>
    <t>CP028150.1</t>
  </si>
  <si>
    <t>BX842648.2</t>
  </si>
  <si>
    <t>XM_069789202.1</t>
  </si>
  <si>
    <t>CP145811.1</t>
  </si>
  <si>
    <t>OE179217.1</t>
  </si>
  <si>
    <t>OP035241.1</t>
  </si>
  <si>
    <t>CP050954.1</t>
  </si>
  <si>
    <t>CP002930.1</t>
  </si>
  <si>
    <t>AP003246.3</t>
  </si>
  <si>
    <t>CP071249.1</t>
  </si>
  <si>
    <t>XM_056466286.1</t>
  </si>
  <si>
    <t>CP085392.1</t>
  </si>
  <si>
    <t>CP042818.1</t>
  </si>
  <si>
    <t>OZ251545.1</t>
  </si>
  <si>
    <t>XM_049808313.1</t>
  </si>
  <si>
    <t>OZ277587.1</t>
  </si>
  <si>
    <t>XM_024727943.1</t>
  </si>
  <si>
    <t>XM_052801946.1</t>
  </si>
  <si>
    <t>CP071251.1</t>
  </si>
  <si>
    <t>OZ035025.1</t>
  </si>
  <si>
    <t>OP035293.1</t>
  </si>
  <si>
    <t>CP094242.1</t>
  </si>
  <si>
    <t>XM_006419741.2</t>
  </si>
  <si>
    <t>XM_049808320.1</t>
  </si>
  <si>
    <t>OY829980.1</t>
  </si>
  <si>
    <t>XM_037711114.2</t>
  </si>
  <si>
    <t>CP132974.1</t>
  </si>
  <si>
    <t>OZ246005.1</t>
  </si>
  <si>
    <t>XM_057667193.1</t>
  </si>
  <si>
    <t>XM_069789207.1</t>
  </si>
  <si>
    <t>XM_016363550.1</t>
  </si>
  <si>
    <t>XM_057667192.1</t>
  </si>
  <si>
    <t>XM_049808319.1</t>
  </si>
  <si>
    <t>AP027394.1</t>
  </si>
  <si>
    <t>XM_008894189.1</t>
  </si>
  <si>
    <t>XM_030031886.2</t>
  </si>
  <si>
    <t>CP091509.1</t>
  </si>
  <si>
    <t>XM_025102826.2</t>
  </si>
  <si>
    <t>NM_001424262.1</t>
  </si>
  <si>
    <t>OZ241740.1</t>
  </si>
  <si>
    <t>XM_021109772.1</t>
  </si>
  <si>
    <t>OZ180151.1</t>
  </si>
  <si>
    <t>OD567480.1</t>
  </si>
  <si>
    <t>XM_006489227.4</t>
  </si>
  <si>
    <t>XM_052801940.1</t>
  </si>
  <si>
    <t>OC001792.1</t>
  </si>
  <si>
    <t>OZ276499.1</t>
  </si>
  <si>
    <t>XM_069789196.1</t>
  </si>
  <si>
    <t>OZ310794.1</t>
  </si>
  <si>
    <t>OZ078449.1</t>
  </si>
  <si>
    <t>XM_024297834.2</t>
  </si>
  <si>
    <t>XM_058494644.1</t>
  </si>
  <si>
    <t>XM_025816558.3</t>
  </si>
  <si>
    <t>OC267096.1</t>
  </si>
  <si>
    <t>OZ251217.1</t>
  </si>
  <si>
    <t>XM_024182019.1</t>
  </si>
  <si>
    <t>XM_024297835.2</t>
  </si>
  <si>
    <t>CP013476.1</t>
  </si>
  <si>
    <t>XM_063748875.1</t>
  </si>
  <si>
    <t>GU586227.1</t>
  </si>
  <si>
    <t>OZ245791.1</t>
  </si>
  <si>
    <t>XM_057600878.1</t>
  </si>
  <si>
    <t>NC_088499.1</t>
  </si>
  <si>
    <t>LR134313.1</t>
  </si>
  <si>
    <t>OA564400.1</t>
  </si>
  <si>
    <t>OZ078331.2</t>
  </si>
  <si>
    <t>OD550191.1</t>
  </si>
  <si>
    <t>XM_016316220.2</t>
  </si>
  <si>
    <t>XM_041793041.1</t>
  </si>
  <si>
    <t>OZ257253.1</t>
  </si>
  <si>
    <t>AP007572.2</t>
  </si>
  <si>
    <t>OZ251426.1</t>
  </si>
  <si>
    <t>CP042814.1</t>
  </si>
  <si>
    <t>OZ248323.1</t>
  </si>
  <si>
    <t>XM_052801937.1</t>
  </si>
  <si>
    <t>OA565721.1</t>
  </si>
  <si>
    <t>MN885502.1</t>
  </si>
  <si>
    <t>XM_052801939.1</t>
  </si>
  <si>
    <t>CP058241.1</t>
  </si>
  <si>
    <t>XM_044035376.1</t>
  </si>
  <si>
    <t>OE318293.1</t>
  </si>
  <si>
    <t>OZ311064.1</t>
  </si>
  <si>
    <t>CP191479.1</t>
  </si>
  <si>
    <t>XM_049808317.1</t>
  </si>
  <si>
    <t>OZ248528.1</t>
  </si>
  <si>
    <t>XM_046490810.2</t>
  </si>
  <si>
    <t>OP056934.1</t>
  </si>
  <si>
    <t>OE708155.1</t>
  </si>
  <si>
    <t>OZ035024.1</t>
  </si>
  <si>
    <t>NC_083052.1</t>
  </si>
  <si>
    <t>OZ277622.1</t>
  </si>
  <si>
    <t>NC_081034.1</t>
  </si>
  <si>
    <t>XM_052579839.1</t>
  </si>
  <si>
    <t>CP106855.1</t>
  </si>
  <si>
    <t>XM_046953948.1</t>
  </si>
  <si>
    <t>XM_069789197.1</t>
  </si>
  <si>
    <t>CP146983.1</t>
  </si>
  <si>
    <t>CP100130.1</t>
  </si>
  <si>
    <t>PV170559.1</t>
  </si>
  <si>
    <t>XM_016363548.1</t>
  </si>
  <si>
    <t>PQ899170.1</t>
  </si>
  <si>
    <t>XM_030031879.2</t>
  </si>
  <si>
    <t>OE180622.1</t>
  </si>
  <si>
    <t>MW194078.1</t>
  </si>
  <si>
    <t>XM_052292472.1</t>
  </si>
  <si>
    <t>AP028998.1</t>
  </si>
  <si>
    <t>CP099950.1</t>
  </si>
  <si>
    <t>OZ311082.1</t>
  </si>
  <si>
    <t>CP016499.1</t>
  </si>
  <si>
    <t>CP197412.1</t>
  </si>
  <si>
    <t>XM_069789200.1</t>
  </si>
  <si>
    <t>OY748421.1</t>
  </si>
  <si>
    <t>CP104098.1</t>
  </si>
  <si>
    <t>PV170558.1</t>
  </si>
  <si>
    <t>OZ277588.1</t>
  </si>
  <si>
    <t>XM_037971751.1</t>
  </si>
  <si>
    <t>XM_052337411.1</t>
  </si>
  <si>
    <t>CP182808.1</t>
  </si>
  <si>
    <t>XM_074624524.1</t>
  </si>
  <si>
    <t>XM_044144291.1</t>
  </si>
  <si>
    <t>AP043769.1</t>
  </si>
  <si>
    <t>XM_070285412.1</t>
  </si>
  <si>
    <t>XM_058974055.1</t>
  </si>
  <si>
    <t>CP042816.1</t>
  </si>
  <si>
    <t>XM_061696408.1</t>
  </si>
  <si>
    <t>XM_074778982.1</t>
  </si>
  <si>
    <t>CP157824.1</t>
  </si>
  <si>
    <t>OZ310916.1</t>
  </si>
  <si>
    <t>XM_058974046.1</t>
  </si>
  <si>
    <t>PP530899.1</t>
  </si>
  <si>
    <t>XM_069829516.1</t>
  </si>
  <si>
    <t>OZ310812.1</t>
  </si>
  <si>
    <t>XM_034108734.2</t>
  </si>
  <si>
    <t>XM_067999204.1</t>
  </si>
  <si>
    <t>CP018573.1</t>
  </si>
  <si>
    <t>XM_034108735.2</t>
  </si>
  <si>
    <t>CP168771.1</t>
  </si>
  <si>
    <t>AP025292.1</t>
  </si>
  <si>
    <t>XM_049452971.1</t>
  </si>
  <si>
    <t>OZ035034.1</t>
  </si>
  <si>
    <t>OC261638.1</t>
  </si>
  <si>
    <t>XM_061988904.1</t>
  </si>
  <si>
    <t>CP045854.1</t>
  </si>
  <si>
    <t>XM_058267295.1</t>
  </si>
  <si>
    <t>XM_069829522.1</t>
  </si>
  <si>
    <t>OD000611.1</t>
  </si>
  <si>
    <t>CP089301.1</t>
  </si>
  <si>
    <t>OZ310885.1</t>
  </si>
  <si>
    <t>XM_061650497.1</t>
  </si>
  <si>
    <t>XM_073985612.1</t>
  </si>
  <si>
    <t>XM_059795609.1</t>
  </si>
  <si>
    <t>CP026107.1</t>
  </si>
  <si>
    <t>PQ822237.1</t>
  </si>
  <si>
    <t>XM_067999202.1</t>
  </si>
  <si>
    <t>OZ255705.1</t>
  </si>
  <si>
    <t>CP021247.1</t>
  </si>
  <si>
    <t>XM_024579039.3</t>
  </si>
  <si>
    <t>XM_071224787.1</t>
  </si>
  <si>
    <t>CP073683.1</t>
  </si>
  <si>
    <t>XM_055399068.1</t>
  </si>
  <si>
    <t>OZ310802.1</t>
  </si>
  <si>
    <t>XM_054221120.1</t>
  </si>
  <si>
    <t>OR811177.1</t>
  </si>
  <si>
    <t>XM_069829519.1</t>
  </si>
  <si>
    <t>OY969810.1</t>
  </si>
  <si>
    <t>CP109538.1</t>
  </si>
  <si>
    <t>OZ311194.1</t>
  </si>
  <si>
    <t>LR130778.1</t>
  </si>
  <si>
    <t>AP023187.1</t>
  </si>
  <si>
    <t>NG_207199.1</t>
  </si>
  <si>
    <t>XM_020910988.2</t>
  </si>
  <si>
    <t>XM_069829514.1</t>
  </si>
  <si>
    <t>XM_061650479.1</t>
  </si>
  <si>
    <t>MN885516.1</t>
  </si>
  <si>
    <t>OZ310466.1</t>
  </si>
  <si>
    <t>XM_041920785.1</t>
  </si>
  <si>
    <t>MN885501.1</t>
  </si>
  <si>
    <t>XM_052337412.1</t>
  </si>
  <si>
    <t>CP042817.1</t>
  </si>
  <si>
    <t>XM_062777720.1</t>
  </si>
  <si>
    <t>XM_069829515.1</t>
  </si>
  <si>
    <t>XM_024886103.1</t>
  </si>
  <si>
    <t>OY970260.1</t>
  </si>
  <si>
    <t>OZ276498.1</t>
  </si>
  <si>
    <t>XM_070378777.1</t>
  </si>
  <si>
    <t>OL809651.1</t>
  </si>
  <si>
    <t>OZ273914.1</t>
  </si>
  <si>
    <t>XM_044926484.2</t>
  </si>
  <si>
    <t>CP076287.1</t>
  </si>
  <si>
    <t>XR_009305353.1</t>
  </si>
  <si>
    <t>XM_041920793.1</t>
  </si>
  <si>
    <t>CP071637.1</t>
  </si>
  <si>
    <t>OZ078460.1</t>
  </si>
  <si>
    <t>OC277308.1</t>
  </si>
  <si>
    <t>MN885514.1</t>
  </si>
  <si>
    <t>CP176366.1</t>
  </si>
  <si>
    <t>CP118686.1</t>
  </si>
  <si>
    <t>MW192047.1</t>
  </si>
  <si>
    <t>OZ287940.1</t>
  </si>
  <si>
    <t>CP181055.1</t>
  </si>
  <si>
    <t>XM_076967082.1</t>
  </si>
  <si>
    <t>XM_046023025.1</t>
  </si>
  <si>
    <t>CP082319.1</t>
  </si>
  <si>
    <t>OZ290780.1</t>
  </si>
  <si>
    <t>NC_041677.1</t>
  </si>
  <si>
    <t>XM_024601654.2</t>
  </si>
  <si>
    <t>OZ310624.1</t>
  </si>
  <si>
    <t>XM_058937858.1</t>
  </si>
  <si>
    <t>OZ274305.1</t>
  </si>
  <si>
    <t>CP036281.1</t>
  </si>
  <si>
    <t>XM_045408673.1</t>
  </si>
  <si>
    <t>XM_067174092.1</t>
  </si>
  <si>
    <t>LT990688.1</t>
  </si>
  <si>
    <t>CP137582.1</t>
  </si>
  <si>
    <t>XM_069825207.1</t>
  </si>
  <si>
    <t>CP126084.1</t>
  </si>
  <si>
    <t>XM_063548854.1</t>
  </si>
  <si>
    <t>XM_067999201.1</t>
  </si>
  <si>
    <t>OC157062.1</t>
  </si>
  <si>
    <t>CP085843.1</t>
  </si>
  <si>
    <t>OZ310929.1</t>
  </si>
  <si>
    <t>XM_037492930.2</t>
  </si>
  <si>
    <t>XM_053098447.1</t>
  </si>
  <si>
    <t>OZ311867.1</t>
  </si>
  <si>
    <t>OY820613.1</t>
  </si>
  <si>
    <t>XM_050478379.1</t>
  </si>
  <si>
    <t>OZ273945.1</t>
  </si>
  <si>
    <t>XM_040317045.1</t>
  </si>
  <si>
    <t>XM_050682717.1</t>
  </si>
  <si>
    <t>XM_068849979.1</t>
  </si>
  <si>
    <t>OB793016.1</t>
  </si>
  <si>
    <t>MN885496.1</t>
  </si>
  <si>
    <t>OZ311354.1</t>
  </si>
  <si>
    <t>CP059564.1</t>
  </si>
  <si>
    <t>MN885515.1</t>
  </si>
  <si>
    <t>LC783615.1</t>
  </si>
  <si>
    <t>XM_070799507.1</t>
  </si>
  <si>
    <t>MN885503.1</t>
  </si>
  <si>
    <t>NC_083179.1</t>
  </si>
  <si>
    <t>CP091519.2</t>
  </si>
  <si>
    <t>CP064379.1</t>
  </si>
  <si>
    <t>MW232422.1</t>
  </si>
  <si>
    <t>LT158599.1</t>
  </si>
  <si>
    <t>OZ206514.1</t>
  </si>
  <si>
    <t>PV170545.1</t>
  </si>
  <si>
    <t>XM_047040760.1</t>
  </si>
  <si>
    <t>OZ241890.1</t>
  </si>
  <si>
    <t>OD000121.1</t>
  </si>
  <si>
    <t>XM_061696407.1</t>
  </si>
  <si>
    <t>XM_054139225.1</t>
  </si>
  <si>
    <t>CP024939.1</t>
  </si>
  <si>
    <t>XR_012832293.1</t>
  </si>
  <si>
    <t>OZ310684.1</t>
  </si>
  <si>
    <t>CP146598.1</t>
  </si>
  <si>
    <t>NC_041678.1</t>
  </si>
  <si>
    <t>XM_073985614.1</t>
  </si>
  <si>
    <t>XM_023890559.3</t>
  </si>
  <si>
    <t>XM_058937859.1</t>
  </si>
  <si>
    <t>OZ078464.1</t>
  </si>
  <si>
    <t>CP123991.1</t>
  </si>
  <si>
    <t>XM_318273.5</t>
  </si>
  <si>
    <t>OZ277625.1</t>
  </si>
  <si>
    <t>OZ310497.1</t>
  </si>
  <si>
    <t>XM_055541488.1</t>
  </si>
  <si>
    <t>XM_073985618.1</t>
  </si>
  <si>
    <t>XM_069154033.1</t>
  </si>
  <si>
    <t>OZ310933.1</t>
  </si>
  <si>
    <t>MN885495.1</t>
  </si>
  <si>
    <t>XM_067999196.1</t>
  </si>
  <si>
    <t>XM_029063741.2</t>
  </si>
  <si>
    <t>CP171643.1</t>
  </si>
  <si>
    <t>XM_069829521.1</t>
  </si>
  <si>
    <t>XM_043916525.1</t>
  </si>
  <si>
    <t>XM_058322410.1</t>
  </si>
  <si>
    <t>XM_058974057.1</t>
  </si>
  <si>
    <t>XM_074161390.1</t>
  </si>
  <si>
    <t>XM_058644479.1</t>
  </si>
  <si>
    <t>XM_042647632.1</t>
  </si>
  <si>
    <t>LT629702.1</t>
  </si>
  <si>
    <t>CP072782.1</t>
  </si>
  <si>
    <t>XM_072516826.1</t>
  </si>
  <si>
    <t>XM_040373037.2</t>
  </si>
  <si>
    <t>CP082303.1</t>
  </si>
  <si>
    <t>OZ311072.1</t>
  </si>
  <si>
    <t>CP098824.1</t>
  </si>
  <si>
    <t>XM_023180644.2</t>
  </si>
  <si>
    <t>PV662077.1</t>
  </si>
  <si>
    <t>XM_040317046.1</t>
  </si>
  <si>
    <t>MT437356.1</t>
  </si>
  <si>
    <t>OZ251424.1</t>
  </si>
  <si>
    <t>XM_012721332.1</t>
  </si>
  <si>
    <t>XM_063385060.1</t>
  </si>
  <si>
    <t>XM_058974044.1</t>
  </si>
  <si>
    <t>CP168769.1</t>
  </si>
  <si>
    <t>OZ248320.1</t>
  </si>
  <si>
    <t>OZ276489.1</t>
  </si>
  <si>
    <t>AP028202.1</t>
  </si>
  <si>
    <t>MN885504.1</t>
  </si>
  <si>
    <t>XM_072096900.1</t>
  </si>
  <si>
    <t>XM_061433959.1</t>
  </si>
  <si>
    <t>XM_046725280.1</t>
  </si>
  <si>
    <t>XM_076750783.1</t>
  </si>
  <si>
    <t>CP031416.1</t>
  </si>
  <si>
    <t>OZ078619.2</t>
  </si>
  <si>
    <t>XM_067518843.1</t>
  </si>
  <si>
    <t>XM_014946318.1</t>
  </si>
  <si>
    <t>PX072006.1</t>
  </si>
  <si>
    <t>XM_043866679.1</t>
  </si>
  <si>
    <t>XM_074608653.1</t>
  </si>
  <si>
    <t>XM_056420544.1</t>
  </si>
  <si>
    <t>OP035096.1</t>
  </si>
  <si>
    <t>CP157825.1</t>
  </si>
  <si>
    <t>XM_017120352.2</t>
  </si>
  <si>
    <t>XM_067999200.1</t>
  </si>
  <si>
    <t>XM_061154336.1</t>
  </si>
  <si>
    <t>XM_061696409.1</t>
  </si>
  <si>
    <t>OZ273943.1</t>
  </si>
  <si>
    <t>CP042815.1</t>
  </si>
  <si>
    <t>XM_041039400.1</t>
  </si>
  <si>
    <t>XM_060668019.1</t>
  </si>
  <si>
    <t>CP197397.1</t>
  </si>
  <si>
    <t>XM_050858242.1</t>
  </si>
  <si>
    <t>OZ311865.1</t>
  </si>
  <si>
    <t>XM_055541489.1</t>
  </si>
  <si>
    <t>OZ078374.2</t>
  </si>
  <si>
    <t>XM_074702112.1</t>
  </si>
  <si>
    <t>HF933217.1</t>
  </si>
  <si>
    <t>XM_070844629.1</t>
  </si>
  <si>
    <t>XM_067184955.1</t>
  </si>
  <si>
    <t>AP024957.1</t>
  </si>
  <si>
    <t>XM_050478380.1</t>
  </si>
  <si>
    <t>XM_056254892.1</t>
  </si>
  <si>
    <t>XM_019971056.2</t>
  </si>
  <si>
    <t>XM_075732126.1</t>
  </si>
  <si>
    <t>XM_060668021.1</t>
  </si>
  <si>
    <t>XM_023600156.2</t>
  </si>
  <si>
    <t>XM_058974053.1</t>
  </si>
  <si>
    <t>CP031394.1</t>
  </si>
  <si>
    <t>XM_042368536.1</t>
  </si>
  <si>
    <t>CP136522.1</t>
  </si>
  <si>
    <t>XM_027556660.1</t>
  </si>
  <si>
    <t>XM_062115757.1</t>
  </si>
  <si>
    <t>PP316125.1</t>
  </si>
  <si>
    <t>XM_061650487.1</t>
  </si>
  <si>
    <t>OZ274346.1</t>
  </si>
  <si>
    <t>XM_067166841.1</t>
  </si>
  <si>
    <t>NC_086952.1</t>
  </si>
  <si>
    <t>OZ078400.2</t>
  </si>
  <si>
    <t>XM_010198418.2</t>
  </si>
  <si>
    <t>LR134516.1</t>
  </si>
  <si>
    <t>XM_076638651.1</t>
  </si>
  <si>
    <t>OZ248329.1</t>
  </si>
  <si>
    <t>XM_040373047.2</t>
  </si>
  <si>
    <t>CP199582.1</t>
  </si>
  <si>
    <t>XM_032977329.2</t>
  </si>
  <si>
    <t>OA565462.1</t>
  </si>
  <si>
    <t>OC993459.1</t>
  </si>
  <si>
    <t>OZ181335.1</t>
  </si>
  <si>
    <t>CP157822.1</t>
  </si>
  <si>
    <t>OQ424517.1</t>
  </si>
  <si>
    <t>XM_058974049.1</t>
  </si>
  <si>
    <t>CP178563.1</t>
  </si>
  <si>
    <t>OZ310784.1</t>
  </si>
  <si>
    <t>XM_067999194.1</t>
  </si>
  <si>
    <t>XM_061650493.1</t>
  </si>
  <si>
    <t>OZ286402.1</t>
  </si>
  <si>
    <t>OA568470.1</t>
  </si>
  <si>
    <t>CP090551.1</t>
  </si>
  <si>
    <t>OZ243919.1</t>
  </si>
  <si>
    <t>OZ274327.1</t>
  </si>
  <si>
    <t>MZ489591.1</t>
  </si>
  <si>
    <t>OZ311190.1</t>
  </si>
  <si>
    <t>CP109486.1</t>
  </si>
  <si>
    <t>OZ310710.1</t>
  </si>
  <si>
    <t>XM_040373053.2</t>
  </si>
  <si>
    <t>OQ034843.1</t>
  </si>
  <si>
    <t>XM_069829518.1</t>
  </si>
  <si>
    <t>NC_041675.1</t>
  </si>
  <si>
    <t>XM_050983773.1</t>
  </si>
  <si>
    <t>OZ311273.1</t>
  </si>
  <si>
    <t>OC001150.1</t>
  </si>
  <si>
    <t>OQ034867.1</t>
  </si>
  <si>
    <t>XM_077395223.1</t>
  </si>
  <si>
    <t>OZ274236.1</t>
  </si>
  <si>
    <t>XM_062662023.1</t>
  </si>
  <si>
    <t>XM_062362941.1</t>
  </si>
  <si>
    <t>XM_061650476.1</t>
  </si>
  <si>
    <t>CP184834.1</t>
  </si>
  <si>
    <t>XM_027556661.1</t>
  </si>
  <si>
    <t>AP023185.1</t>
  </si>
  <si>
    <t>OZ291537.1</t>
  </si>
  <si>
    <t>CP059566.1</t>
  </si>
  <si>
    <t>XM_060951155.1</t>
  </si>
  <si>
    <t>LC783638.1</t>
  </si>
  <si>
    <t>CP042813.1</t>
  </si>
  <si>
    <t>CP071840.1</t>
  </si>
  <si>
    <t>XM_058238870.1</t>
  </si>
  <si>
    <t>NC_041673.1</t>
  </si>
  <si>
    <t>CP082307.1</t>
  </si>
  <si>
    <t>XM_050297182.1</t>
  </si>
  <si>
    <t>CP094241.1</t>
  </si>
  <si>
    <t>OZ078385.2</t>
  </si>
  <si>
    <t>OZ035023.1</t>
  </si>
  <si>
    <t>OE485846.1</t>
  </si>
  <si>
    <t>XM_018596767.2</t>
  </si>
  <si>
    <t>CP139975.1</t>
  </si>
  <si>
    <t>XM_055541490.1</t>
  </si>
  <si>
    <t>CP192055.1</t>
  </si>
  <si>
    <t>XM_008377565.4</t>
  </si>
  <si>
    <t>OZ311412.1</t>
  </si>
  <si>
    <t>CP128204.1</t>
  </si>
  <si>
    <t>OZ311416.1</t>
  </si>
  <si>
    <t>XM_044926485.2</t>
  </si>
  <si>
    <t>OZ296917.1</t>
  </si>
  <si>
    <t>XM_042547112.1</t>
  </si>
  <si>
    <t>OZ276505.1</t>
  </si>
  <si>
    <t>OZ066679.1</t>
  </si>
  <si>
    <t>XM_058974051.1</t>
  </si>
  <si>
    <t>OZ310448.1</t>
  </si>
  <si>
    <t>XM_018596768.2</t>
  </si>
  <si>
    <t>OZ311871.1</t>
  </si>
  <si>
    <t>AP029615.1</t>
  </si>
  <si>
    <t>XM_050983778.1</t>
  </si>
  <si>
    <t>XM_047477911.1</t>
  </si>
  <si>
    <t>CP071250.1</t>
  </si>
  <si>
    <t>CP162907.1</t>
  </si>
  <si>
    <t>XM_058974052.1</t>
  </si>
  <si>
    <t>XM_055399069.1</t>
  </si>
  <si>
    <t>OQ034838.1</t>
  </si>
  <si>
    <t>XM_067999195.1</t>
  </si>
  <si>
    <t>OE184669.1</t>
  </si>
  <si>
    <t>XR_007779569.1</t>
  </si>
  <si>
    <t>XM_067999203.1</t>
  </si>
  <si>
    <t>CP026113.1</t>
  </si>
  <si>
    <t>CP118930.1</t>
  </si>
  <si>
    <t>NC_083184.1</t>
  </si>
  <si>
    <t>XM_006076060.4</t>
  </si>
  <si>
    <t>XM_051820445.2</t>
  </si>
  <si>
    <t>XM_054214930.1</t>
  </si>
  <si>
    <t>CP119521.1</t>
  </si>
  <si>
    <t>PV170543.1</t>
  </si>
  <si>
    <t>OZ245808.1</t>
  </si>
  <si>
    <t>PQ283854.1</t>
  </si>
  <si>
    <t>OZ276476.1</t>
  </si>
  <si>
    <t>NC_056897.1</t>
  </si>
  <si>
    <t>CP107783.1</t>
  </si>
  <si>
    <t>XM_065928189.1</t>
  </si>
  <si>
    <t>OQ034849.1</t>
  </si>
  <si>
    <t>XM_072516735.1</t>
  </si>
  <si>
    <t>NC_041676.1</t>
  </si>
  <si>
    <t>OQ034797.1</t>
  </si>
  <si>
    <t>XM_069829517.1</t>
  </si>
  <si>
    <t>XM_064948453.1</t>
  </si>
  <si>
    <t>CP192762.1</t>
  </si>
  <si>
    <t>XM_063018687.1</t>
  </si>
  <si>
    <t>CP199767.1</t>
  </si>
  <si>
    <t>CP108198.1</t>
  </si>
  <si>
    <t>XM_077395224.1</t>
  </si>
  <si>
    <t>NC_041674.1</t>
  </si>
  <si>
    <t>XM_068806175.1</t>
  </si>
  <si>
    <t>KM658973 = NC_026109.1</t>
  </si>
  <si>
    <t>HM067614 = NC_014060.1</t>
  </si>
  <si>
    <r>
      <t xml:space="preserve">Table S20 - </t>
    </r>
    <r>
      <rPr>
        <sz val="12"/>
        <color theme="1"/>
        <rFont val="Aptos Narrow"/>
        <scheme val="minor"/>
      </rPr>
      <t>Correspondence between mtDNA genotype and whole genome assignment (from Ciezarek et al. 2022; Ciezarek et al. 2024).</t>
    </r>
  </si>
  <si>
    <r>
      <rPr>
        <b/>
        <sz val="12"/>
        <color theme="1"/>
        <rFont val="Aptos Narrow"/>
        <scheme val="minor"/>
      </rPr>
      <t>Table S19</t>
    </r>
    <r>
      <rPr>
        <sz val="12"/>
        <color theme="1"/>
        <rFont val="Aptos Narrow"/>
        <scheme val="minor"/>
      </rPr>
      <t xml:space="preserve"> - Summary data used for mapping, by site</t>
    </r>
  </si>
  <si>
    <r>
      <rPr>
        <b/>
        <sz val="12"/>
        <color theme="1"/>
        <rFont val="Aptos Narrow"/>
      </rPr>
      <t>Table 18</t>
    </r>
    <r>
      <rPr>
        <sz val="12"/>
        <color theme="1"/>
        <rFont val="Aptos Narrow"/>
      </rPr>
      <t xml:space="preserve"> - Summary data used for mapping, by water body</t>
    </r>
  </si>
  <si>
    <r>
      <rPr>
        <b/>
        <sz val="11"/>
        <color theme="1"/>
        <rFont val="Arial"/>
        <family val="2"/>
      </rPr>
      <t>Table S17</t>
    </r>
    <r>
      <rPr>
        <sz val="11"/>
        <color theme="1"/>
        <rFont val="Arial"/>
        <family val="2"/>
      </rPr>
      <t xml:space="preserve"> - Average number or copies per l of sampled water for each species, and estimated percentage of eDNA comprised by each of the three species.</t>
    </r>
  </si>
  <si>
    <r>
      <t xml:space="preserve">Table S13 </t>
    </r>
    <r>
      <rPr>
        <sz val="11"/>
        <color theme="1"/>
        <rFont val="Arial"/>
        <family val="2"/>
        <charset val="1"/>
      </rPr>
      <t>- qPCR cross-amplification results using synthetic DNA standards</t>
    </r>
  </si>
  <si>
    <r>
      <t xml:space="preserve">Table S12 </t>
    </r>
    <r>
      <rPr>
        <sz val="11"/>
        <color theme="1"/>
        <rFont val="Arial"/>
        <family val="2"/>
        <charset val="1"/>
      </rPr>
      <t>- O. leucostictus qPCR results, including use in occupancy modelling analyses</t>
    </r>
  </si>
  <si>
    <r>
      <t xml:space="preserve">Table S11 </t>
    </r>
    <r>
      <rPr>
        <sz val="11"/>
        <color theme="1"/>
        <rFont val="Arial"/>
        <family val="2"/>
        <charset val="1"/>
      </rPr>
      <t>- O. urolepis qPCR results, including use in occupancy modelling analyses</t>
    </r>
  </si>
  <si>
    <r>
      <t xml:space="preserve">Table S10 </t>
    </r>
    <r>
      <rPr>
        <sz val="11"/>
        <color theme="1"/>
        <rFont val="Arial"/>
        <family val="2"/>
        <charset val="1"/>
      </rPr>
      <t>- O. niloticus qPCR results, including use in occupancy modelling analyses</t>
    </r>
  </si>
  <si>
    <r>
      <t xml:space="preserve">Table S9 </t>
    </r>
    <r>
      <rPr>
        <sz val="11"/>
        <color theme="1"/>
        <rFont val="Arial"/>
        <family val="2"/>
        <charset val="1"/>
      </rPr>
      <t>- Individual fish collected from sampling locations and genotyped using mtDNA</t>
    </r>
  </si>
  <si>
    <r>
      <t>Table S8</t>
    </r>
    <r>
      <rPr>
        <sz val="12"/>
        <color theme="1"/>
        <rFont val="Aptos Narrow"/>
        <family val="2"/>
        <charset val="1"/>
      </rPr>
      <t xml:space="preserve"> - Sampling locations</t>
    </r>
    <r>
      <rPr>
        <sz val="12"/>
        <color theme="1"/>
        <rFont val="Aptos Narrow"/>
      </rPr>
      <t xml:space="preserve"> where eDNA (and fish) were collected</t>
    </r>
  </si>
  <si>
    <r>
      <t xml:space="preserve">Table S7 </t>
    </r>
    <r>
      <rPr>
        <sz val="11"/>
        <color theme="1"/>
        <rFont val="Arial"/>
        <family val="2"/>
        <charset val="1"/>
      </rPr>
      <t>- Oligonucleotide standards used for quantification standards</t>
    </r>
  </si>
  <si>
    <r>
      <rPr>
        <b/>
        <sz val="12"/>
        <color theme="1"/>
        <rFont val="Aptos Narrow"/>
      </rPr>
      <t>Table S6 -</t>
    </r>
    <r>
      <rPr>
        <sz val="12"/>
        <color theme="1"/>
        <rFont val="Aptos Narrow"/>
      </rPr>
      <t xml:space="preserve"> In silico primer/probe efficiency data. Predicted amplifications are highlighted in red. Only sequences that had primerEfficiency &gt;0 or probeEfficiency &gt;0 are shown.  Note: We consider NC_009057.1 and AP009126 to be possess O. niloticus mtDNA (see Fig. S1). We consider NC_026109.1 (=KM658973) to possess O. leucostictus mtDNA, based on a phylogenetic analysis comparing this mitogenome sequence to those of expert-identified purebreds (NoHybridMitoset, of Ciezarek et al. 2024,  Molecular Biology and Evolution, 41, msae116). We consider NC_014060.1 (HM067614) to possess O. urolepis mtDNA, based on a phylogenetic analysis comparing this mitogenome sequence to those of expert-identified purebreds (NoHybridMitoset, of Ciezarek et al. 2024,  Molecular Biology and Evolution, 41, msae116).</t>
    </r>
  </si>
  <si>
    <r>
      <rPr>
        <b/>
        <sz val="11"/>
        <color theme="1"/>
        <rFont val="Arial"/>
        <family val="2"/>
      </rPr>
      <t>Table S5 -</t>
    </r>
    <r>
      <rPr>
        <sz val="11"/>
        <color theme="1"/>
        <rFont val="Arial"/>
        <family val="2"/>
      </rPr>
      <t xml:space="preserve"> NCBI BLAST nucleotide search results oligonucleotide sequences for qPCR primers and hydrolysis probes (blue = target species, red = congeneric species). Note, we consider NC_014060.1 to possess O. urolepis mtDNA, based on a phylogenetic analysis comparing this mitogenome sequence to those of expert-identified purebreds (NoHybridMitoset, of Ciezarek et al. 2024,  Molecular Biology and Evolution, 41, msae116).</t>
    </r>
  </si>
  <si>
    <r>
      <rPr>
        <b/>
        <sz val="11"/>
        <color theme="1"/>
        <rFont val="Arial"/>
        <family val="2"/>
      </rPr>
      <t>Table S4 -</t>
    </r>
    <r>
      <rPr>
        <sz val="11"/>
        <color theme="1"/>
        <rFont val="Arial"/>
        <family val="2"/>
      </rPr>
      <t xml:space="preserve"> NCBI BLAST nucleotide search results oligonucleotide sequences for qPCR primers and hydrolysis probes (blue = target species, red = congeneric species). Note, we consider NC_026109.1 to possess O. leucostictus mtDNA, based on a phylogenetic analysis comparing this mitogenome sequence to those of expert-identified purebreds (NoHybridMitoset, of Ciezarek et al. 2024,  Molecular Biology and Evolution, 41, msae116).</t>
    </r>
  </si>
  <si>
    <r>
      <rPr>
        <b/>
        <sz val="11"/>
        <color theme="1"/>
        <rFont val="Arial"/>
        <family val="2"/>
      </rPr>
      <t xml:space="preserve">Table S14 </t>
    </r>
    <r>
      <rPr>
        <sz val="11"/>
        <color theme="1"/>
        <rFont val="Arial"/>
        <family val="2"/>
      </rPr>
      <t>- O. niloticus qPCR results, including use in occupancy modelling analyses. See Table S8 for event detail.</t>
    </r>
  </si>
  <si>
    <r>
      <rPr>
        <b/>
        <sz val="11"/>
        <color theme="1"/>
        <rFont val="Arial"/>
        <family val="2"/>
      </rPr>
      <t xml:space="preserve">Table S15 </t>
    </r>
    <r>
      <rPr>
        <sz val="11"/>
        <color theme="1"/>
        <rFont val="Arial"/>
        <family val="2"/>
      </rPr>
      <t>- O. urolepis qPCR results, including use in occupancy modelling analyses.  See Table S8 for event detail.</t>
    </r>
  </si>
  <si>
    <r>
      <rPr>
        <b/>
        <sz val="11"/>
        <color theme="1"/>
        <rFont val="Arial"/>
        <family val="2"/>
      </rPr>
      <t xml:space="preserve">Table S16 </t>
    </r>
    <r>
      <rPr>
        <sz val="11"/>
        <color theme="1"/>
        <rFont val="Arial"/>
        <family val="2"/>
      </rPr>
      <t>- O. leucostictus qPCR results, including use in occupancy modelling analyses.  See Table S8 for event detail.</t>
    </r>
  </si>
  <si>
    <t>LOC01</t>
  </si>
  <si>
    <t>LOC02</t>
  </si>
  <si>
    <t>LOC03</t>
  </si>
  <si>
    <t>LOC04</t>
  </si>
  <si>
    <t>LOC05</t>
  </si>
  <si>
    <t>LOC06</t>
  </si>
  <si>
    <t>LOC07</t>
  </si>
  <si>
    <t>LOC08</t>
  </si>
  <si>
    <t>LOC09</t>
  </si>
  <si>
    <t>LOC10</t>
  </si>
  <si>
    <t>LOC11</t>
  </si>
  <si>
    <t>LOC12</t>
  </si>
  <si>
    <t>LOC13</t>
  </si>
  <si>
    <t>LOC14</t>
  </si>
  <si>
    <t>LOC15</t>
  </si>
  <si>
    <t>LOC16</t>
  </si>
  <si>
    <t>LOC17</t>
  </si>
  <si>
    <t>LOC18</t>
  </si>
  <si>
    <t>LOC19</t>
  </si>
  <si>
    <t>LOC20</t>
  </si>
  <si>
    <t>LOC21</t>
  </si>
  <si>
    <t>LOC22</t>
  </si>
  <si>
    <t>LOC23</t>
  </si>
  <si>
    <t>LOC24</t>
  </si>
  <si>
    <t>LOC25</t>
  </si>
  <si>
    <t>LOC26</t>
  </si>
  <si>
    <t>LOC27</t>
  </si>
  <si>
    <t>LOC28</t>
  </si>
  <si>
    <t>LOC29</t>
  </si>
  <si>
    <t>LOC30</t>
  </si>
  <si>
    <t>LOC31</t>
  </si>
  <si>
    <t>LOC32</t>
  </si>
  <si>
    <t>LOC01-A</t>
  </si>
  <si>
    <t>LOC01-B</t>
  </si>
  <si>
    <t>LOC01-C</t>
  </si>
  <si>
    <t>LOC02-A</t>
  </si>
  <si>
    <t>LOC02-B</t>
  </si>
  <si>
    <t>LOC02-C</t>
  </si>
  <si>
    <t>LOC03-A</t>
  </si>
  <si>
    <t>LOC04-A</t>
  </si>
  <si>
    <t>LOC05-A</t>
  </si>
  <si>
    <t>LOC05-B</t>
  </si>
  <si>
    <t>LOC05-C</t>
  </si>
  <si>
    <t>LOC06-A</t>
  </si>
  <si>
    <t>LOC07-A</t>
  </si>
  <si>
    <t>LOC08-A</t>
  </si>
  <si>
    <t>LOC09-A</t>
  </si>
  <si>
    <t>LOC10-A</t>
  </si>
  <si>
    <t>LOC11-A</t>
  </si>
  <si>
    <t>LOC11-B</t>
  </si>
  <si>
    <t>LOC12-A</t>
  </si>
  <si>
    <t>LOC14-A</t>
  </si>
  <si>
    <t>LOC15-A</t>
  </si>
  <si>
    <t>LOC13-A</t>
  </si>
  <si>
    <t>LOC16-A</t>
  </si>
  <si>
    <t>LOC17-A</t>
  </si>
  <si>
    <t>LOC18-A</t>
  </si>
  <si>
    <t>LOC19-A</t>
  </si>
  <si>
    <t>LOC20-A</t>
  </si>
  <si>
    <t>LOC01-D</t>
  </si>
  <si>
    <t>LOC01-E</t>
  </si>
  <si>
    <t>LOC21-A</t>
  </si>
  <si>
    <t>LOC21-B</t>
  </si>
  <si>
    <t>LOC22-A</t>
  </si>
  <si>
    <t>LOC22-B</t>
  </si>
  <si>
    <t>LOC22-C</t>
  </si>
  <si>
    <t>LOC23-A</t>
  </si>
  <si>
    <t>LOC23-B</t>
  </si>
  <si>
    <t>LOC24-A</t>
  </si>
  <si>
    <t>LOC24-B</t>
  </si>
  <si>
    <t>LOC25-A</t>
  </si>
  <si>
    <t>LOC25-B</t>
  </si>
  <si>
    <t>LOC26-A</t>
  </si>
  <si>
    <t>LOC26-B</t>
  </si>
  <si>
    <t>LOC27-A</t>
  </si>
  <si>
    <t>LOC28-A</t>
  </si>
  <si>
    <t>LOC28-B</t>
  </si>
  <si>
    <t>LOC28-C</t>
  </si>
  <si>
    <t>LOC29-A</t>
  </si>
  <si>
    <t>LOC29-B</t>
  </si>
  <si>
    <t>LOC30-A</t>
  </si>
  <si>
    <t>LOC31-A</t>
  </si>
  <si>
    <t>LOC32-A</t>
  </si>
  <si>
    <t>LOC32-B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</si>
</sst>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b/>
      <sz val="12"/>
      <color theme="1"/>
      <name val="Aptos Narrow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i/>
      <sz val="11"/>
      <color theme="1"/>
      <name val="Arial"/>
      <family val="2"/>
      <charset val="1"/>
    </font>
    <font>
      <i/>
      <sz val="12"/>
      <color theme="1"/>
      <name val="Aptos Narrow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Courier New"/>
      <family val="3"/>
      <charset val="1"/>
    </font>
    <font>
      <sz val="12"/>
      <color theme="1"/>
      <name val="Aptos Narrow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FF0000"/>
      <name val="Aptos Narrow"/>
      <scheme val="min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2"/>
      <color theme="5" tint="-0.249977111117893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1"/>
      <color theme="7"/>
      <name val="Arial"/>
      <family val="2"/>
    </font>
    <font>
      <sz val="11"/>
      <color rgb="FFC00000"/>
      <name val="Arial"/>
      <family val="2"/>
    </font>
    <font>
      <sz val="12"/>
      <color rgb="FFFF0000"/>
      <name val="Aptos Narrow"/>
      <family val="2"/>
      <charset val="1"/>
    </font>
    <font>
      <sz val="12"/>
      <color theme="9"/>
      <name val="Aptos Narrow"/>
      <family val="2"/>
      <charset val="1"/>
    </font>
    <font>
      <sz val="12"/>
      <color rgb="FFFFC000"/>
      <name val="Aptos Narrow"/>
      <family val="2"/>
      <charset val="1"/>
    </font>
    <font>
      <sz val="12"/>
      <color rgb="FFFF0000"/>
      <name val="Aptos Narrow"/>
    </font>
    <font>
      <b/>
      <sz val="12"/>
      <color rgb="FFFF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9" tint="0.79989013336588644"/>
        <bgColor rgb="FFC2F1C8"/>
      </patternFill>
    </fill>
    <fill>
      <patternFill patternType="solid">
        <fgColor theme="7" tint="0.79989013336588644"/>
        <bgColor rgb="FFD9F2D0"/>
      </patternFill>
    </fill>
    <fill>
      <patternFill patternType="solid">
        <fgColor theme="6" tint="0.79989013336588644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C2F1C8"/>
      </patternFill>
    </fill>
    <fill>
      <patternFill patternType="solid">
        <fgColor theme="4" tint="0.79998168889431442"/>
        <bgColor rgb="FFD9F2D0"/>
      </patternFill>
    </fill>
    <fill>
      <patternFill patternType="solid">
        <fgColor theme="9" tint="0.79998168889431442"/>
        <bgColor rgb="FFD9F2D0"/>
      </patternFill>
    </fill>
    <fill>
      <patternFill patternType="solid">
        <fgColor theme="9" tint="0.79998168889431442"/>
        <bgColor rgb="FFC2F1C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9" fillId="3" borderId="0" xfId="0" applyFont="1" applyFill="1" applyAlignment="1">
      <alignment horizontal="left"/>
    </xf>
    <xf numFmtId="14" fontId="9" fillId="3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4" borderId="0" xfId="0" applyFont="1" applyFill="1" applyAlignment="1">
      <alignment horizontal="left"/>
    </xf>
    <xf numFmtId="14" fontId="9" fillId="4" borderId="0" xfId="0" applyNumberFormat="1" applyFont="1" applyFill="1" applyAlignment="1">
      <alignment horizontal="left"/>
    </xf>
    <xf numFmtId="3" fontId="0" fillId="0" borderId="0" xfId="0" applyNumberFormat="1"/>
    <xf numFmtId="4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applyFont="1" applyAlignment="1">
      <alignment vertical="top" wrapText="1"/>
    </xf>
    <xf numFmtId="3" fontId="2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wrapText="1"/>
    </xf>
    <xf numFmtId="0" fontId="6" fillId="0" borderId="0" xfId="0" applyFont="1"/>
    <xf numFmtId="0" fontId="9" fillId="0" borderId="0" xfId="0" applyFont="1" applyAlignment="1">
      <alignment horizontal="left"/>
    </xf>
    <xf numFmtId="0" fontId="12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5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/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9" fontId="0" fillId="0" borderId="0" xfId="0" applyNumberForma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5" fillId="0" borderId="0" xfId="0" applyFont="1"/>
    <xf numFmtId="0" fontId="23" fillId="0" borderId="0" xfId="0" applyFont="1"/>
    <xf numFmtId="9" fontId="14" fillId="0" borderId="0" xfId="0" applyNumberFormat="1" applyFont="1"/>
    <xf numFmtId="0" fontId="23" fillId="0" borderId="0" xfId="0" applyFont="1" applyAlignment="1">
      <alignment horizontal="left"/>
    </xf>
    <xf numFmtId="9" fontId="14" fillId="0" borderId="0" xfId="0" applyNumberFormat="1" applyFont="1" applyAlignment="1">
      <alignment horizontal="left"/>
    </xf>
    <xf numFmtId="0" fontId="14" fillId="0" borderId="0" xfId="0" quotePrefix="1" applyFont="1" applyAlignment="1">
      <alignment horizontal="left"/>
    </xf>
    <xf numFmtId="0" fontId="24" fillId="0" borderId="0" xfId="0" applyFont="1"/>
    <xf numFmtId="0" fontId="15" fillId="0" borderId="0" xfId="0" applyFont="1" applyAlignment="1">
      <alignment horizontal="left"/>
    </xf>
    <xf numFmtId="0" fontId="9" fillId="0" borderId="0" xfId="0" applyFont="1"/>
    <xf numFmtId="0" fontId="9" fillId="6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9" fillId="8" borderId="0" xfId="0" applyFont="1" applyFill="1" applyAlignment="1">
      <alignment horizontal="left"/>
    </xf>
    <xf numFmtId="14" fontId="9" fillId="8" borderId="0" xfId="0" applyNumberFormat="1" applyFont="1" applyFill="1" applyAlignment="1">
      <alignment horizontal="left"/>
    </xf>
    <xf numFmtId="0" fontId="9" fillId="9" borderId="0" xfId="0" applyFont="1" applyFill="1" applyAlignment="1">
      <alignment horizontal="left"/>
    </xf>
    <xf numFmtId="14" fontId="9" fillId="6" borderId="0" xfId="0" applyNumberFormat="1" applyFont="1" applyFill="1" applyAlignment="1">
      <alignment horizontal="left"/>
    </xf>
    <xf numFmtId="0" fontId="25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9" fillId="10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9" fillId="11" borderId="0" xfId="0" applyFont="1" applyFill="1" applyAlignment="1">
      <alignment horizontal="left"/>
    </xf>
    <xf numFmtId="11" fontId="0" fillId="0" borderId="0" xfId="0" applyNumberFormat="1" applyAlignment="1">
      <alignment horizontal="left"/>
    </xf>
    <xf numFmtId="0" fontId="0" fillId="11" borderId="0" xfId="0" applyFill="1" applyAlignment="1">
      <alignment horizontal="left"/>
    </xf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F2D0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zoomScale="80" zoomScaleNormal="80" workbookViewId="0"/>
  </sheetViews>
  <sheetFormatPr baseColWidth="10" defaultColWidth="11" defaultRowHeight="15.75" customHeight="1" x14ac:dyDescent="0.15"/>
  <cols>
    <col min="1" max="1" width="30.6640625" style="41" customWidth="1"/>
    <col min="2" max="2" width="19" style="41" customWidth="1"/>
    <col min="3" max="3" width="23.6640625" style="41" customWidth="1"/>
    <col min="4" max="4" width="40.6640625" style="41" customWidth="1"/>
    <col min="5" max="5" width="29.6640625" style="41" customWidth="1"/>
    <col min="6" max="6" width="20.1640625" style="41" customWidth="1"/>
    <col min="7" max="16384" width="11" style="41"/>
  </cols>
  <sheetData>
    <row r="1" spans="1:6" ht="14" x14ac:dyDescent="0.15">
      <c r="A1" s="51" t="s">
        <v>6330</v>
      </c>
    </row>
    <row r="3" spans="1:6" ht="14" x14ac:dyDescent="0.15">
      <c r="A3" s="51" t="s">
        <v>0</v>
      </c>
      <c r="B3" s="51" t="s">
        <v>1</v>
      </c>
      <c r="C3" s="51" t="s">
        <v>2</v>
      </c>
      <c r="D3" s="51" t="s">
        <v>3</v>
      </c>
      <c r="E3" s="51" t="s">
        <v>4</v>
      </c>
      <c r="F3" s="51" t="s">
        <v>5</v>
      </c>
    </row>
    <row r="4" spans="1:6" ht="14" x14ac:dyDescent="0.15">
      <c r="A4" s="41" t="s">
        <v>6</v>
      </c>
      <c r="B4" s="41" t="s">
        <v>7</v>
      </c>
      <c r="C4" s="41" t="s">
        <v>8</v>
      </c>
      <c r="D4" s="41" t="s">
        <v>9</v>
      </c>
      <c r="E4" s="41" t="s">
        <v>10</v>
      </c>
      <c r="F4" s="41" t="s">
        <v>1494</v>
      </c>
    </row>
    <row r="5" spans="1:6" ht="14" x14ac:dyDescent="0.15">
      <c r="A5" s="41" t="s">
        <v>6</v>
      </c>
      <c r="B5" s="41" t="s">
        <v>12</v>
      </c>
      <c r="C5" s="41" t="s">
        <v>8</v>
      </c>
      <c r="D5" s="41" t="s">
        <v>9</v>
      </c>
      <c r="E5" s="41" t="s">
        <v>10</v>
      </c>
      <c r="F5" s="41" t="s">
        <v>1494</v>
      </c>
    </row>
    <row r="6" spans="1:6" ht="14" x14ac:dyDescent="0.15">
      <c r="A6" s="41" t="s">
        <v>6</v>
      </c>
      <c r="B6" s="41" t="s">
        <v>13</v>
      </c>
      <c r="C6" s="41" t="s">
        <v>8</v>
      </c>
      <c r="D6" s="41" t="s">
        <v>14</v>
      </c>
      <c r="E6" s="41" t="s">
        <v>15</v>
      </c>
      <c r="F6" s="41" t="s">
        <v>1494</v>
      </c>
    </row>
    <row r="7" spans="1:6" ht="14" x14ac:dyDescent="0.15">
      <c r="A7" s="41" t="s">
        <v>6</v>
      </c>
      <c r="B7" s="41" t="s">
        <v>16</v>
      </c>
      <c r="C7" s="41" t="s">
        <v>8</v>
      </c>
      <c r="D7" s="41" t="s">
        <v>17</v>
      </c>
      <c r="E7" s="41" t="s">
        <v>15</v>
      </c>
      <c r="F7" s="41" t="s">
        <v>1494</v>
      </c>
    </row>
    <row r="8" spans="1:6" ht="14" x14ac:dyDescent="0.15">
      <c r="A8" s="41" t="s">
        <v>6</v>
      </c>
      <c r="B8" s="41" t="s">
        <v>18</v>
      </c>
      <c r="C8" s="41" t="s">
        <v>8</v>
      </c>
      <c r="D8" s="41" t="s">
        <v>19</v>
      </c>
      <c r="E8" s="41" t="s">
        <v>15</v>
      </c>
      <c r="F8" s="41" t="s">
        <v>1494</v>
      </c>
    </row>
    <row r="9" spans="1:6" ht="14" x14ac:dyDescent="0.15">
      <c r="A9" s="41" t="s">
        <v>6</v>
      </c>
      <c r="B9" s="41" t="s">
        <v>20</v>
      </c>
      <c r="C9" s="41" t="s">
        <v>8</v>
      </c>
      <c r="D9" s="41" t="s">
        <v>15</v>
      </c>
      <c r="E9" s="41" t="s">
        <v>15</v>
      </c>
      <c r="F9" s="41" t="s">
        <v>11</v>
      </c>
    </row>
    <row r="10" spans="1:6" ht="14" x14ac:dyDescent="0.15">
      <c r="A10" s="41" t="s">
        <v>6</v>
      </c>
      <c r="B10" s="41" t="s">
        <v>21</v>
      </c>
      <c r="C10" s="41" t="s">
        <v>8</v>
      </c>
      <c r="D10" s="41" t="s">
        <v>15</v>
      </c>
      <c r="E10" s="41" t="s">
        <v>15</v>
      </c>
      <c r="F10" s="41" t="s">
        <v>11</v>
      </c>
    </row>
    <row r="11" spans="1:6" ht="14" x14ac:dyDescent="0.15">
      <c r="A11" s="41" t="s">
        <v>22</v>
      </c>
      <c r="B11" s="41" t="s">
        <v>23</v>
      </c>
      <c r="C11" s="41" t="s">
        <v>8</v>
      </c>
      <c r="D11" s="41" t="s">
        <v>24</v>
      </c>
      <c r="E11" s="41" t="s">
        <v>24</v>
      </c>
      <c r="F11" s="41" t="s">
        <v>11</v>
      </c>
    </row>
    <row r="12" spans="1:6" ht="14" x14ac:dyDescent="0.15">
      <c r="A12" s="41" t="s">
        <v>6</v>
      </c>
      <c r="B12" s="41" t="s">
        <v>25</v>
      </c>
      <c r="C12" s="41" t="s">
        <v>8</v>
      </c>
      <c r="D12" s="41" t="s">
        <v>26</v>
      </c>
      <c r="E12" s="41" t="s">
        <v>10</v>
      </c>
      <c r="F12" s="41" t="s">
        <v>1494</v>
      </c>
    </row>
    <row r="13" spans="1:6" ht="14" x14ac:dyDescent="0.15">
      <c r="A13" s="41" t="s">
        <v>6</v>
      </c>
      <c r="B13" s="41" t="s">
        <v>27</v>
      </c>
      <c r="C13" s="41" t="s">
        <v>8</v>
      </c>
      <c r="D13" s="41" t="s">
        <v>26</v>
      </c>
      <c r="E13" s="41" t="s">
        <v>10</v>
      </c>
      <c r="F13" s="41" t="s">
        <v>1494</v>
      </c>
    </row>
    <row r="14" spans="1:6" ht="14" x14ac:dyDescent="0.15">
      <c r="A14" s="41" t="s">
        <v>6</v>
      </c>
      <c r="B14" s="41" t="s">
        <v>28</v>
      </c>
      <c r="C14" s="41" t="s">
        <v>8</v>
      </c>
      <c r="D14" s="41" t="s">
        <v>29</v>
      </c>
      <c r="E14" s="41" t="s">
        <v>29</v>
      </c>
      <c r="F14" s="41" t="s">
        <v>11</v>
      </c>
    </row>
    <row r="15" spans="1:6" ht="14" x14ac:dyDescent="0.15">
      <c r="A15" s="41" t="s">
        <v>22</v>
      </c>
      <c r="B15" s="41" t="s">
        <v>30</v>
      </c>
      <c r="C15" s="41" t="s">
        <v>8</v>
      </c>
      <c r="D15" s="41" t="s">
        <v>31</v>
      </c>
      <c r="E15" s="41" t="s">
        <v>31</v>
      </c>
      <c r="F15" s="41" t="s">
        <v>11</v>
      </c>
    </row>
    <row r="16" spans="1:6" ht="14" x14ac:dyDescent="0.15">
      <c r="A16" s="41" t="s">
        <v>22</v>
      </c>
      <c r="B16" s="41" t="s">
        <v>32</v>
      </c>
      <c r="C16" s="41" t="s">
        <v>8</v>
      </c>
      <c r="D16" s="41" t="s">
        <v>33</v>
      </c>
      <c r="E16" s="41" t="s">
        <v>33</v>
      </c>
      <c r="F16" s="41" t="s">
        <v>11</v>
      </c>
    </row>
    <row r="17" spans="1:6" ht="14" x14ac:dyDescent="0.15">
      <c r="A17" s="41" t="s">
        <v>6</v>
      </c>
      <c r="B17" s="41" t="s">
        <v>34</v>
      </c>
      <c r="C17" s="41" t="s">
        <v>8</v>
      </c>
      <c r="D17" s="41" t="s">
        <v>35</v>
      </c>
      <c r="E17" s="41" t="s">
        <v>15</v>
      </c>
      <c r="F17" s="41" t="s">
        <v>1494</v>
      </c>
    </row>
    <row r="18" spans="1:6" ht="14" x14ac:dyDescent="0.15">
      <c r="A18" s="41" t="s">
        <v>6</v>
      </c>
      <c r="B18" s="41" t="s">
        <v>36</v>
      </c>
      <c r="C18" s="41" t="s">
        <v>8</v>
      </c>
      <c r="D18" s="41" t="s">
        <v>35</v>
      </c>
      <c r="E18" s="41" t="s">
        <v>15</v>
      </c>
      <c r="F18" s="41" t="s">
        <v>1494</v>
      </c>
    </row>
    <row r="19" spans="1:6" ht="14" x14ac:dyDescent="0.15">
      <c r="A19" s="41" t="s">
        <v>6</v>
      </c>
      <c r="B19" s="41" t="s">
        <v>37</v>
      </c>
      <c r="C19" s="41" t="s">
        <v>8</v>
      </c>
      <c r="D19" s="41" t="s">
        <v>38</v>
      </c>
      <c r="E19" s="41" t="s">
        <v>1495</v>
      </c>
      <c r="F19" s="41" t="s">
        <v>1494</v>
      </c>
    </row>
    <row r="20" spans="1:6" ht="14" x14ac:dyDescent="0.15">
      <c r="A20" s="41" t="s">
        <v>6</v>
      </c>
      <c r="B20" s="41" t="s">
        <v>39</v>
      </c>
      <c r="C20" s="41" t="s">
        <v>8</v>
      </c>
      <c r="D20" s="41" t="s">
        <v>40</v>
      </c>
      <c r="E20" s="41" t="s">
        <v>40</v>
      </c>
      <c r="F20" s="41" t="s">
        <v>11</v>
      </c>
    </row>
    <row r="21" spans="1:6" ht="14" x14ac:dyDescent="0.15">
      <c r="A21" s="41" t="s">
        <v>6</v>
      </c>
      <c r="B21" s="41" t="s">
        <v>41</v>
      </c>
      <c r="C21" s="41" t="s">
        <v>8</v>
      </c>
      <c r="D21" s="41" t="s">
        <v>40</v>
      </c>
      <c r="E21" s="41" t="s">
        <v>40</v>
      </c>
      <c r="F21" s="41" t="s">
        <v>11</v>
      </c>
    </row>
    <row r="22" spans="1:6" ht="14" x14ac:dyDescent="0.15">
      <c r="A22" s="41" t="s">
        <v>6</v>
      </c>
      <c r="B22" s="41" t="s">
        <v>42</v>
      </c>
      <c r="C22" s="41" t="s">
        <v>8</v>
      </c>
      <c r="D22" s="41" t="s">
        <v>43</v>
      </c>
      <c r="E22" s="41" t="s">
        <v>43</v>
      </c>
      <c r="F22" s="41" t="s">
        <v>11</v>
      </c>
    </row>
    <row r="23" spans="1:6" ht="14" x14ac:dyDescent="0.15">
      <c r="A23" s="41" t="s">
        <v>6</v>
      </c>
      <c r="B23" s="41" t="s">
        <v>44</v>
      </c>
      <c r="C23" s="41" t="s">
        <v>8</v>
      </c>
      <c r="D23" s="41" t="s">
        <v>43</v>
      </c>
      <c r="E23" s="41" t="s">
        <v>43</v>
      </c>
      <c r="F23" s="41" t="s">
        <v>11</v>
      </c>
    </row>
    <row r="24" spans="1:6" ht="14" x14ac:dyDescent="0.15">
      <c r="A24" s="41" t="s">
        <v>22</v>
      </c>
      <c r="B24" s="41" t="s">
        <v>45</v>
      </c>
      <c r="C24" s="41" t="s">
        <v>8</v>
      </c>
      <c r="D24" s="41" t="s">
        <v>46</v>
      </c>
      <c r="E24" s="41" t="s">
        <v>46</v>
      </c>
      <c r="F24" s="41" t="s">
        <v>11</v>
      </c>
    </row>
    <row r="25" spans="1:6" ht="14" x14ac:dyDescent="0.15">
      <c r="A25" s="41" t="s">
        <v>6</v>
      </c>
      <c r="B25" s="41" t="s">
        <v>47</v>
      </c>
      <c r="C25" s="41" t="s">
        <v>8</v>
      </c>
      <c r="D25" s="41" t="s">
        <v>46</v>
      </c>
      <c r="E25" s="41" t="s">
        <v>73</v>
      </c>
      <c r="F25" s="41" t="s">
        <v>1494</v>
      </c>
    </row>
    <row r="26" spans="1:6" ht="14" x14ac:dyDescent="0.15">
      <c r="A26" s="41" t="s">
        <v>6</v>
      </c>
      <c r="B26" s="41" t="s">
        <v>48</v>
      </c>
      <c r="C26" s="41" t="s">
        <v>8</v>
      </c>
      <c r="D26" s="41" t="s">
        <v>46</v>
      </c>
      <c r="E26" s="41" t="s">
        <v>73</v>
      </c>
      <c r="F26" s="41" t="s">
        <v>1494</v>
      </c>
    </row>
    <row r="27" spans="1:6" ht="14" x14ac:dyDescent="0.15">
      <c r="A27" s="41" t="s">
        <v>6</v>
      </c>
      <c r="B27" s="41" t="s">
        <v>49</v>
      </c>
      <c r="C27" s="41" t="s">
        <v>8</v>
      </c>
      <c r="D27" s="41" t="s">
        <v>50</v>
      </c>
      <c r="E27" s="41" t="s">
        <v>50</v>
      </c>
      <c r="F27" s="41" t="s">
        <v>11</v>
      </c>
    </row>
    <row r="28" spans="1:6" ht="14" x14ac:dyDescent="0.15">
      <c r="A28" s="41" t="s">
        <v>6</v>
      </c>
      <c r="B28" s="41" t="s">
        <v>51</v>
      </c>
      <c r="C28" s="41" t="s">
        <v>8</v>
      </c>
      <c r="D28" s="41" t="s">
        <v>50</v>
      </c>
      <c r="E28" s="41" t="s">
        <v>50</v>
      </c>
      <c r="F28" s="41" t="s">
        <v>11</v>
      </c>
    </row>
    <row r="29" spans="1:6" ht="14" x14ac:dyDescent="0.15">
      <c r="A29" s="41" t="s">
        <v>6</v>
      </c>
      <c r="B29" s="41" t="s">
        <v>52</v>
      </c>
      <c r="C29" s="41" t="s">
        <v>8</v>
      </c>
      <c r="D29" s="41" t="s">
        <v>53</v>
      </c>
      <c r="E29" s="41" t="s">
        <v>53</v>
      </c>
      <c r="F29" s="41" t="s">
        <v>11</v>
      </c>
    </row>
    <row r="30" spans="1:6" ht="14" x14ac:dyDescent="0.15">
      <c r="A30" s="41" t="s">
        <v>6</v>
      </c>
      <c r="B30" s="41" t="s">
        <v>54</v>
      </c>
      <c r="C30" s="41" t="s">
        <v>8</v>
      </c>
      <c r="D30" s="41" t="s">
        <v>53</v>
      </c>
      <c r="E30" s="41" t="s">
        <v>53</v>
      </c>
      <c r="F30" s="41" t="s">
        <v>11</v>
      </c>
    </row>
    <row r="31" spans="1:6" ht="14" x14ac:dyDescent="0.15">
      <c r="A31" s="41" t="s">
        <v>22</v>
      </c>
      <c r="B31" s="41" t="s">
        <v>55</v>
      </c>
      <c r="C31" s="41" t="s">
        <v>8</v>
      </c>
      <c r="D31" s="41" t="s">
        <v>26</v>
      </c>
      <c r="E31" s="41" t="s">
        <v>26</v>
      </c>
      <c r="F31" s="41" t="s">
        <v>11</v>
      </c>
    </row>
    <row r="32" spans="1:6" ht="14" x14ac:dyDescent="0.15">
      <c r="A32" s="41" t="s">
        <v>6</v>
      </c>
      <c r="B32" s="41" t="s">
        <v>56</v>
      </c>
      <c r="C32" s="41" t="s">
        <v>8</v>
      </c>
      <c r="D32" s="41" t="s">
        <v>57</v>
      </c>
      <c r="E32" s="41" t="s">
        <v>26</v>
      </c>
      <c r="F32" s="41" t="s">
        <v>1494</v>
      </c>
    </row>
    <row r="33" spans="1:6" ht="14" x14ac:dyDescent="0.15">
      <c r="A33" s="41" t="s">
        <v>6</v>
      </c>
      <c r="B33" s="41" t="s">
        <v>58</v>
      </c>
      <c r="C33" s="41" t="s">
        <v>8</v>
      </c>
      <c r="D33" s="41" t="s">
        <v>26</v>
      </c>
      <c r="E33" s="41" t="s">
        <v>26</v>
      </c>
      <c r="F33" s="41" t="s">
        <v>11</v>
      </c>
    </row>
    <row r="34" spans="1:6" ht="14" x14ac:dyDescent="0.15">
      <c r="A34" s="41" t="s">
        <v>6</v>
      </c>
      <c r="B34" s="41" t="s">
        <v>59</v>
      </c>
      <c r="C34" s="41" t="s">
        <v>8</v>
      </c>
      <c r="D34" s="41" t="s">
        <v>57</v>
      </c>
      <c r="E34" s="41" t="s">
        <v>26</v>
      </c>
      <c r="F34" s="41" t="s">
        <v>1494</v>
      </c>
    </row>
    <row r="35" spans="1:6" ht="14" x14ac:dyDescent="0.15">
      <c r="A35" s="41" t="s">
        <v>6</v>
      </c>
      <c r="B35" s="41" t="s">
        <v>60</v>
      </c>
      <c r="C35" s="41" t="s">
        <v>8</v>
      </c>
      <c r="D35" s="41" t="s">
        <v>61</v>
      </c>
      <c r="E35" s="41" t="s">
        <v>26</v>
      </c>
      <c r="F35" s="41" t="s">
        <v>1494</v>
      </c>
    </row>
    <row r="36" spans="1:6" ht="14" x14ac:dyDescent="0.15">
      <c r="A36" s="41" t="s">
        <v>6</v>
      </c>
      <c r="B36" s="41" t="s">
        <v>62</v>
      </c>
      <c r="C36" s="41" t="s">
        <v>8</v>
      </c>
      <c r="D36" s="41" t="s">
        <v>63</v>
      </c>
      <c r="E36" s="41" t="s">
        <v>26</v>
      </c>
      <c r="F36" s="41" t="s">
        <v>1494</v>
      </c>
    </row>
    <row r="37" spans="1:6" ht="14" x14ac:dyDescent="0.15">
      <c r="A37" s="41" t="s">
        <v>6</v>
      </c>
      <c r="B37" s="41" t="s">
        <v>64</v>
      </c>
      <c r="C37" s="41" t="s">
        <v>8</v>
      </c>
      <c r="D37" s="41" t="s">
        <v>65</v>
      </c>
      <c r="E37" s="41" t="s">
        <v>26</v>
      </c>
      <c r="F37" s="41" t="s">
        <v>1494</v>
      </c>
    </row>
    <row r="38" spans="1:6" ht="14" x14ac:dyDescent="0.15">
      <c r="A38" s="41" t="s">
        <v>6</v>
      </c>
      <c r="B38" s="41" t="s">
        <v>66</v>
      </c>
      <c r="C38" s="41" t="s">
        <v>8</v>
      </c>
      <c r="D38" s="41" t="s">
        <v>67</v>
      </c>
      <c r="E38" s="41" t="s">
        <v>26</v>
      </c>
      <c r="F38" s="41" t="s">
        <v>1494</v>
      </c>
    </row>
    <row r="39" spans="1:6" ht="14" x14ac:dyDescent="0.15">
      <c r="A39" s="41" t="s">
        <v>22</v>
      </c>
      <c r="B39" s="41" t="s">
        <v>68</v>
      </c>
      <c r="C39" s="41" t="s">
        <v>8</v>
      </c>
      <c r="D39" s="41" t="s">
        <v>69</v>
      </c>
      <c r="E39" s="41" t="s">
        <v>69</v>
      </c>
      <c r="F39" s="41" t="s">
        <v>11</v>
      </c>
    </row>
    <row r="40" spans="1:6" ht="14" x14ac:dyDescent="0.15">
      <c r="A40" s="41" t="s">
        <v>6</v>
      </c>
      <c r="B40" s="41" t="s">
        <v>70</v>
      </c>
      <c r="C40" s="41" t="s">
        <v>8</v>
      </c>
      <c r="D40" s="41" t="s">
        <v>63</v>
      </c>
      <c r="E40" s="41" t="s">
        <v>15</v>
      </c>
      <c r="F40" s="41" t="s">
        <v>1494</v>
      </c>
    </row>
    <row r="41" spans="1:6" ht="14" x14ac:dyDescent="0.15">
      <c r="A41" s="41" t="s">
        <v>6</v>
      </c>
      <c r="B41" s="41" t="s">
        <v>71</v>
      </c>
      <c r="C41" s="41" t="s">
        <v>8</v>
      </c>
      <c r="D41" s="41" t="s">
        <v>63</v>
      </c>
      <c r="E41" s="41" t="s">
        <v>15</v>
      </c>
      <c r="F41" s="41" t="s">
        <v>1494</v>
      </c>
    </row>
    <row r="42" spans="1:6" ht="14" x14ac:dyDescent="0.15">
      <c r="A42" s="41" t="s">
        <v>22</v>
      </c>
      <c r="B42" s="41" t="s">
        <v>72</v>
      </c>
      <c r="C42" s="41" t="s">
        <v>8</v>
      </c>
      <c r="D42" s="41" t="s">
        <v>73</v>
      </c>
      <c r="E42" s="41" t="s">
        <v>73</v>
      </c>
      <c r="F42" s="41" t="s">
        <v>11</v>
      </c>
    </row>
    <row r="43" spans="1:6" ht="14" x14ac:dyDescent="0.15">
      <c r="A43" s="41" t="s">
        <v>6</v>
      </c>
      <c r="B43" s="41" t="s">
        <v>74</v>
      </c>
      <c r="C43" s="41" t="s">
        <v>8</v>
      </c>
      <c r="D43" s="41" t="s">
        <v>75</v>
      </c>
      <c r="E43" s="41" t="s">
        <v>73</v>
      </c>
      <c r="F43" s="41" t="s">
        <v>1494</v>
      </c>
    </row>
    <row r="44" spans="1:6" ht="14" x14ac:dyDescent="0.15">
      <c r="A44" s="41" t="s">
        <v>6</v>
      </c>
      <c r="B44" s="41" t="s">
        <v>76</v>
      </c>
      <c r="C44" s="41" t="s">
        <v>8</v>
      </c>
      <c r="D44" s="41" t="s">
        <v>75</v>
      </c>
      <c r="E44" s="41" t="s">
        <v>73</v>
      </c>
      <c r="F44" s="41" t="s">
        <v>1494</v>
      </c>
    </row>
    <row r="45" spans="1:6" ht="14" x14ac:dyDescent="0.15">
      <c r="A45" s="41" t="s">
        <v>77</v>
      </c>
      <c r="B45" s="38" t="s">
        <v>78</v>
      </c>
      <c r="C45" s="38">
        <v>366</v>
      </c>
      <c r="D45" s="41" t="s">
        <v>73</v>
      </c>
      <c r="E45" s="41" t="s">
        <v>73</v>
      </c>
      <c r="F45" s="41" t="s">
        <v>11</v>
      </c>
    </row>
    <row r="46" spans="1:6" ht="14" x14ac:dyDescent="0.15">
      <c r="A46" s="41" t="s">
        <v>77</v>
      </c>
      <c r="B46" s="38" t="s">
        <v>79</v>
      </c>
      <c r="C46" s="38">
        <v>367</v>
      </c>
      <c r="D46" s="41" t="s">
        <v>73</v>
      </c>
      <c r="E46" s="41" t="s">
        <v>73</v>
      </c>
      <c r="F46" s="41" t="s">
        <v>11</v>
      </c>
    </row>
    <row r="47" spans="1:6" ht="14" x14ac:dyDescent="0.15">
      <c r="A47" s="41" t="s">
        <v>77</v>
      </c>
      <c r="B47" s="38" t="s">
        <v>80</v>
      </c>
      <c r="C47" s="41" t="s">
        <v>81</v>
      </c>
      <c r="D47" s="41" t="s">
        <v>73</v>
      </c>
      <c r="E47" s="41" t="s">
        <v>73</v>
      </c>
      <c r="F47" s="41" t="s">
        <v>11</v>
      </c>
    </row>
    <row r="48" spans="1:6" ht="14" x14ac:dyDescent="0.15">
      <c r="A48" s="41" t="s">
        <v>77</v>
      </c>
      <c r="B48" s="38" t="s">
        <v>82</v>
      </c>
      <c r="C48" s="41" t="s">
        <v>83</v>
      </c>
      <c r="D48" s="41" t="s">
        <v>73</v>
      </c>
      <c r="E48" s="41" t="s">
        <v>73</v>
      </c>
      <c r="F48" s="41" t="s">
        <v>11</v>
      </c>
    </row>
    <row r="49" spans="1:6" ht="14" x14ac:dyDescent="0.15">
      <c r="A49" s="41" t="s">
        <v>77</v>
      </c>
      <c r="B49" s="38" t="s">
        <v>84</v>
      </c>
      <c r="C49" s="41" t="s">
        <v>85</v>
      </c>
      <c r="D49" s="41" t="s">
        <v>73</v>
      </c>
      <c r="E49" s="41" t="s">
        <v>73</v>
      </c>
      <c r="F49" s="41" t="s">
        <v>11</v>
      </c>
    </row>
    <row r="50" spans="1:6" ht="14" x14ac:dyDescent="0.15">
      <c r="A50" s="41" t="s">
        <v>77</v>
      </c>
      <c r="B50" s="38" t="s">
        <v>86</v>
      </c>
      <c r="C50" s="41" t="s">
        <v>87</v>
      </c>
      <c r="D50" s="41" t="s">
        <v>73</v>
      </c>
      <c r="E50" s="41" t="s">
        <v>73</v>
      </c>
      <c r="F50" s="41" t="s">
        <v>11</v>
      </c>
    </row>
    <row r="51" spans="1:6" ht="14" x14ac:dyDescent="0.15">
      <c r="A51" s="41" t="s">
        <v>77</v>
      </c>
      <c r="B51" s="38" t="s">
        <v>88</v>
      </c>
      <c r="C51" s="41" t="s">
        <v>89</v>
      </c>
      <c r="D51" s="41" t="s">
        <v>73</v>
      </c>
      <c r="E51" s="41" t="s">
        <v>73</v>
      </c>
      <c r="F51" s="41" t="s">
        <v>90</v>
      </c>
    </row>
    <row r="52" spans="1:6" ht="14" x14ac:dyDescent="0.15">
      <c r="A52" s="41" t="s">
        <v>77</v>
      </c>
      <c r="B52" s="38" t="s">
        <v>91</v>
      </c>
      <c r="C52" s="41" t="s">
        <v>92</v>
      </c>
      <c r="D52" s="41" t="s">
        <v>73</v>
      </c>
      <c r="E52" s="41" t="s">
        <v>73</v>
      </c>
      <c r="F52" s="41" t="s">
        <v>90</v>
      </c>
    </row>
    <row r="53" spans="1:6" ht="14" x14ac:dyDescent="0.15">
      <c r="A53" s="41" t="s">
        <v>77</v>
      </c>
      <c r="B53" s="38" t="s">
        <v>93</v>
      </c>
      <c r="C53" s="41" t="s">
        <v>94</v>
      </c>
      <c r="D53" s="41" t="s">
        <v>73</v>
      </c>
      <c r="E53" s="41" t="s">
        <v>73</v>
      </c>
      <c r="F53" s="41" t="s">
        <v>90</v>
      </c>
    </row>
    <row r="54" spans="1:6" ht="14" x14ac:dyDescent="0.15">
      <c r="A54" s="41" t="s">
        <v>77</v>
      </c>
      <c r="B54" s="38" t="s">
        <v>95</v>
      </c>
      <c r="C54" s="41" t="s">
        <v>96</v>
      </c>
      <c r="D54" s="41" t="s">
        <v>73</v>
      </c>
      <c r="E54" s="41" t="s">
        <v>73</v>
      </c>
      <c r="F54" s="41" t="s">
        <v>90</v>
      </c>
    </row>
    <row r="55" spans="1:6" ht="14" x14ac:dyDescent="0.15">
      <c r="A55" s="41" t="s">
        <v>77</v>
      </c>
      <c r="B55" s="38" t="s">
        <v>97</v>
      </c>
      <c r="C55" s="41" t="s">
        <v>98</v>
      </c>
      <c r="D55" s="41" t="s">
        <v>73</v>
      </c>
      <c r="E55" s="41" t="s">
        <v>73</v>
      </c>
      <c r="F55" s="41" t="s">
        <v>90</v>
      </c>
    </row>
    <row r="56" spans="1:6" ht="14" x14ac:dyDescent="0.15">
      <c r="A56" s="41" t="s">
        <v>77</v>
      </c>
      <c r="B56" s="38" t="s">
        <v>99</v>
      </c>
      <c r="C56" s="41" t="s">
        <v>100</v>
      </c>
      <c r="D56" s="41" t="s">
        <v>73</v>
      </c>
      <c r="E56" s="41" t="s">
        <v>73</v>
      </c>
      <c r="F56" s="41" t="s">
        <v>90</v>
      </c>
    </row>
    <row r="57" spans="1:6" ht="14" x14ac:dyDescent="0.15">
      <c r="A57" s="41" t="s">
        <v>77</v>
      </c>
      <c r="B57" s="38" t="s">
        <v>101</v>
      </c>
      <c r="C57" s="41" t="s">
        <v>102</v>
      </c>
      <c r="D57" s="41" t="s">
        <v>73</v>
      </c>
      <c r="E57" s="41" t="s">
        <v>73</v>
      </c>
      <c r="F57" s="41" t="s">
        <v>90</v>
      </c>
    </row>
    <row r="58" spans="1:6" ht="14" x14ac:dyDescent="0.15">
      <c r="A58" s="41" t="s">
        <v>77</v>
      </c>
      <c r="B58" s="38" t="s">
        <v>103</v>
      </c>
      <c r="C58" s="41" t="s">
        <v>104</v>
      </c>
      <c r="D58" s="41" t="s">
        <v>73</v>
      </c>
      <c r="E58" s="41" t="s">
        <v>73</v>
      </c>
      <c r="F58" s="41" t="s">
        <v>90</v>
      </c>
    </row>
    <row r="59" spans="1:6" ht="14" x14ac:dyDescent="0.15">
      <c r="A59" s="41" t="s">
        <v>77</v>
      </c>
      <c r="B59" s="38" t="s">
        <v>105</v>
      </c>
      <c r="C59" s="41" t="s">
        <v>106</v>
      </c>
      <c r="D59" s="41" t="s">
        <v>73</v>
      </c>
      <c r="E59" s="41" t="s">
        <v>73</v>
      </c>
      <c r="F59" s="41" t="s">
        <v>90</v>
      </c>
    </row>
    <row r="60" spans="1:6" ht="14" x14ac:dyDescent="0.15">
      <c r="A60" s="41" t="s">
        <v>77</v>
      </c>
      <c r="B60" s="38" t="s">
        <v>107</v>
      </c>
      <c r="C60" s="41" t="s">
        <v>108</v>
      </c>
      <c r="D60" s="41" t="s">
        <v>73</v>
      </c>
      <c r="E60" s="41" t="s">
        <v>73</v>
      </c>
      <c r="F60" s="41" t="s">
        <v>90</v>
      </c>
    </row>
    <row r="61" spans="1:6" ht="14" x14ac:dyDescent="0.15">
      <c r="A61" s="41" t="s">
        <v>77</v>
      </c>
      <c r="B61" s="38" t="s">
        <v>109</v>
      </c>
      <c r="C61" s="41" t="s">
        <v>110</v>
      </c>
      <c r="D61" s="41" t="s">
        <v>73</v>
      </c>
      <c r="E61" s="41" t="s">
        <v>73</v>
      </c>
      <c r="F61" s="41" t="s">
        <v>90</v>
      </c>
    </row>
    <row r="62" spans="1:6" ht="14" x14ac:dyDescent="0.15">
      <c r="A62" s="41" t="s">
        <v>77</v>
      </c>
      <c r="B62" s="38" t="s">
        <v>111</v>
      </c>
      <c r="C62" s="41" t="s">
        <v>112</v>
      </c>
      <c r="D62" s="41" t="s">
        <v>73</v>
      </c>
      <c r="E62" s="41" t="s">
        <v>73</v>
      </c>
      <c r="F62" s="41" t="s">
        <v>90</v>
      </c>
    </row>
    <row r="63" spans="1:6" ht="14" x14ac:dyDescent="0.15">
      <c r="A63" s="41" t="s">
        <v>77</v>
      </c>
      <c r="B63" s="38" t="s">
        <v>113</v>
      </c>
      <c r="C63" s="41" t="s">
        <v>114</v>
      </c>
      <c r="D63" s="41" t="s">
        <v>73</v>
      </c>
      <c r="E63" s="41" t="s">
        <v>73</v>
      </c>
      <c r="F63" s="41" t="s">
        <v>90</v>
      </c>
    </row>
    <row r="64" spans="1:6" ht="14" x14ac:dyDescent="0.15">
      <c r="A64" s="41" t="s">
        <v>77</v>
      </c>
      <c r="B64" s="38" t="s">
        <v>115</v>
      </c>
      <c r="C64" s="41" t="s">
        <v>116</v>
      </c>
      <c r="D64" s="41" t="s">
        <v>73</v>
      </c>
      <c r="E64" s="41" t="s">
        <v>73</v>
      </c>
      <c r="F64" s="41" t="s">
        <v>90</v>
      </c>
    </row>
    <row r="65" spans="1:6" ht="14" x14ac:dyDescent="0.15">
      <c r="A65" s="41" t="s">
        <v>77</v>
      </c>
      <c r="B65" s="38" t="s">
        <v>117</v>
      </c>
      <c r="C65" s="41" t="s">
        <v>118</v>
      </c>
      <c r="D65" s="41" t="s">
        <v>69</v>
      </c>
      <c r="E65" s="41" t="s">
        <v>69</v>
      </c>
      <c r="F65" s="41" t="s">
        <v>11</v>
      </c>
    </row>
    <row r="66" spans="1:6" ht="14" x14ac:dyDescent="0.15">
      <c r="A66" s="41" t="s">
        <v>77</v>
      </c>
      <c r="B66" s="38" t="s">
        <v>119</v>
      </c>
      <c r="C66" s="41" t="s">
        <v>120</v>
      </c>
      <c r="D66" s="41" t="s">
        <v>69</v>
      </c>
      <c r="E66" s="41" t="s">
        <v>69</v>
      </c>
      <c r="F66" s="41" t="s">
        <v>11</v>
      </c>
    </row>
    <row r="67" spans="1:6" ht="14" x14ac:dyDescent="0.15">
      <c r="A67" s="41" t="s">
        <v>77</v>
      </c>
      <c r="B67" s="38" t="s">
        <v>121</v>
      </c>
      <c r="C67" s="41" t="s">
        <v>122</v>
      </c>
      <c r="D67" s="41" t="s">
        <v>69</v>
      </c>
      <c r="E67" s="41" t="s">
        <v>69</v>
      </c>
      <c r="F67" s="41" t="s">
        <v>90</v>
      </c>
    </row>
    <row r="68" spans="1:6" ht="14" x14ac:dyDescent="0.15">
      <c r="A68" s="41" t="s">
        <v>77</v>
      </c>
      <c r="B68" s="38" t="s">
        <v>123</v>
      </c>
      <c r="C68" s="41" t="s">
        <v>124</v>
      </c>
      <c r="D68" s="41" t="s">
        <v>69</v>
      </c>
      <c r="E68" s="41" t="s">
        <v>69</v>
      </c>
      <c r="F68" s="41" t="s">
        <v>90</v>
      </c>
    </row>
    <row r="69" spans="1:6" ht="14" x14ac:dyDescent="0.15">
      <c r="A69" s="41" t="s">
        <v>77</v>
      </c>
      <c r="B69" s="38" t="s">
        <v>125</v>
      </c>
      <c r="C69" s="41" t="s">
        <v>126</v>
      </c>
      <c r="D69" s="41" t="s">
        <v>69</v>
      </c>
      <c r="E69" s="41" t="s">
        <v>69</v>
      </c>
      <c r="F69" s="41" t="s">
        <v>90</v>
      </c>
    </row>
    <row r="70" spans="1:6" ht="14" x14ac:dyDescent="0.15">
      <c r="A70" s="41" t="s">
        <v>77</v>
      </c>
      <c r="B70" s="38" t="s">
        <v>127</v>
      </c>
      <c r="C70" s="41" t="s">
        <v>128</v>
      </c>
      <c r="D70" s="41" t="s">
        <v>69</v>
      </c>
      <c r="E70" s="41" t="s">
        <v>69</v>
      </c>
      <c r="F70" s="41" t="s">
        <v>90</v>
      </c>
    </row>
    <row r="71" spans="1:6" ht="14" x14ac:dyDescent="0.15">
      <c r="A71" s="41" t="s">
        <v>77</v>
      </c>
      <c r="B71" s="38" t="s">
        <v>129</v>
      </c>
      <c r="C71" s="41" t="s">
        <v>130</v>
      </c>
      <c r="D71" s="41" t="s">
        <v>69</v>
      </c>
      <c r="E71" s="41" t="s">
        <v>69</v>
      </c>
      <c r="F71" s="41" t="s">
        <v>90</v>
      </c>
    </row>
    <row r="72" spans="1:6" ht="14" x14ac:dyDescent="0.15">
      <c r="A72" s="41" t="s">
        <v>77</v>
      </c>
      <c r="B72" s="38" t="s">
        <v>131</v>
      </c>
      <c r="C72" s="41" t="s">
        <v>132</v>
      </c>
      <c r="D72" s="41" t="s">
        <v>69</v>
      </c>
      <c r="E72" s="41" t="s">
        <v>69</v>
      </c>
      <c r="F72" s="41" t="s">
        <v>90</v>
      </c>
    </row>
    <row r="73" spans="1:6" ht="14" x14ac:dyDescent="0.15">
      <c r="A73" s="41" t="s">
        <v>77</v>
      </c>
      <c r="B73" s="38" t="s">
        <v>133</v>
      </c>
      <c r="C73" s="41" t="s">
        <v>134</v>
      </c>
      <c r="D73" s="41" t="s">
        <v>69</v>
      </c>
      <c r="E73" s="41" t="s">
        <v>69</v>
      </c>
      <c r="F73" s="41" t="s">
        <v>90</v>
      </c>
    </row>
    <row r="74" spans="1:6" ht="14" x14ac:dyDescent="0.15">
      <c r="A74" s="41" t="s">
        <v>77</v>
      </c>
      <c r="B74" s="38" t="s">
        <v>135</v>
      </c>
      <c r="C74" s="41" t="s">
        <v>136</v>
      </c>
      <c r="D74" s="41" t="s">
        <v>69</v>
      </c>
      <c r="E74" s="41" t="s">
        <v>69</v>
      </c>
      <c r="F74" s="41" t="s">
        <v>90</v>
      </c>
    </row>
    <row r="75" spans="1:6" ht="14" x14ac:dyDescent="0.15">
      <c r="A75" s="41" t="s">
        <v>77</v>
      </c>
      <c r="B75" s="38" t="s">
        <v>137</v>
      </c>
      <c r="C75" s="41" t="s">
        <v>138</v>
      </c>
      <c r="D75" s="41" t="s">
        <v>69</v>
      </c>
      <c r="E75" s="41" t="s">
        <v>69</v>
      </c>
      <c r="F75" s="41" t="s">
        <v>90</v>
      </c>
    </row>
    <row r="76" spans="1:6" ht="14" x14ac:dyDescent="0.15">
      <c r="A76" s="41" t="s">
        <v>77</v>
      </c>
      <c r="B76" s="38" t="s">
        <v>139</v>
      </c>
      <c r="C76" s="41" t="s">
        <v>140</v>
      </c>
      <c r="D76" s="41" t="s">
        <v>69</v>
      </c>
      <c r="E76" s="41" t="s">
        <v>69</v>
      </c>
      <c r="F76" s="41" t="s">
        <v>90</v>
      </c>
    </row>
    <row r="77" spans="1:6" ht="14" x14ac:dyDescent="0.15">
      <c r="A77" s="41" t="s">
        <v>77</v>
      </c>
      <c r="B77" s="38" t="s">
        <v>141</v>
      </c>
      <c r="C77" s="41" t="s">
        <v>142</v>
      </c>
      <c r="D77" s="41" t="s">
        <v>69</v>
      </c>
      <c r="E77" s="41" t="s">
        <v>69</v>
      </c>
      <c r="F77" s="41" t="s">
        <v>90</v>
      </c>
    </row>
    <row r="78" spans="1:6" ht="14" x14ac:dyDescent="0.15">
      <c r="A78" s="41" t="s">
        <v>77</v>
      </c>
      <c r="B78" s="38" t="s">
        <v>143</v>
      </c>
      <c r="C78" s="41" t="s">
        <v>144</v>
      </c>
      <c r="D78" s="41" t="s">
        <v>69</v>
      </c>
      <c r="E78" s="41" t="s">
        <v>69</v>
      </c>
      <c r="F78" s="41" t="s">
        <v>90</v>
      </c>
    </row>
    <row r="79" spans="1:6" ht="14" x14ac:dyDescent="0.15">
      <c r="A79" s="41" t="s">
        <v>77</v>
      </c>
      <c r="B79" s="38" t="s">
        <v>145</v>
      </c>
      <c r="C79" s="41" t="s">
        <v>146</v>
      </c>
      <c r="D79" s="41" t="s">
        <v>69</v>
      </c>
      <c r="E79" s="41" t="s">
        <v>69</v>
      </c>
      <c r="F79" s="41" t="s">
        <v>11</v>
      </c>
    </row>
    <row r="80" spans="1:6" ht="14" x14ac:dyDescent="0.15">
      <c r="A80" s="41" t="s">
        <v>77</v>
      </c>
      <c r="B80" s="38" t="s">
        <v>147</v>
      </c>
      <c r="C80" s="41" t="s">
        <v>148</v>
      </c>
      <c r="D80" s="41" t="s">
        <v>69</v>
      </c>
      <c r="E80" s="41" t="s">
        <v>69</v>
      </c>
      <c r="F80" s="41" t="s">
        <v>11</v>
      </c>
    </row>
    <row r="81" spans="1:6" ht="14" x14ac:dyDescent="0.15">
      <c r="A81" s="41" t="s">
        <v>77</v>
      </c>
      <c r="B81" s="38" t="s">
        <v>149</v>
      </c>
      <c r="C81" s="41" t="s">
        <v>150</v>
      </c>
      <c r="D81" s="41" t="s">
        <v>69</v>
      </c>
      <c r="E81" s="41" t="s">
        <v>69</v>
      </c>
      <c r="F81" s="41" t="s">
        <v>90</v>
      </c>
    </row>
    <row r="82" spans="1:6" ht="14" x14ac:dyDescent="0.15">
      <c r="A82" s="41" t="s">
        <v>77</v>
      </c>
      <c r="B82" s="38" t="s">
        <v>151</v>
      </c>
      <c r="C82" s="41" t="s">
        <v>152</v>
      </c>
      <c r="D82" s="41" t="s">
        <v>69</v>
      </c>
      <c r="E82" s="41" t="s">
        <v>69</v>
      </c>
      <c r="F82" s="41" t="s">
        <v>90</v>
      </c>
    </row>
    <row r="83" spans="1:6" ht="14" x14ac:dyDescent="0.15">
      <c r="A83" s="41" t="s">
        <v>77</v>
      </c>
      <c r="B83" s="38" t="s">
        <v>153</v>
      </c>
      <c r="C83" s="41" t="s">
        <v>154</v>
      </c>
      <c r="D83" s="41" t="s">
        <v>69</v>
      </c>
      <c r="E83" s="41" t="s">
        <v>69</v>
      </c>
      <c r="F83" s="41" t="s">
        <v>11</v>
      </c>
    </row>
    <row r="84" spans="1:6" ht="14" x14ac:dyDescent="0.15">
      <c r="A84" s="41" t="s">
        <v>77</v>
      </c>
      <c r="B84" s="38" t="s">
        <v>155</v>
      </c>
      <c r="C84" s="41" t="s">
        <v>156</v>
      </c>
      <c r="D84" s="41" t="s">
        <v>69</v>
      </c>
      <c r="E84" s="41" t="s">
        <v>69</v>
      </c>
      <c r="F84" s="41" t="s">
        <v>11</v>
      </c>
    </row>
    <row r="85" spans="1:6" ht="14" x14ac:dyDescent="0.15">
      <c r="A85" s="41" t="s">
        <v>77</v>
      </c>
      <c r="B85" s="38" t="s">
        <v>157</v>
      </c>
      <c r="C85" s="41" t="s">
        <v>158</v>
      </c>
      <c r="D85" s="41" t="s">
        <v>69</v>
      </c>
      <c r="E85" s="41" t="s">
        <v>69</v>
      </c>
      <c r="F85" s="41" t="s">
        <v>11</v>
      </c>
    </row>
    <row r="86" spans="1:6" ht="14" x14ac:dyDescent="0.15">
      <c r="A86" s="41" t="s">
        <v>77</v>
      </c>
      <c r="B86" s="38" t="s">
        <v>159</v>
      </c>
      <c r="C86" s="41" t="s">
        <v>160</v>
      </c>
      <c r="D86" s="41" t="s">
        <v>69</v>
      </c>
      <c r="E86" s="41" t="s">
        <v>69</v>
      </c>
      <c r="F86" s="41" t="s">
        <v>11</v>
      </c>
    </row>
    <row r="87" spans="1:6" ht="14" x14ac:dyDescent="0.15">
      <c r="A87" s="41" t="s">
        <v>77</v>
      </c>
      <c r="B87" s="38" t="s">
        <v>161</v>
      </c>
      <c r="C87" s="41" t="s">
        <v>162</v>
      </c>
      <c r="D87" s="41" t="s">
        <v>69</v>
      </c>
      <c r="E87" s="41" t="s">
        <v>69</v>
      </c>
      <c r="F87" s="41" t="s">
        <v>11</v>
      </c>
    </row>
    <row r="88" spans="1:6" ht="14" x14ac:dyDescent="0.15">
      <c r="A88" s="41" t="s">
        <v>77</v>
      </c>
      <c r="B88" s="38" t="s">
        <v>163</v>
      </c>
      <c r="C88" s="41" t="s">
        <v>164</v>
      </c>
      <c r="D88" s="41" t="s">
        <v>69</v>
      </c>
      <c r="E88" s="41" t="s">
        <v>69</v>
      </c>
      <c r="F88" s="41" t="s">
        <v>11</v>
      </c>
    </row>
    <row r="89" spans="1:6" ht="14" x14ac:dyDescent="0.15">
      <c r="A89" s="41" t="s">
        <v>77</v>
      </c>
      <c r="B89" s="38" t="s">
        <v>165</v>
      </c>
      <c r="C89" s="41" t="s">
        <v>166</v>
      </c>
      <c r="D89" s="41" t="s">
        <v>69</v>
      </c>
      <c r="E89" s="41" t="s">
        <v>69</v>
      </c>
      <c r="F89" s="41" t="s">
        <v>90</v>
      </c>
    </row>
    <row r="90" spans="1:6" ht="14" x14ac:dyDescent="0.15">
      <c r="A90" s="41" t="s">
        <v>77</v>
      </c>
      <c r="B90" s="38" t="s">
        <v>167</v>
      </c>
      <c r="C90" s="41" t="s">
        <v>168</v>
      </c>
      <c r="D90" s="41" t="s">
        <v>69</v>
      </c>
      <c r="E90" s="41" t="s">
        <v>69</v>
      </c>
      <c r="F90" s="41" t="s">
        <v>90</v>
      </c>
    </row>
    <row r="91" spans="1:6" ht="14" x14ac:dyDescent="0.15">
      <c r="A91" s="41" t="s">
        <v>77</v>
      </c>
      <c r="B91" s="38" t="s">
        <v>169</v>
      </c>
      <c r="C91" s="41" t="s">
        <v>170</v>
      </c>
      <c r="D91" s="41" t="s">
        <v>26</v>
      </c>
      <c r="E91" s="41" t="s">
        <v>26</v>
      </c>
      <c r="F91" s="41" t="s">
        <v>11</v>
      </c>
    </row>
    <row r="92" spans="1:6" ht="14" x14ac:dyDescent="0.15">
      <c r="A92" s="41" t="s">
        <v>77</v>
      </c>
      <c r="B92" s="38" t="s">
        <v>171</v>
      </c>
      <c r="C92" s="41" t="s">
        <v>172</v>
      </c>
      <c r="D92" s="41" t="s">
        <v>26</v>
      </c>
      <c r="E92" s="41" t="s">
        <v>26</v>
      </c>
      <c r="F92" s="41" t="s">
        <v>11</v>
      </c>
    </row>
    <row r="93" spans="1:6" ht="14" x14ac:dyDescent="0.15">
      <c r="A93" s="41" t="s">
        <v>77</v>
      </c>
      <c r="B93" s="38" t="s">
        <v>173</v>
      </c>
      <c r="C93" s="41" t="s">
        <v>174</v>
      </c>
      <c r="D93" s="41" t="s">
        <v>26</v>
      </c>
      <c r="E93" s="41" t="s">
        <v>26</v>
      </c>
      <c r="F93" s="41" t="s">
        <v>90</v>
      </c>
    </row>
    <row r="94" spans="1:6" ht="14" x14ac:dyDescent="0.15">
      <c r="A94" s="41" t="s">
        <v>77</v>
      </c>
      <c r="B94" s="38" t="s">
        <v>175</v>
      </c>
      <c r="C94" s="41" t="s">
        <v>176</v>
      </c>
      <c r="D94" s="41" t="s">
        <v>26</v>
      </c>
      <c r="E94" s="41" t="s">
        <v>26</v>
      </c>
      <c r="F94" s="41" t="s">
        <v>90</v>
      </c>
    </row>
    <row r="95" spans="1:6" ht="14" x14ac:dyDescent="0.15">
      <c r="A95" s="41" t="s">
        <v>77</v>
      </c>
      <c r="B95" s="38" t="s">
        <v>177</v>
      </c>
      <c r="C95" s="41" t="s">
        <v>178</v>
      </c>
      <c r="D95" s="41" t="s">
        <v>26</v>
      </c>
      <c r="E95" s="41" t="s">
        <v>26</v>
      </c>
      <c r="F95" s="41" t="s">
        <v>90</v>
      </c>
    </row>
    <row r="96" spans="1:6" ht="14" x14ac:dyDescent="0.15">
      <c r="A96" s="41" t="s">
        <v>77</v>
      </c>
      <c r="B96" s="38" t="s">
        <v>179</v>
      </c>
      <c r="C96" s="41" t="s">
        <v>180</v>
      </c>
      <c r="D96" s="41" t="s">
        <v>26</v>
      </c>
      <c r="E96" s="41" t="s">
        <v>26</v>
      </c>
      <c r="F96" s="41" t="s">
        <v>90</v>
      </c>
    </row>
    <row r="97" spans="1:6" ht="14" x14ac:dyDescent="0.15">
      <c r="A97" s="41" t="s">
        <v>77</v>
      </c>
      <c r="B97" s="38" t="s">
        <v>181</v>
      </c>
      <c r="C97" s="41" t="s">
        <v>182</v>
      </c>
      <c r="D97" s="41" t="s">
        <v>26</v>
      </c>
      <c r="E97" s="41" t="s">
        <v>26</v>
      </c>
      <c r="F97" s="41" t="s">
        <v>90</v>
      </c>
    </row>
    <row r="98" spans="1:6" ht="14" x14ac:dyDescent="0.15">
      <c r="A98" s="41" t="s">
        <v>77</v>
      </c>
      <c r="B98" s="38" t="s">
        <v>183</v>
      </c>
      <c r="C98" s="41" t="s">
        <v>184</v>
      </c>
      <c r="D98" s="41" t="s">
        <v>26</v>
      </c>
      <c r="E98" s="41" t="s">
        <v>26</v>
      </c>
      <c r="F98" s="41" t="s">
        <v>90</v>
      </c>
    </row>
    <row r="99" spans="1:6" ht="14" x14ac:dyDescent="0.15">
      <c r="A99" s="41" t="s">
        <v>77</v>
      </c>
      <c r="B99" s="38" t="s">
        <v>185</v>
      </c>
      <c r="C99" s="41" t="s">
        <v>186</v>
      </c>
      <c r="D99" s="41" t="s">
        <v>26</v>
      </c>
      <c r="E99" s="41" t="s">
        <v>26</v>
      </c>
      <c r="F99" s="41" t="s">
        <v>90</v>
      </c>
    </row>
    <row r="100" spans="1:6" ht="14" x14ac:dyDescent="0.15">
      <c r="A100" s="41" t="s">
        <v>77</v>
      </c>
      <c r="B100" s="38" t="s">
        <v>187</v>
      </c>
      <c r="C100" s="41" t="s">
        <v>188</v>
      </c>
      <c r="D100" s="41" t="s">
        <v>26</v>
      </c>
      <c r="E100" s="41" t="s">
        <v>26</v>
      </c>
      <c r="F100" s="41" t="s">
        <v>90</v>
      </c>
    </row>
    <row r="101" spans="1:6" ht="14" x14ac:dyDescent="0.15">
      <c r="A101" s="41" t="s">
        <v>77</v>
      </c>
      <c r="B101" s="38" t="s">
        <v>189</v>
      </c>
      <c r="C101" s="41" t="s">
        <v>190</v>
      </c>
      <c r="D101" s="41" t="s">
        <v>26</v>
      </c>
      <c r="E101" s="41" t="s">
        <v>26</v>
      </c>
      <c r="F101" s="41" t="s">
        <v>90</v>
      </c>
    </row>
    <row r="102" spans="1:6" ht="14" x14ac:dyDescent="0.15">
      <c r="A102" s="41" t="s">
        <v>77</v>
      </c>
      <c r="B102" s="38" t="s">
        <v>191</v>
      </c>
      <c r="C102" s="41" t="s">
        <v>192</v>
      </c>
      <c r="D102" s="41" t="s">
        <v>26</v>
      </c>
      <c r="E102" s="41" t="s">
        <v>26</v>
      </c>
      <c r="F102" s="41" t="s">
        <v>90</v>
      </c>
    </row>
    <row r="103" spans="1:6" ht="14" x14ac:dyDescent="0.15">
      <c r="A103" s="41" t="s">
        <v>77</v>
      </c>
      <c r="B103" s="38" t="s">
        <v>193</v>
      </c>
      <c r="C103" s="41" t="s">
        <v>194</v>
      </c>
      <c r="D103" s="41" t="s">
        <v>26</v>
      </c>
      <c r="E103" s="41" t="s">
        <v>26</v>
      </c>
      <c r="F103" s="41" t="s">
        <v>90</v>
      </c>
    </row>
    <row r="104" spans="1:6" ht="14" x14ac:dyDescent="0.15">
      <c r="A104" s="41" t="s">
        <v>77</v>
      </c>
      <c r="B104" s="38" t="s">
        <v>195</v>
      </c>
      <c r="C104" s="41" t="s">
        <v>196</v>
      </c>
      <c r="D104" s="41" t="s">
        <v>26</v>
      </c>
      <c r="E104" s="41" t="s">
        <v>26</v>
      </c>
      <c r="F104" s="41" t="s">
        <v>90</v>
      </c>
    </row>
    <row r="105" spans="1:6" ht="14" x14ac:dyDescent="0.15">
      <c r="A105" s="41" t="s">
        <v>77</v>
      </c>
      <c r="B105" s="38" t="s">
        <v>197</v>
      </c>
      <c r="C105" s="41" t="s">
        <v>198</v>
      </c>
      <c r="D105" s="41" t="s">
        <v>26</v>
      </c>
      <c r="E105" s="41" t="s">
        <v>26</v>
      </c>
      <c r="F105" s="41" t="s">
        <v>90</v>
      </c>
    </row>
    <row r="106" spans="1:6" ht="14" x14ac:dyDescent="0.15">
      <c r="A106" s="41" t="s">
        <v>77</v>
      </c>
      <c r="B106" s="38" t="s">
        <v>199</v>
      </c>
      <c r="C106" s="41" t="s">
        <v>200</v>
      </c>
      <c r="D106" s="41" t="s">
        <v>26</v>
      </c>
      <c r="E106" s="41" t="s">
        <v>26</v>
      </c>
      <c r="F106" s="41" t="s">
        <v>90</v>
      </c>
    </row>
    <row r="107" spans="1:6" ht="14" x14ac:dyDescent="0.15">
      <c r="A107" s="41" t="s">
        <v>77</v>
      </c>
      <c r="B107" s="38" t="s">
        <v>201</v>
      </c>
      <c r="C107" s="41" t="s">
        <v>202</v>
      </c>
      <c r="D107" s="41" t="s">
        <v>26</v>
      </c>
      <c r="E107" s="41" t="s">
        <v>26</v>
      </c>
      <c r="F107" s="41" t="s">
        <v>90</v>
      </c>
    </row>
    <row r="108" spans="1:6" ht="14" x14ac:dyDescent="0.15">
      <c r="A108" s="41" t="s">
        <v>77</v>
      </c>
      <c r="B108" s="38" t="s">
        <v>203</v>
      </c>
      <c r="C108" s="41" t="s">
        <v>204</v>
      </c>
      <c r="D108" s="41" t="s">
        <v>26</v>
      </c>
      <c r="E108" s="41" t="s">
        <v>26</v>
      </c>
      <c r="F108" s="41" t="s">
        <v>90</v>
      </c>
    </row>
    <row r="109" spans="1:6" ht="14" x14ac:dyDescent="0.15">
      <c r="A109" s="41" t="s">
        <v>77</v>
      </c>
      <c r="B109" s="38" t="s">
        <v>205</v>
      </c>
      <c r="C109" s="41" t="s">
        <v>206</v>
      </c>
      <c r="D109" s="41" t="s">
        <v>26</v>
      </c>
      <c r="E109" s="41" t="s">
        <v>26</v>
      </c>
      <c r="F109" s="41" t="s">
        <v>90</v>
      </c>
    </row>
    <row r="110" spans="1:6" ht="14" x14ac:dyDescent="0.15">
      <c r="A110" s="41" t="s">
        <v>77</v>
      </c>
      <c r="B110" s="38" t="s">
        <v>207</v>
      </c>
      <c r="C110" s="41" t="s">
        <v>208</v>
      </c>
      <c r="D110" s="41" t="s">
        <v>26</v>
      </c>
      <c r="E110" s="41" t="s">
        <v>26</v>
      </c>
      <c r="F110" s="41" t="s">
        <v>90</v>
      </c>
    </row>
    <row r="111" spans="1:6" ht="14" x14ac:dyDescent="0.15">
      <c r="A111" s="41" t="s">
        <v>77</v>
      </c>
      <c r="B111" s="38" t="s">
        <v>209</v>
      </c>
      <c r="C111" s="41" t="s">
        <v>210</v>
      </c>
      <c r="D111" s="41" t="s">
        <v>26</v>
      </c>
      <c r="E111" s="41" t="s">
        <v>26</v>
      </c>
      <c r="F111" s="41" t="s">
        <v>90</v>
      </c>
    </row>
    <row r="112" spans="1:6" ht="14" x14ac:dyDescent="0.15">
      <c r="A112" s="41" t="s">
        <v>77</v>
      </c>
      <c r="B112" s="38" t="s">
        <v>211</v>
      </c>
      <c r="C112" s="41" t="s">
        <v>212</v>
      </c>
      <c r="D112" s="41" t="s">
        <v>26</v>
      </c>
      <c r="E112" s="41" t="s">
        <v>26</v>
      </c>
      <c r="F112" s="41" t="s">
        <v>90</v>
      </c>
    </row>
    <row r="113" spans="1:6" ht="14" x14ac:dyDescent="0.15">
      <c r="A113" s="41" t="s">
        <v>77</v>
      </c>
      <c r="B113" s="38" t="s">
        <v>213</v>
      </c>
      <c r="C113" s="41" t="s">
        <v>214</v>
      </c>
      <c r="D113" s="41" t="s">
        <v>26</v>
      </c>
      <c r="E113" s="41" t="s">
        <v>26</v>
      </c>
      <c r="F113" s="41" t="s">
        <v>90</v>
      </c>
    </row>
    <row r="114" spans="1:6" ht="14" x14ac:dyDescent="0.15">
      <c r="A114" s="41" t="s">
        <v>77</v>
      </c>
      <c r="B114" s="38" t="s">
        <v>215</v>
      </c>
      <c r="C114" s="41" t="s">
        <v>216</v>
      </c>
      <c r="D114" s="41" t="s">
        <v>26</v>
      </c>
      <c r="E114" s="41" t="s">
        <v>26</v>
      </c>
      <c r="F114" s="41" t="s">
        <v>90</v>
      </c>
    </row>
    <row r="115" spans="1:6" ht="14" x14ac:dyDescent="0.15">
      <c r="A115" s="41" t="s">
        <v>77</v>
      </c>
      <c r="B115" s="38" t="s">
        <v>217</v>
      </c>
      <c r="C115" s="41" t="s">
        <v>218</v>
      </c>
      <c r="D115" s="41" t="s">
        <v>26</v>
      </c>
      <c r="E115" s="41" t="s">
        <v>26</v>
      </c>
      <c r="F115" s="41" t="s">
        <v>90</v>
      </c>
    </row>
    <row r="116" spans="1:6" ht="14" x14ac:dyDescent="0.15">
      <c r="A116" s="41" t="s">
        <v>77</v>
      </c>
      <c r="B116" s="38" t="s">
        <v>219</v>
      </c>
      <c r="C116" s="41" t="s">
        <v>220</v>
      </c>
      <c r="D116" s="41" t="s">
        <v>26</v>
      </c>
      <c r="E116" s="41" t="s">
        <v>26</v>
      </c>
      <c r="F116" s="41" t="s">
        <v>90</v>
      </c>
    </row>
    <row r="117" spans="1:6" ht="14" x14ac:dyDescent="0.15">
      <c r="A117" s="41" t="s">
        <v>77</v>
      </c>
      <c r="B117" s="38" t="s">
        <v>221</v>
      </c>
      <c r="C117" s="41" t="s">
        <v>222</v>
      </c>
      <c r="D117" s="41" t="s">
        <v>26</v>
      </c>
      <c r="E117" s="41" t="s">
        <v>26</v>
      </c>
      <c r="F117" s="41" t="s">
        <v>90</v>
      </c>
    </row>
    <row r="118" spans="1:6" ht="14" x14ac:dyDescent="0.15">
      <c r="A118" s="41" t="s">
        <v>77</v>
      </c>
      <c r="B118" s="38" t="s">
        <v>223</v>
      </c>
      <c r="C118" s="41" t="s">
        <v>224</v>
      </c>
      <c r="D118" s="41" t="s">
        <v>26</v>
      </c>
      <c r="E118" s="41" t="s">
        <v>26</v>
      </c>
      <c r="F118" s="41" t="s">
        <v>90</v>
      </c>
    </row>
    <row r="119" spans="1:6" ht="14" x14ac:dyDescent="0.15">
      <c r="A119" s="41" t="s">
        <v>77</v>
      </c>
      <c r="B119" s="38" t="s">
        <v>225</v>
      </c>
      <c r="C119" s="41" t="s">
        <v>226</v>
      </c>
      <c r="D119" s="41" t="s">
        <v>26</v>
      </c>
      <c r="E119" s="41" t="s">
        <v>26</v>
      </c>
      <c r="F119" s="41" t="s">
        <v>90</v>
      </c>
    </row>
    <row r="120" spans="1:6" ht="14" x14ac:dyDescent="0.15">
      <c r="A120" s="41" t="s">
        <v>77</v>
      </c>
      <c r="B120" s="38" t="s">
        <v>227</v>
      </c>
      <c r="C120" s="41" t="s">
        <v>228</v>
      </c>
      <c r="D120" s="41" t="s">
        <v>26</v>
      </c>
      <c r="E120" s="41" t="s">
        <v>26</v>
      </c>
      <c r="F120" s="41" t="s">
        <v>90</v>
      </c>
    </row>
    <row r="121" spans="1:6" ht="14" x14ac:dyDescent="0.15">
      <c r="A121" s="41" t="s">
        <v>77</v>
      </c>
      <c r="B121" s="38" t="s">
        <v>229</v>
      </c>
      <c r="C121" s="41" t="s">
        <v>230</v>
      </c>
      <c r="D121" s="41" t="s">
        <v>26</v>
      </c>
      <c r="E121" s="41" t="s">
        <v>26</v>
      </c>
      <c r="F121" s="41" t="s">
        <v>90</v>
      </c>
    </row>
    <row r="122" spans="1:6" ht="14" x14ac:dyDescent="0.15">
      <c r="A122" s="41" t="s">
        <v>77</v>
      </c>
      <c r="B122" s="38" t="s">
        <v>231</v>
      </c>
      <c r="C122" s="41" t="s">
        <v>232</v>
      </c>
      <c r="D122" s="41" t="s">
        <v>26</v>
      </c>
      <c r="E122" s="41" t="s">
        <v>26</v>
      </c>
      <c r="F122" s="41" t="s">
        <v>90</v>
      </c>
    </row>
    <row r="123" spans="1:6" ht="14" x14ac:dyDescent="0.15">
      <c r="A123" s="41" t="s">
        <v>77</v>
      </c>
      <c r="B123" s="38" t="s">
        <v>233</v>
      </c>
      <c r="C123" s="41" t="s">
        <v>234</v>
      </c>
      <c r="D123" s="41" t="s">
        <v>26</v>
      </c>
      <c r="E123" s="41" t="s">
        <v>26</v>
      </c>
      <c r="F123" s="41" t="s">
        <v>90</v>
      </c>
    </row>
    <row r="124" spans="1:6" ht="14" x14ac:dyDescent="0.15">
      <c r="A124" s="41" t="s">
        <v>77</v>
      </c>
      <c r="B124" s="38" t="s">
        <v>235</v>
      </c>
      <c r="C124" s="41" t="s">
        <v>236</v>
      </c>
      <c r="D124" s="41" t="s">
        <v>26</v>
      </c>
      <c r="E124" s="41" t="s">
        <v>26</v>
      </c>
      <c r="F124" s="41" t="s">
        <v>90</v>
      </c>
    </row>
    <row r="125" spans="1:6" ht="14" x14ac:dyDescent="0.15">
      <c r="A125" s="41" t="s">
        <v>77</v>
      </c>
      <c r="B125" s="38" t="s">
        <v>237</v>
      </c>
      <c r="C125" s="41" t="s">
        <v>238</v>
      </c>
      <c r="D125" s="41" t="s">
        <v>26</v>
      </c>
      <c r="E125" s="41" t="s">
        <v>26</v>
      </c>
      <c r="F125" s="41" t="s">
        <v>90</v>
      </c>
    </row>
    <row r="126" spans="1:6" ht="14" x14ac:dyDescent="0.15">
      <c r="A126" s="41" t="s">
        <v>77</v>
      </c>
      <c r="B126" s="38" t="s">
        <v>239</v>
      </c>
      <c r="C126" s="41" t="s">
        <v>240</v>
      </c>
      <c r="D126" s="41" t="s">
        <v>26</v>
      </c>
      <c r="E126" s="41" t="s">
        <v>26</v>
      </c>
      <c r="F126" s="41" t="s">
        <v>90</v>
      </c>
    </row>
    <row r="127" spans="1:6" ht="14" x14ac:dyDescent="0.15">
      <c r="A127" s="41" t="s">
        <v>77</v>
      </c>
      <c r="B127" s="38" t="s">
        <v>241</v>
      </c>
      <c r="C127" s="41" t="s">
        <v>242</v>
      </c>
      <c r="D127" s="41" t="s">
        <v>26</v>
      </c>
      <c r="E127" s="41" t="s">
        <v>26</v>
      </c>
      <c r="F127" s="41" t="s">
        <v>90</v>
      </c>
    </row>
    <row r="128" spans="1:6" ht="14" x14ac:dyDescent="0.15">
      <c r="A128" s="41" t="s">
        <v>77</v>
      </c>
      <c r="B128" s="38" t="s">
        <v>243</v>
      </c>
      <c r="C128" s="41" t="s">
        <v>244</v>
      </c>
      <c r="D128" s="41" t="s">
        <v>26</v>
      </c>
      <c r="E128" s="41" t="s">
        <v>26</v>
      </c>
      <c r="F128" s="41" t="s">
        <v>90</v>
      </c>
    </row>
    <row r="129" spans="1:6" ht="14" x14ac:dyDescent="0.15">
      <c r="A129" s="41" t="s">
        <v>77</v>
      </c>
      <c r="B129" s="38" t="s">
        <v>245</v>
      </c>
      <c r="C129" s="41" t="s">
        <v>246</v>
      </c>
      <c r="D129" s="41" t="s">
        <v>26</v>
      </c>
      <c r="E129" s="41" t="s">
        <v>26</v>
      </c>
      <c r="F129" s="41" t="s">
        <v>90</v>
      </c>
    </row>
    <row r="130" spans="1:6" ht="14" x14ac:dyDescent="0.15">
      <c r="A130" s="41" t="s">
        <v>77</v>
      </c>
      <c r="B130" s="38" t="s">
        <v>247</v>
      </c>
      <c r="C130" s="41" t="s">
        <v>248</v>
      </c>
      <c r="D130" s="41" t="s">
        <v>26</v>
      </c>
      <c r="E130" s="41" t="s">
        <v>26</v>
      </c>
      <c r="F130" s="41" t="s">
        <v>90</v>
      </c>
    </row>
    <row r="131" spans="1:6" ht="14" x14ac:dyDescent="0.15">
      <c r="A131" s="41" t="s">
        <v>77</v>
      </c>
      <c r="B131" s="38" t="s">
        <v>249</v>
      </c>
      <c r="C131" s="41" t="s">
        <v>250</v>
      </c>
      <c r="D131" s="41" t="s">
        <v>26</v>
      </c>
      <c r="E131" s="41" t="s">
        <v>26</v>
      </c>
      <c r="F131" s="41" t="s">
        <v>90</v>
      </c>
    </row>
    <row r="132" spans="1:6" ht="14" x14ac:dyDescent="0.15">
      <c r="A132" s="41" t="s">
        <v>77</v>
      </c>
      <c r="B132" s="38" t="s">
        <v>251</v>
      </c>
      <c r="C132" s="41" t="s">
        <v>252</v>
      </c>
      <c r="D132" s="41" t="s">
        <v>26</v>
      </c>
      <c r="E132" s="41" t="s">
        <v>26</v>
      </c>
      <c r="F132" s="41" t="s">
        <v>90</v>
      </c>
    </row>
    <row r="133" spans="1:6" ht="14" x14ac:dyDescent="0.15">
      <c r="A133" s="41" t="s">
        <v>77</v>
      </c>
      <c r="B133" s="38" t="s">
        <v>253</v>
      </c>
      <c r="C133" s="41" t="s">
        <v>254</v>
      </c>
      <c r="D133" s="41" t="s">
        <v>26</v>
      </c>
      <c r="E133" s="41" t="s">
        <v>26</v>
      </c>
      <c r="F133" s="41" t="s">
        <v>90</v>
      </c>
    </row>
    <row r="134" spans="1:6" ht="14" x14ac:dyDescent="0.15">
      <c r="A134" s="41" t="s">
        <v>77</v>
      </c>
      <c r="B134" s="38" t="s">
        <v>255</v>
      </c>
      <c r="C134" s="41" t="s">
        <v>256</v>
      </c>
      <c r="D134" s="41" t="s">
        <v>26</v>
      </c>
      <c r="E134" s="41" t="s">
        <v>26</v>
      </c>
      <c r="F134" s="41" t="s">
        <v>90</v>
      </c>
    </row>
    <row r="135" spans="1:6" ht="14" x14ac:dyDescent="0.15">
      <c r="A135" s="41" t="s">
        <v>77</v>
      </c>
      <c r="B135" s="38" t="s">
        <v>257</v>
      </c>
      <c r="C135" s="41" t="s">
        <v>258</v>
      </c>
      <c r="D135" s="41" t="s">
        <v>26</v>
      </c>
      <c r="E135" s="41" t="s">
        <v>26</v>
      </c>
      <c r="F135" s="41" t="s">
        <v>90</v>
      </c>
    </row>
    <row r="136" spans="1:6" ht="14" x14ac:dyDescent="0.15">
      <c r="A136" s="41" t="s">
        <v>77</v>
      </c>
      <c r="B136" s="38" t="s">
        <v>259</v>
      </c>
      <c r="C136" s="41" t="s">
        <v>260</v>
      </c>
      <c r="D136" s="41" t="s">
        <v>26</v>
      </c>
      <c r="E136" s="41" t="s">
        <v>26</v>
      </c>
      <c r="F136" s="41" t="s">
        <v>90</v>
      </c>
    </row>
    <row r="137" spans="1:6" ht="14" x14ac:dyDescent="0.15">
      <c r="A137" s="41" t="s">
        <v>77</v>
      </c>
      <c r="B137" s="38" t="s">
        <v>261</v>
      </c>
      <c r="C137" s="41" t="s">
        <v>262</v>
      </c>
      <c r="D137" s="41" t="s">
        <v>26</v>
      </c>
      <c r="E137" s="41" t="s">
        <v>26</v>
      </c>
      <c r="F137" s="41" t="s">
        <v>90</v>
      </c>
    </row>
    <row r="138" spans="1:6" ht="14" x14ac:dyDescent="0.15">
      <c r="A138" s="41" t="s">
        <v>77</v>
      </c>
      <c r="B138" s="38" t="s">
        <v>263</v>
      </c>
      <c r="C138" s="41" t="s">
        <v>264</v>
      </c>
      <c r="D138" s="41" t="s">
        <v>26</v>
      </c>
      <c r="E138" s="41" t="s">
        <v>26</v>
      </c>
      <c r="F138" s="41" t="s">
        <v>90</v>
      </c>
    </row>
    <row r="139" spans="1:6" ht="14" x14ac:dyDescent="0.15">
      <c r="A139" s="41" t="s">
        <v>77</v>
      </c>
      <c r="B139" s="38" t="s">
        <v>265</v>
      </c>
      <c r="C139" s="41" t="s">
        <v>266</v>
      </c>
      <c r="D139" s="41" t="s">
        <v>26</v>
      </c>
      <c r="E139" s="41" t="s">
        <v>26</v>
      </c>
      <c r="F139" s="41" t="s">
        <v>11</v>
      </c>
    </row>
    <row r="140" spans="1:6" ht="14" x14ac:dyDescent="0.15">
      <c r="A140" s="41" t="s">
        <v>77</v>
      </c>
      <c r="B140" s="38" t="s">
        <v>267</v>
      </c>
      <c r="C140" s="41" t="s">
        <v>268</v>
      </c>
      <c r="D140" s="41" t="s">
        <v>26</v>
      </c>
      <c r="E140" s="41" t="s">
        <v>26</v>
      </c>
      <c r="F140" s="41" t="s">
        <v>11</v>
      </c>
    </row>
    <row r="141" spans="1:6" ht="14" x14ac:dyDescent="0.15">
      <c r="A141" s="41" t="s">
        <v>77</v>
      </c>
      <c r="B141" s="38" t="s">
        <v>269</v>
      </c>
      <c r="C141" s="41" t="s">
        <v>270</v>
      </c>
      <c r="D141" s="41" t="s">
        <v>26</v>
      </c>
      <c r="E141" s="41" t="s">
        <v>26</v>
      </c>
      <c r="F141" s="41" t="s">
        <v>11</v>
      </c>
    </row>
    <row r="142" spans="1:6" ht="14" x14ac:dyDescent="0.15">
      <c r="A142" s="41" t="s">
        <v>77</v>
      </c>
      <c r="B142" s="38" t="s">
        <v>271</v>
      </c>
      <c r="C142" s="41" t="s">
        <v>272</v>
      </c>
      <c r="D142" s="41" t="s">
        <v>26</v>
      </c>
      <c r="E142" s="41" t="s">
        <v>26</v>
      </c>
      <c r="F142" s="41" t="s">
        <v>11</v>
      </c>
    </row>
    <row r="143" spans="1:6" ht="14" x14ac:dyDescent="0.15">
      <c r="A143" s="41" t="s">
        <v>77</v>
      </c>
      <c r="B143" s="38" t="s">
        <v>273</v>
      </c>
      <c r="C143" s="41" t="s">
        <v>274</v>
      </c>
      <c r="D143" s="41" t="s">
        <v>275</v>
      </c>
      <c r="E143" s="41" t="s">
        <v>275</v>
      </c>
      <c r="F143" s="41" t="s">
        <v>11</v>
      </c>
    </row>
    <row r="144" spans="1:6" ht="14" x14ac:dyDescent="0.15">
      <c r="A144" s="41" t="s">
        <v>77</v>
      </c>
      <c r="B144" s="38" t="s">
        <v>276</v>
      </c>
      <c r="C144" s="41" t="s">
        <v>277</v>
      </c>
      <c r="D144" s="41" t="s">
        <v>275</v>
      </c>
      <c r="E144" s="41" t="s">
        <v>275</v>
      </c>
      <c r="F144" s="41" t="s">
        <v>11</v>
      </c>
    </row>
    <row r="145" spans="1:6" ht="14" x14ac:dyDescent="0.15">
      <c r="A145" s="41" t="s">
        <v>77</v>
      </c>
      <c r="B145" s="38" t="s">
        <v>278</v>
      </c>
      <c r="C145" s="41" t="s">
        <v>279</v>
      </c>
      <c r="D145" s="41" t="s">
        <v>275</v>
      </c>
      <c r="E145" s="41" t="s">
        <v>275</v>
      </c>
      <c r="F145" s="41" t="s">
        <v>11</v>
      </c>
    </row>
    <row r="146" spans="1:6" ht="14" x14ac:dyDescent="0.15">
      <c r="A146" s="41" t="s">
        <v>77</v>
      </c>
      <c r="B146" s="38" t="s">
        <v>280</v>
      </c>
      <c r="C146" s="41" t="s">
        <v>281</v>
      </c>
      <c r="D146" s="41" t="s">
        <v>275</v>
      </c>
      <c r="E146" s="41" t="s">
        <v>275</v>
      </c>
      <c r="F146" s="41" t="s">
        <v>11</v>
      </c>
    </row>
    <row r="147" spans="1:6" ht="14" x14ac:dyDescent="0.15">
      <c r="A147" s="41" t="s">
        <v>77</v>
      </c>
      <c r="B147" s="38" t="s">
        <v>282</v>
      </c>
      <c r="C147" s="41" t="s">
        <v>283</v>
      </c>
      <c r="D147" s="41" t="s">
        <v>275</v>
      </c>
      <c r="E147" s="41" t="s">
        <v>275</v>
      </c>
      <c r="F147" s="41" t="s">
        <v>11</v>
      </c>
    </row>
    <row r="148" spans="1:6" ht="14" x14ac:dyDescent="0.15">
      <c r="A148" s="41" t="s">
        <v>77</v>
      </c>
      <c r="B148" s="38" t="s">
        <v>284</v>
      </c>
      <c r="C148" s="41" t="s">
        <v>285</v>
      </c>
      <c r="D148" s="41" t="s">
        <v>275</v>
      </c>
      <c r="E148" s="41" t="s">
        <v>275</v>
      </c>
      <c r="F148" s="41" t="s">
        <v>11</v>
      </c>
    </row>
    <row r="149" spans="1:6" ht="14" x14ac:dyDescent="0.15">
      <c r="A149" s="41" t="s">
        <v>77</v>
      </c>
      <c r="B149" s="38" t="s">
        <v>286</v>
      </c>
      <c r="C149" s="41" t="s">
        <v>287</v>
      </c>
      <c r="D149" s="41" t="s">
        <v>275</v>
      </c>
      <c r="E149" s="41" t="s">
        <v>275</v>
      </c>
      <c r="F149" s="41" t="s">
        <v>11</v>
      </c>
    </row>
    <row r="150" spans="1:6" ht="14" x14ac:dyDescent="0.15">
      <c r="A150" s="41" t="s">
        <v>77</v>
      </c>
      <c r="B150" s="38" t="s">
        <v>288</v>
      </c>
      <c r="C150" s="41" t="s">
        <v>289</v>
      </c>
      <c r="D150" s="38" t="s">
        <v>290</v>
      </c>
      <c r="E150" s="41" t="s">
        <v>290</v>
      </c>
      <c r="F150" s="41" t="s">
        <v>11</v>
      </c>
    </row>
    <row r="151" spans="1:6" ht="14" x14ac:dyDescent="0.15">
      <c r="A151" s="41" t="s">
        <v>77</v>
      </c>
      <c r="B151" s="38" t="s">
        <v>291</v>
      </c>
      <c r="C151" s="41" t="s">
        <v>292</v>
      </c>
      <c r="D151" s="38" t="s">
        <v>290</v>
      </c>
      <c r="E151" s="41" t="s">
        <v>290</v>
      </c>
      <c r="F151" s="41" t="s">
        <v>11</v>
      </c>
    </row>
    <row r="152" spans="1:6" ht="14" x14ac:dyDescent="0.15">
      <c r="A152" s="41" t="s">
        <v>77</v>
      </c>
      <c r="B152" s="38" t="s">
        <v>293</v>
      </c>
      <c r="C152" s="41" t="s">
        <v>294</v>
      </c>
      <c r="D152" s="38" t="s">
        <v>290</v>
      </c>
      <c r="E152" s="41" t="s">
        <v>290</v>
      </c>
      <c r="F152" s="41" t="s">
        <v>11</v>
      </c>
    </row>
    <row r="153" spans="1:6" ht="14" x14ac:dyDescent="0.15">
      <c r="A153" s="41" t="s">
        <v>77</v>
      </c>
      <c r="B153" s="38" t="s">
        <v>295</v>
      </c>
      <c r="C153" s="41" t="s">
        <v>296</v>
      </c>
      <c r="D153" s="38" t="s">
        <v>297</v>
      </c>
      <c r="E153" s="41" t="s">
        <v>297</v>
      </c>
      <c r="F153" s="41" t="s">
        <v>11</v>
      </c>
    </row>
    <row r="154" spans="1:6" ht="14" x14ac:dyDescent="0.15">
      <c r="A154" s="41" t="s">
        <v>77</v>
      </c>
      <c r="B154" s="38" t="s">
        <v>298</v>
      </c>
      <c r="C154" s="41" t="s">
        <v>299</v>
      </c>
      <c r="D154" s="38" t="s">
        <v>297</v>
      </c>
      <c r="E154" s="41" t="s">
        <v>297</v>
      </c>
      <c r="F154" s="41" t="s">
        <v>11</v>
      </c>
    </row>
    <row r="155" spans="1:6" ht="14" x14ac:dyDescent="0.15">
      <c r="A155" s="41" t="s">
        <v>77</v>
      </c>
      <c r="B155" s="38" t="s">
        <v>300</v>
      </c>
      <c r="C155" s="41" t="s">
        <v>301</v>
      </c>
      <c r="D155" s="38" t="s">
        <v>297</v>
      </c>
      <c r="E155" s="41" t="s">
        <v>297</v>
      </c>
      <c r="F155" s="41" t="s">
        <v>11</v>
      </c>
    </row>
    <row r="156" spans="1:6" ht="14" x14ac:dyDescent="0.15">
      <c r="A156" s="41" t="s">
        <v>77</v>
      </c>
      <c r="B156" s="38" t="s">
        <v>302</v>
      </c>
      <c r="C156" s="41" t="s">
        <v>303</v>
      </c>
      <c r="D156" s="38" t="s">
        <v>297</v>
      </c>
      <c r="E156" s="41" t="s">
        <v>297</v>
      </c>
      <c r="F156" s="41" t="s">
        <v>11</v>
      </c>
    </row>
    <row r="157" spans="1:6" ht="14" x14ac:dyDescent="0.15">
      <c r="A157" s="41" t="s">
        <v>77</v>
      </c>
      <c r="B157" s="38" t="s">
        <v>304</v>
      </c>
      <c r="C157" s="41" t="s">
        <v>305</v>
      </c>
      <c r="D157" s="38" t="s">
        <v>297</v>
      </c>
      <c r="E157" s="41" t="s">
        <v>297</v>
      </c>
      <c r="F157" s="41" t="s">
        <v>11</v>
      </c>
    </row>
    <row r="158" spans="1:6" ht="14" x14ac:dyDescent="0.15">
      <c r="A158" s="41" t="s">
        <v>77</v>
      </c>
      <c r="B158" s="38" t="s">
        <v>306</v>
      </c>
      <c r="C158" s="41" t="s">
        <v>307</v>
      </c>
      <c r="D158" s="38" t="s">
        <v>308</v>
      </c>
      <c r="E158" s="41" t="s">
        <v>1495</v>
      </c>
      <c r="F158" s="41" t="s">
        <v>11</v>
      </c>
    </row>
    <row r="159" spans="1:6" ht="14" x14ac:dyDescent="0.15">
      <c r="A159" s="41" t="s">
        <v>77</v>
      </c>
      <c r="B159" s="38" t="s">
        <v>309</v>
      </c>
      <c r="C159" s="41" t="s">
        <v>310</v>
      </c>
      <c r="D159" s="38" t="s">
        <v>308</v>
      </c>
      <c r="E159" s="41" t="s">
        <v>1496</v>
      </c>
      <c r="F159" s="41" t="s">
        <v>11</v>
      </c>
    </row>
    <row r="160" spans="1:6" ht="14" x14ac:dyDescent="0.15">
      <c r="A160" s="41" t="s">
        <v>77</v>
      </c>
      <c r="B160" s="38" t="s">
        <v>311</v>
      </c>
      <c r="C160" s="41" t="s">
        <v>312</v>
      </c>
      <c r="D160" s="41" t="s">
        <v>313</v>
      </c>
      <c r="E160" s="41" t="s">
        <v>313</v>
      </c>
      <c r="F160" s="41" t="s">
        <v>11</v>
      </c>
    </row>
    <row r="161" spans="1:6" ht="14" x14ac:dyDescent="0.15">
      <c r="A161" s="41" t="s">
        <v>77</v>
      </c>
      <c r="B161" s="38" t="s">
        <v>314</v>
      </c>
      <c r="C161" s="41" t="s">
        <v>315</v>
      </c>
      <c r="D161" s="41" t="s">
        <v>316</v>
      </c>
      <c r="E161" s="41" t="s">
        <v>316</v>
      </c>
      <c r="F161" s="41" t="s">
        <v>11</v>
      </c>
    </row>
    <row r="162" spans="1:6" ht="14" x14ac:dyDescent="0.15">
      <c r="A162" s="41" t="s">
        <v>317</v>
      </c>
      <c r="B162" s="38" t="s">
        <v>318</v>
      </c>
      <c r="C162" s="41" t="s">
        <v>274</v>
      </c>
      <c r="D162" s="41" t="s">
        <v>275</v>
      </c>
      <c r="E162" s="41" t="s">
        <v>275</v>
      </c>
      <c r="F162" s="41" t="s">
        <v>11</v>
      </c>
    </row>
    <row r="163" spans="1:6" ht="14" x14ac:dyDescent="0.15">
      <c r="A163" s="41" t="s">
        <v>317</v>
      </c>
      <c r="B163" s="38" t="s">
        <v>319</v>
      </c>
      <c r="C163" s="41" t="s">
        <v>285</v>
      </c>
      <c r="D163" s="41" t="s">
        <v>275</v>
      </c>
      <c r="E163" s="41" t="s">
        <v>275</v>
      </c>
      <c r="F163" s="41" t="s">
        <v>11</v>
      </c>
    </row>
    <row r="164" spans="1:6" ht="14" x14ac:dyDescent="0.15">
      <c r="A164" s="41" t="s">
        <v>317</v>
      </c>
      <c r="B164" s="38" t="s">
        <v>320</v>
      </c>
      <c r="C164" s="41" t="s">
        <v>277</v>
      </c>
      <c r="D164" s="41" t="s">
        <v>275</v>
      </c>
      <c r="E164" s="41" t="s">
        <v>275</v>
      </c>
      <c r="F164" s="41" t="s">
        <v>11</v>
      </c>
    </row>
    <row r="165" spans="1:6" ht="14" x14ac:dyDescent="0.15">
      <c r="A165" s="41" t="s">
        <v>317</v>
      </c>
      <c r="B165" s="38" t="s">
        <v>321</v>
      </c>
      <c r="C165" s="41" t="s">
        <v>289</v>
      </c>
      <c r="D165" s="38" t="s">
        <v>290</v>
      </c>
      <c r="E165" s="38" t="s">
        <v>290</v>
      </c>
      <c r="F165" s="41" t="s">
        <v>11</v>
      </c>
    </row>
    <row r="166" spans="1:6" ht="14" x14ac:dyDescent="0.15">
      <c r="A166" s="41" t="s">
        <v>317</v>
      </c>
      <c r="B166" s="38" t="s">
        <v>322</v>
      </c>
      <c r="C166" s="41" t="s">
        <v>301</v>
      </c>
      <c r="D166" s="38" t="s">
        <v>297</v>
      </c>
      <c r="E166" s="38" t="s">
        <v>297</v>
      </c>
      <c r="F166" s="41" t="s">
        <v>11</v>
      </c>
    </row>
    <row r="167" spans="1:6" ht="14" x14ac:dyDescent="0.15">
      <c r="A167" s="41" t="s">
        <v>317</v>
      </c>
      <c r="B167" s="38" t="s">
        <v>323</v>
      </c>
      <c r="C167" s="41" t="s">
        <v>299</v>
      </c>
      <c r="D167" s="38" t="s">
        <v>297</v>
      </c>
      <c r="E167" s="38" t="s">
        <v>297</v>
      </c>
      <c r="F167" s="41" t="s">
        <v>11</v>
      </c>
    </row>
    <row r="168" spans="1:6" ht="14" x14ac:dyDescent="0.15">
      <c r="A168" s="41" t="s">
        <v>317</v>
      </c>
      <c r="B168" s="38" t="s">
        <v>324</v>
      </c>
      <c r="C168" s="41" t="s">
        <v>296</v>
      </c>
      <c r="D168" s="38" t="s">
        <v>297</v>
      </c>
      <c r="E168" s="38" t="s">
        <v>297</v>
      </c>
      <c r="F168" s="41" t="s">
        <v>11</v>
      </c>
    </row>
    <row r="169" spans="1:6" ht="14" x14ac:dyDescent="0.15">
      <c r="A169" s="41" t="s">
        <v>317</v>
      </c>
      <c r="B169" s="38" t="s">
        <v>325</v>
      </c>
      <c r="C169" s="41" t="s">
        <v>305</v>
      </c>
      <c r="D169" s="38" t="s">
        <v>297</v>
      </c>
      <c r="E169" s="38" t="s">
        <v>297</v>
      </c>
      <c r="F169" s="41" t="s">
        <v>11</v>
      </c>
    </row>
    <row r="170" spans="1:6" ht="14" x14ac:dyDescent="0.15">
      <c r="A170" s="41" t="s">
        <v>317</v>
      </c>
      <c r="B170" s="38" t="s">
        <v>326</v>
      </c>
      <c r="C170" s="41" t="s">
        <v>303</v>
      </c>
      <c r="D170" s="38" t="s">
        <v>297</v>
      </c>
      <c r="E170" s="38" t="s">
        <v>297</v>
      </c>
      <c r="F170" s="41" t="s">
        <v>11</v>
      </c>
    </row>
    <row r="171" spans="1:6" ht="14" x14ac:dyDescent="0.15">
      <c r="A171" s="41" t="s">
        <v>317</v>
      </c>
      <c r="B171" s="38" t="s">
        <v>327</v>
      </c>
      <c r="C171" s="41" t="s">
        <v>328</v>
      </c>
      <c r="D171" s="41" t="s">
        <v>69</v>
      </c>
      <c r="E171" s="41" t="s">
        <v>69</v>
      </c>
      <c r="F171" s="41" t="s">
        <v>11</v>
      </c>
    </row>
    <row r="172" spans="1:6" ht="14" x14ac:dyDescent="0.15">
      <c r="A172" s="41" t="s">
        <v>317</v>
      </c>
      <c r="B172" s="38" t="s">
        <v>329</v>
      </c>
      <c r="C172" s="41" t="s">
        <v>330</v>
      </c>
      <c r="D172" s="41" t="s">
        <v>69</v>
      </c>
      <c r="E172" s="41" t="s">
        <v>69</v>
      </c>
      <c r="F172" s="41" t="s">
        <v>11</v>
      </c>
    </row>
    <row r="173" spans="1:6" ht="14" x14ac:dyDescent="0.15">
      <c r="A173" s="41" t="s">
        <v>317</v>
      </c>
      <c r="B173" s="38" t="s">
        <v>331</v>
      </c>
      <c r="C173" s="41" t="s">
        <v>118</v>
      </c>
      <c r="D173" s="41" t="s">
        <v>69</v>
      </c>
      <c r="E173" s="41" t="s">
        <v>69</v>
      </c>
      <c r="F173" s="41" t="s">
        <v>11</v>
      </c>
    </row>
    <row r="174" spans="1:6" ht="14" x14ac:dyDescent="0.15">
      <c r="A174" s="41" t="s">
        <v>317</v>
      </c>
      <c r="B174" s="38" t="s">
        <v>332</v>
      </c>
      <c r="C174" s="41" t="s">
        <v>120</v>
      </c>
      <c r="D174" s="41" t="s">
        <v>69</v>
      </c>
      <c r="E174" s="41" t="s">
        <v>69</v>
      </c>
      <c r="F174" s="41" t="s">
        <v>11</v>
      </c>
    </row>
    <row r="175" spans="1:6" ht="14" x14ac:dyDescent="0.15">
      <c r="A175" s="41" t="s">
        <v>317</v>
      </c>
      <c r="B175" s="38" t="s">
        <v>333</v>
      </c>
      <c r="C175" s="41" t="s">
        <v>266</v>
      </c>
      <c r="D175" s="41" t="s">
        <v>26</v>
      </c>
      <c r="E175" s="41" t="s">
        <v>26</v>
      </c>
      <c r="F175" s="41" t="s">
        <v>11</v>
      </c>
    </row>
    <row r="176" spans="1:6" ht="14" x14ac:dyDescent="0.15">
      <c r="A176" s="41" t="s">
        <v>317</v>
      </c>
      <c r="B176" s="38" t="s">
        <v>334</v>
      </c>
      <c r="C176" s="41" t="s">
        <v>270</v>
      </c>
      <c r="D176" s="41" t="s">
        <v>26</v>
      </c>
      <c r="E176" s="41" t="s">
        <v>26</v>
      </c>
      <c r="F176" s="41" t="s">
        <v>11</v>
      </c>
    </row>
    <row r="177" spans="1:6" ht="14" x14ac:dyDescent="0.15">
      <c r="A177" s="41" t="s">
        <v>317</v>
      </c>
      <c r="B177" s="38" t="s">
        <v>335</v>
      </c>
      <c r="C177" s="41" t="s">
        <v>174</v>
      </c>
      <c r="D177" s="41" t="s">
        <v>26</v>
      </c>
      <c r="E177" s="41" t="s">
        <v>26</v>
      </c>
      <c r="F177" s="41" t="s">
        <v>11</v>
      </c>
    </row>
    <row r="178" spans="1:6" ht="14" x14ac:dyDescent="0.15">
      <c r="A178" s="41" t="s">
        <v>317</v>
      </c>
      <c r="B178" s="38" t="s">
        <v>336</v>
      </c>
      <c r="C178" s="41" t="s">
        <v>172</v>
      </c>
      <c r="D178" s="41" t="s">
        <v>26</v>
      </c>
      <c r="E178" s="41" t="s">
        <v>26</v>
      </c>
      <c r="F178" s="41" t="s">
        <v>11</v>
      </c>
    </row>
    <row r="179" spans="1:6" ht="14" x14ac:dyDescent="0.15">
      <c r="A179" s="41" t="s">
        <v>317</v>
      </c>
      <c r="B179" s="38" t="s">
        <v>337</v>
      </c>
      <c r="C179" s="41" t="s">
        <v>81</v>
      </c>
      <c r="D179" s="41" t="s">
        <v>73</v>
      </c>
      <c r="E179" s="41" t="s">
        <v>73</v>
      </c>
      <c r="F179" s="41" t="s">
        <v>11</v>
      </c>
    </row>
    <row r="180" spans="1:6" ht="14" x14ac:dyDescent="0.15">
      <c r="A180" s="41" t="s">
        <v>317</v>
      </c>
      <c r="B180" s="38" t="s">
        <v>338</v>
      </c>
      <c r="C180" s="41" t="s">
        <v>108</v>
      </c>
      <c r="D180" s="41" t="s">
        <v>73</v>
      </c>
      <c r="E180" s="41" t="s">
        <v>73</v>
      </c>
      <c r="F180" s="41" t="s">
        <v>11</v>
      </c>
    </row>
    <row r="181" spans="1:6" ht="14" x14ac:dyDescent="0.15">
      <c r="A181" s="41" t="s">
        <v>317</v>
      </c>
      <c r="B181" s="38" t="s">
        <v>339</v>
      </c>
      <c r="C181" s="41" t="s">
        <v>96</v>
      </c>
      <c r="D181" s="41" t="s">
        <v>73</v>
      </c>
      <c r="E181" s="41" t="s">
        <v>73</v>
      </c>
      <c r="F181" s="41" t="s">
        <v>11</v>
      </c>
    </row>
    <row r="182" spans="1:6" ht="14" x14ac:dyDescent="0.15">
      <c r="A182" s="41" t="s">
        <v>317</v>
      </c>
      <c r="B182" s="38" t="s">
        <v>340</v>
      </c>
      <c r="C182" s="41" t="s">
        <v>89</v>
      </c>
      <c r="D182" s="41" t="s">
        <v>73</v>
      </c>
      <c r="E182" s="41" t="s">
        <v>73</v>
      </c>
      <c r="F182" s="41" t="s">
        <v>11</v>
      </c>
    </row>
    <row r="183" spans="1:6" ht="14" x14ac:dyDescent="0.15">
      <c r="A183" s="41" t="s">
        <v>317</v>
      </c>
      <c r="B183" s="38" t="s">
        <v>341</v>
      </c>
      <c r="C183" s="41" t="s">
        <v>114</v>
      </c>
      <c r="D183" s="41" t="s">
        <v>73</v>
      </c>
      <c r="E183" s="41" t="s">
        <v>73</v>
      </c>
      <c r="F183" s="41" t="s">
        <v>11</v>
      </c>
    </row>
    <row r="184" spans="1:6" ht="14" x14ac:dyDescent="0.15">
      <c r="A184" s="41" t="s">
        <v>317</v>
      </c>
      <c r="B184" s="38" t="s">
        <v>342</v>
      </c>
      <c r="C184" s="41" t="s">
        <v>85</v>
      </c>
      <c r="D184" s="41" t="s">
        <v>73</v>
      </c>
      <c r="E184" s="41" t="s">
        <v>73</v>
      </c>
      <c r="F184" s="41" t="s">
        <v>11</v>
      </c>
    </row>
    <row r="185" spans="1:6" ht="14" x14ac:dyDescent="0.15">
      <c r="A185" s="41" t="s">
        <v>317</v>
      </c>
      <c r="B185" s="38" t="s">
        <v>343</v>
      </c>
      <c r="C185" s="38">
        <v>366</v>
      </c>
      <c r="D185" s="41" t="s">
        <v>73</v>
      </c>
      <c r="E185" s="41" t="s">
        <v>73</v>
      </c>
      <c r="F185" s="41" t="s">
        <v>11</v>
      </c>
    </row>
    <row r="1048575" s="41" customFormat="1" ht="12.75" customHeight="1" x14ac:dyDescent="0.15"/>
    <row r="1048576" s="41" customFormat="1" ht="12.75" customHeight="1" x14ac:dyDescent="0.1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zoomScale="80" zoomScaleNormal="80" workbookViewId="0"/>
  </sheetViews>
  <sheetFormatPr baseColWidth="10" defaultColWidth="10.83203125" defaultRowHeight="14.25" customHeight="1" x14ac:dyDescent="0.15"/>
  <cols>
    <col min="1" max="1" width="22.6640625" style="4" customWidth="1"/>
    <col min="2" max="6" width="12.33203125" style="4" customWidth="1"/>
    <col min="7" max="7" width="13.6640625" style="4" customWidth="1"/>
    <col min="8" max="8" width="49" style="4" customWidth="1"/>
    <col min="9" max="16384" width="10.83203125" style="4"/>
  </cols>
  <sheetData>
    <row r="1" spans="1:8" ht="14" x14ac:dyDescent="0.15">
      <c r="A1" s="5" t="s">
        <v>6331</v>
      </c>
    </row>
    <row r="3" spans="1:8" ht="14" x14ac:dyDescent="0.15">
      <c r="A3" s="6" t="s">
        <v>344</v>
      </c>
      <c r="B3" s="6" t="s">
        <v>345</v>
      </c>
      <c r="C3" s="6" t="s">
        <v>346</v>
      </c>
      <c r="D3" s="6" t="s">
        <v>347</v>
      </c>
      <c r="E3" s="6" t="s">
        <v>348</v>
      </c>
      <c r="F3" s="6" t="s">
        <v>349</v>
      </c>
      <c r="G3" s="6" t="s">
        <v>350</v>
      </c>
      <c r="H3" s="6" t="s">
        <v>351</v>
      </c>
    </row>
    <row r="4" spans="1:8" ht="14" x14ac:dyDescent="0.15">
      <c r="A4" s="7" t="s">
        <v>73</v>
      </c>
      <c r="B4" s="8" t="s">
        <v>352</v>
      </c>
      <c r="C4" s="8" t="s">
        <v>353</v>
      </c>
      <c r="D4" s="8" t="s">
        <v>354</v>
      </c>
      <c r="E4" s="8">
        <v>19</v>
      </c>
      <c r="F4" s="8" t="s">
        <v>355</v>
      </c>
      <c r="G4" s="8" t="s">
        <v>356</v>
      </c>
      <c r="H4" s="8" t="s">
        <v>357</v>
      </c>
    </row>
    <row r="5" spans="1:8" ht="14" x14ac:dyDescent="0.15">
      <c r="A5" s="7" t="s">
        <v>73</v>
      </c>
      <c r="B5" s="8" t="s">
        <v>352</v>
      </c>
      <c r="C5" s="8" t="s">
        <v>358</v>
      </c>
      <c r="D5" s="8" t="s">
        <v>359</v>
      </c>
      <c r="E5" s="8">
        <v>22</v>
      </c>
      <c r="F5" s="8" t="s">
        <v>355</v>
      </c>
      <c r="G5" s="8" t="s">
        <v>360</v>
      </c>
      <c r="H5" s="8" t="s">
        <v>361</v>
      </c>
    </row>
    <row r="6" spans="1:8" ht="14" x14ac:dyDescent="0.15">
      <c r="A6" s="7" t="s">
        <v>73</v>
      </c>
      <c r="B6" s="8" t="s">
        <v>352</v>
      </c>
      <c r="C6" s="8" t="s">
        <v>362</v>
      </c>
      <c r="D6" s="8" t="s">
        <v>363</v>
      </c>
      <c r="E6" s="8">
        <v>25</v>
      </c>
      <c r="F6" s="8" t="s">
        <v>355</v>
      </c>
      <c r="G6" s="8" t="s">
        <v>364</v>
      </c>
      <c r="H6" s="8" t="s">
        <v>365</v>
      </c>
    </row>
    <row r="7" spans="1:8" ht="14" x14ac:dyDescent="0.15">
      <c r="A7" s="7"/>
      <c r="B7" s="8"/>
      <c r="C7" s="8"/>
      <c r="D7" s="8"/>
      <c r="E7" s="8"/>
      <c r="F7" s="8"/>
      <c r="G7" s="8"/>
      <c r="H7" s="8"/>
    </row>
    <row r="8" spans="1:8" ht="14" x14ac:dyDescent="0.15">
      <c r="A8" s="7" t="s">
        <v>26</v>
      </c>
      <c r="B8" s="8" t="s">
        <v>366</v>
      </c>
      <c r="C8" s="8" t="s">
        <v>353</v>
      </c>
      <c r="D8" s="8" t="s">
        <v>367</v>
      </c>
      <c r="E8" s="8">
        <v>22</v>
      </c>
      <c r="F8" s="8" t="s">
        <v>368</v>
      </c>
      <c r="G8" s="8" t="s">
        <v>369</v>
      </c>
      <c r="H8" s="8" t="s">
        <v>370</v>
      </c>
    </row>
    <row r="9" spans="1:8" ht="14" x14ac:dyDescent="0.15">
      <c r="A9" s="7" t="s">
        <v>26</v>
      </c>
      <c r="B9" s="8" t="s">
        <v>366</v>
      </c>
      <c r="C9" s="8" t="s">
        <v>358</v>
      </c>
      <c r="D9" s="8" t="s">
        <v>371</v>
      </c>
      <c r="E9" s="8">
        <v>19</v>
      </c>
      <c r="F9" s="8" t="s">
        <v>368</v>
      </c>
      <c r="G9" s="8" t="s">
        <v>372</v>
      </c>
      <c r="H9" s="8" t="s">
        <v>373</v>
      </c>
    </row>
    <row r="10" spans="1:8" ht="14" x14ac:dyDescent="0.15">
      <c r="A10" s="7" t="s">
        <v>26</v>
      </c>
      <c r="B10" s="8" t="s">
        <v>366</v>
      </c>
      <c r="C10" s="8" t="s">
        <v>362</v>
      </c>
      <c r="D10" s="8" t="s">
        <v>374</v>
      </c>
      <c r="E10" s="8">
        <v>28</v>
      </c>
      <c r="F10" s="8" t="s">
        <v>368</v>
      </c>
      <c r="G10" s="8" t="s">
        <v>375</v>
      </c>
      <c r="H10" s="8" t="s">
        <v>376</v>
      </c>
    </row>
    <row r="11" spans="1:8" ht="14" x14ac:dyDescent="0.15">
      <c r="A11" s="7"/>
      <c r="B11" s="8"/>
      <c r="C11" s="8"/>
      <c r="D11" s="8"/>
      <c r="E11" s="8"/>
      <c r="F11" s="8"/>
      <c r="G11" s="8"/>
      <c r="H11" s="8"/>
    </row>
    <row r="12" spans="1:8" ht="14" x14ac:dyDescent="0.15">
      <c r="A12" s="7" t="s">
        <v>69</v>
      </c>
      <c r="B12" s="8" t="s">
        <v>377</v>
      </c>
      <c r="C12" s="8" t="s">
        <v>353</v>
      </c>
      <c r="D12" s="8" t="s">
        <v>378</v>
      </c>
      <c r="E12" s="8">
        <v>22</v>
      </c>
      <c r="F12" s="8" t="s">
        <v>379</v>
      </c>
      <c r="G12" s="8" t="s">
        <v>380</v>
      </c>
      <c r="H12" s="8" t="s">
        <v>381</v>
      </c>
    </row>
    <row r="13" spans="1:8" ht="14" x14ac:dyDescent="0.15">
      <c r="A13" s="7" t="s">
        <v>69</v>
      </c>
      <c r="B13" s="8" t="s">
        <v>377</v>
      </c>
      <c r="C13" s="8" t="s">
        <v>358</v>
      </c>
      <c r="D13" s="8" t="s">
        <v>382</v>
      </c>
      <c r="E13" s="8">
        <v>22</v>
      </c>
      <c r="F13" s="8" t="s">
        <v>379</v>
      </c>
      <c r="G13" s="8" t="s">
        <v>383</v>
      </c>
      <c r="H13" s="8" t="s">
        <v>384</v>
      </c>
    </row>
    <row r="14" spans="1:8" ht="14" x14ac:dyDescent="0.15">
      <c r="A14" s="7" t="s">
        <v>69</v>
      </c>
      <c r="B14" s="8" t="s">
        <v>377</v>
      </c>
      <c r="C14" s="8" t="s">
        <v>362</v>
      </c>
      <c r="D14" s="8" t="s">
        <v>385</v>
      </c>
      <c r="E14" s="8">
        <v>26</v>
      </c>
      <c r="F14" s="8" t="s">
        <v>379</v>
      </c>
      <c r="G14" s="8" t="s">
        <v>386</v>
      </c>
      <c r="H14" s="8" t="s">
        <v>387</v>
      </c>
    </row>
    <row r="16" spans="1:8" ht="14" x14ac:dyDescent="0.15">
      <c r="A16" s="4" t="s">
        <v>388</v>
      </c>
      <c r="B16" s="4" t="s">
        <v>389</v>
      </c>
      <c r="C16" s="8" t="s">
        <v>353</v>
      </c>
      <c r="D16" s="4" t="s">
        <v>390</v>
      </c>
      <c r="E16" s="8">
        <v>21</v>
      </c>
      <c r="F16" s="4" t="s">
        <v>368</v>
      </c>
      <c r="G16" s="4" t="s">
        <v>391</v>
      </c>
      <c r="H16" s="4" t="s">
        <v>392</v>
      </c>
    </row>
    <row r="17" spans="1:8" ht="14" x14ac:dyDescent="0.15">
      <c r="A17" s="4" t="s">
        <v>388</v>
      </c>
      <c r="B17" s="4" t="s">
        <v>389</v>
      </c>
      <c r="C17" s="8" t="s">
        <v>358</v>
      </c>
      <c r="D17" s="4" t="s">
        <v>393</v>
      </c>
      <c r="E17" s="8">
        <v>23</v>
      </c>
      <c r="F17" s="4" t="s">
        <v>368</v>
      </c>
      <c r="G17" s="4" t="s">
        <v>394</v>
      </c>
      <c r="H17" s="4" t="s">
        <v>395</v>
      </c>
    </row>
    <row r="18" spans="1:8" ht="16" x14ac:dyDescent="0.2">
      <c r="A18" s="2"/>
    </row>
    <row r="19" spans="1:8" ht="14" x14ac:dyDescent="0.15">
      <c r="A19" s="4" t="s">
        <v>388</v>
      </c>
      <c r="B19" s="4" t="s">
        <v>396</v>
      </c>
      <c r="C19" s="8" t="s">
        <v>353</v>
      </c>
      <c r="D19" s="4" t="s">
        <v>397</v>
      </c>
      <c r="E19" s="8">
        <v>27</v>
      </c>
      <c r="F19" s="4" t="s">
        <v>398</v>
      </c>
      <c r="G19" s="4" t="s">
        <v>399</v>
      </c>
      <c r="H19" s="4" t="s">
        <v>400</v>
      </c>
    </row>
    <row r="20" spans="1:8" ht="14" x14ac:dyDescent="0.15">
      <c r="A20" s="4" t="s">
        <v>388</v>
      </c>
      <c r="B20" s="4" t="s">
        <v>396</v>
      </c>
      <c r="C20" s="8" t="s">
        <v>358</v>
      </c>
      <c r="D20" s="4" t="s">
        <v>401</v>
      </c>
      <c r="E20" s="8">
        <v>25</v>
      </c>
      <c r="F20" s="4" t="s">
        <v>398</v>
      </c>
      <c r="G20" s="4" t="s">
        <v>402</v>
      </c>
      <c r="H20" s="4" t="s">
        <v>403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9A80-4765-A94E-850D-FC2251CFEF18}">
  <dimension ref="A1:AC259"/>
  <sheetViews>
    <sheetView zoomScale="80" zoomScaleNormal="80" workbookViewId="0"/>
  </sheetViews>
  <sheetFormatPr baseColWidth="10" defaultColWidth="11.33203125" defaultRowHeight="14" x14ac:dyDescent="0.15"/>
  <cols>
    <col min="1" max="1" width="11.33203125" style="41"/>
    <col min="2" max="2" width="25.1640625" style="41" customWidth="1"/>
    <col min="3" max="3" width="16.1640625" style="41" bestFit="1" customWidth="1"/>
    <col min="4" max="11" width="11.33203125" style="41"/>
    <col min="12" max="12" width="22.6640625" style="41" customWidth="1"/>
    <col min="13" max="21" width="11.33203125" style="41"/>
    <col min="22" max="22" width="24.1640625" style="41" customWidth="1"/>
    <col min="23" max="16384" width="11.33203125" style="41"/>
  </cols>
  <sheetData>
    <row r="1" spans="1:29" x14ac:dyDescent="0.15">
      <c r="A1" s="6" t="s">
        <v>6582</v>
      </c>
    </row>
    <row r="3" spans="1:29" x14ac:dyDescent="0.15">
      <c r="A3" s="51" t="s">
        <v>5510</v>
      </c>
      <c r="K3" s="51" t="s">
        <v>5511</v>
      </c>
      <c r="U3" s="51" t="s">
        <v>5512</v>
      </c>
    </row>
    <row r="5" spans="1:29" s="51" customFormat="1" x14ac:dyDescent="0.15">
      <c r="A5" s="51" t="s">
        <v>3499</v>
      </c>
      <c r="B5" s="51" t="s">
        <v>3500</v>
      </c>
      <c r="C5" s="51" t="s">
        <v>3507</v>
      </c>
      <c r="D5" s="51" t="s">
        <v>3501</v>
      </c>
      <c r="E5" s="51" t="s">
        <v>3502</v>
      </c>
      <c r="F5" s="51" t="s">
        <v>3503</v>
      </c>
      <c r="G5" s="51" t="s">
        <v>3504</v>
      </c>
      <c r="H5" s="51" t="s">
        <v>3505</v>
      </c>
      <c r="I5" s="51" t="s">
        <v>3506</v>
      </c>
      <c r="K5" s="51" t="s">
        <v>3499</v>
      </c>
      <c r="L5" s="51" t="s">
        <v>3500</v>
      </c>
      <c r="M5" s="51" t="s">
        <v>3507</v>
      </c>
      <c r="N5" s="51" t="s">
        <v>3501</v>
      </c>
      <c r="O5" s="51" t="s">
        <v>3502</v>
      </c>
      <c r="P5" s="51" t="s">
        <v>3503</v>
      </c>
      <c r="Q5" s="51" t="s">
        <v>3504</v>
      </c>
      <c r="R5" s="51" t="s">
        <v>3505</v>
      </c>
      <c r="S5" s="51" t="s">
        <v>3506</v>
      </c>
      <c r="U5" s="58" t="s">
        <v>3499</v>
      </c>
      <c r="V5" s="58" t="s">
        <v>3500</v>
      </c>
      <c r="W5" s="58" t="s">
        <v>3507</v>
      </c>
      <c r="X5" s="58" t="s">
        <v>3501</v>
      </c>
      <c r="Y5" s="58" t="s">
        <v>3502</v>
      </c>
      <c r="Z5" s="58" t="s">
        <v>3503</v>
      </c>
      <c r="AA5" s="58" t="s">
        <v>3504</v>
      </c>
      <c r="AB5" s="58" t="s">
        <v>3505</v>
      </c>
      <c r="AC5" s="58" t="s">
        <v>3506</v>
      </c>
    </row>
    <row r="6" spans="1:29" x14ac:dyDescent="0.15">
      <c r="A6" s="52" t="s">
        <v>5513</v>
      </c>
      <c r="B6" s="52" t="s">
        <v>26</v>
      </c>
      <c r="C6" s="41" t="s">
        <v>6332</v>
      </c>
      <c r="D6" s="41">
        <v>44.1</v>
      </c>
      <c r="E6" s="41">
        <v>44.1</v>
      </c>
      <c r="F6" s="53">
        <v>1</v>
      </c>
      <c r="G6" s="41">
        <v>0.1</v>
      </c>
      <c r="H6" s="41">
        <v>100</v>
      </c>
      <c r="I6" s="41">
        <v>975</v>
      </c>
      <c r="K6" s="52" t="s">
        <v>5513</v>
      </c>
      <c r="L6" s="52" t="s">
        <v>26</v>
      </c>
      <c r="M6" s="41" t="str">
        <f>HYPERLINK("https://www.ncbi.nlm.nih.gov/nucleotide/PX311111.1?report=genbank&amp;log$=nucltop&amp;blast_rank=1&amp;RID=K3RYFBUB014","PX311111.1")</f>
        <v>PX311111.1</v>
      </c>
      <c r="N6" s="41">
        <v>38.200000000000003</v>
      </c>
      <c r="O6" s="41">
        <v>38.200000000000003</v>
      </c>
      <c r="P6" s="53">
        <v>1</v>
      </c>
      <c r="Q6" s="41">
        <v>6.2</v>
      </c>
      <c r="R6" s="41">
        <v>100</v>
      </c>
      <c r="S6" s="41">
        <v>975</v>
      </c>
      <c r="U6" s="54" t="s">
        <v>5513</v>
      </c>
      <c r="V6" s="54" t="s">
        <v>26</v>
      </c>
      <c r="W6" s="38" t="str">
        <f>HYPERLINK("https://www.ncbi.nlm.nih.gov/nucleotide/PX311111.1?report=genbank&amp;log$=nucltop&amp;blast_rank=1&amp;RID=K3S1J64G014","PX311111.1")</f>
        <v>PX311111.1</v>
      </c>
      <c r="X6" s="38">
        <v>56</v>
      </c>
      <c r="Y6" s="38">
        <v>56</v>
      </c>
      <c r="Z6" s="55">
        <v>1</v>
      </c>
      <c r="AA6" s="56" t="s">
        <v>5514</v>
      </c>
      <c r="AB6" s="38">
        <v>100</v>
      </c>
      <c r="AC6" s="38">
        <v>975</v>
      </c>
    </row>
    <row r="7" spans="1:29" x14ac:dyDescent="0.15">
      <c r="A7" s="52" t="s">
        <v>5515</v>
      </c>
      <c r="B7" s="52" t="s">
        <v>26</v>
      </c>
      <c r="C7" s="41" t="s">
        <v>6333</v>
      </c>
      <c r="D7" s="41">
        <v>44.1</v>
      </c>
      <c r="E7" s="41">
        <v>44.1</v>
      </c>
      <c r="F7" s="53">
        <v>1</v>
      </c>
      <c r="G7" s="41">
        <v>0.1</v>
      </c>
      <c r="H7" s="41">
        <v>100</v>
      </c>
      <c r="I7" s="41">
        <v>975</v>
      </c>
      <c r="K7" s="41" t="s">
        <v>5516</v>
      </c>
      <c r="L7" s="41" t="s">
        <v>5517</v>
      </c>
      <c r="M7" s="41" t="str">
        <f>HYPERLINK("https://www.ncbi.nlm.nih.gov/nucleotide/NC_065684.1?report=genbank&amp;log$=nucltop&amp;blast_rank=2&amp;RID=K3RYFBUB014","NC_065684.1")</f>
        <v>NC_065684.1</v>
      </c>
      <c r="N7" s="41">
        <v>38.200000000000003</v>
      </c>
      <c r="O7" s="41">
        <v>38.200000000000003</v>
      </c>
      <c r="P7" s="53">
        <v>1</v>
      </c>
      <c r="Q7" s="41">
        <v>6.2</v>
      </c>
      <c r="R7" s="41">
        <v>100</v>
      </c>
      <c r="S7" s="41">
        <v>16666</v>
      </c>
      <c r="U7" s="54" t="s">
        <v>5515</v>
      </c>
      <c r="V7" s="54" t="s">
        <v>26</v>
      </c>
      <c r="W7" s="38" t="str">
        <f>HYPERLINK("https://www.ncbi.nlm.nih.gov/nucleotide/PX311109.1?report=genbank&amp;log$=nucltop&amp;blast_rank=2&amp;RID=K3S1J64G014","PX311109.1")</f>
        <v>PX311109.1</v>
      </c>
      <c r="X7" s="38">
        <v>56</v>
      </c>
      <c r="Y7" s="38">
        <v>56</v>
      </c>
      <c r="Z7" s="55">
        <v>1</v>
      </c>
      <c r="AA7" s="56" t="s">
        <v>5514</v>
      </c>
      <c r="AB7" s="38">
        <v>100</v>
      </c>
      <c r="AC7" s="38">
        <v>975</v>
      </c>
    </row>
    <row r="8" spans="1:29" x14ac:dyDescent="0.15">
      <c r="A8" s="52" t="s">
        <v>3508</v>
      </c>
      <c r="B8" s="52" t="s">
        <v>63</v>
      </c>
      <c r="C8" s="41" t="s">
        <v>6334</v>
      </c>
      <c r="D8" s="41">
        <v>44.1</v>
      </c>
      <c r="E8" s="41">
        <v>44.1</v>
      </c>
      <c r="F8" s="53">
        <v>1</v>
      </c>
      <c r="G8" s="41">
        <v>0.1</v>
      </c>
      <c r="H8" s="41">
        <v>100</v>
      </c>
      <c r="I8" s="41">
        <v>16626</v>
      </c>
      <c r="K8" s="52" t="s">
        <v>5515</v>
      </c>
      <c r="L8" s="52" t="s">
        <v>26</v>
      </c>
      <c r="M8" s="41" t="str">
        <f>HYPERLINK("https://www.ncbi.nlm.nih.gov/nucleotide/PX311109.1?report=genbank&amp;log$=nucltop&amp;blast_rank=3&amp;RID=K3RYFBUB014","PX311109.1")</f>
        <v>PX311109.1</v>
      </c>
      <c r="N8" s="41">
        <v>38.200000000000003</v>
      </c>
      <c r="O8" s="41">
        <v>38.200000000000003</v>
      </c>
      <c r="P8" s="53">
        <v>1</v>
      </c>
      <c r="Q8" s="41">
        <v>6.2</v>
      </c>
      <c r="R8" s="41">
        <v>100</v>
      </c>
      <c r="S8" s="41">
        <v>975</v>
      </c>
      <c r="U8" s="54" t="s">
        <v>3508</v>
      </c>
      <c r="V8" s="54" t="s">
        <v>63</v>
      </c>
      <c r="W8" s="38" t="str">
        <f>HYPERLINK("https://www.ncbi.nlm.nih.gov/nucleotide/GU477631.1?report=genbank&amp;log$=nucltop&amp;blast_rank=3&amp;RID=K3S1J64G014","GU477631.1")</f>
        <v>GU477631.1</v>
      </c>
      <c r="X8" s="38">
        <v>56</v>
      </c>
      <c r="Y8" s="38">
        <v>56</v>
      </c>
      <c r="Z8" s="55">
        <v>1</v>
      </c>
      <c r="AA8" s="56" t="s">
        <v>5514</v>
      </c>
      <c r="AB8" s="38">
        <v>100</v>
      </c>
      <c r="AC8" s="38">
        <v>16626</v>
      </c>
    </row>
    <row r="9" spans="1:29" x14ac:dyDescent="0.15">
      <c r="A9" s="52" t="s">
        <v>3697</v>
      </c>
      <c r="B9" s="52" t="s">
        <v>26</v>
      </c>
      <c r="C9" s="41" t="s">
        <v>6335</v>
      </c>
      <c r="D9" s="41">
        <v>44.1</v>
      </c>
      <c r="E9" s="41">
        <v>44.1</v>
      </c>
      <c r="F9" s="53">
        <v>1</v>
      </c>
      <c r="G9" s="41">
        <v>0.1</v>
      </c>
      <c r="H9" s="41">
        <v>100</v>
      </c>
      <c r="I9" s="41">
        <v>16627</v>
      </c>
      <c r="K9" s="52" t="s">
        <v>3508</v>
      </c>
      <c r="L9" s="52" t="s">
        <v>63</v>
      </c>
      <c r="M9" s="41" t="str">
        <f>HYPERLINK("https://www.ncbi.nlm.nih.gov/nucleotide/GU477631.1?report=genbank&amp;log$=nucltop&amp;blast_rank=4&amp;RID=K3RYFBUB014","GU477631.1")</f>
        <v>GU477631.1</v>
      </c>
      <c r="N9" s="41">
        <v>38.200000000000003</v>
      </c>
      <c r="O9" s="41">
        <v>38.200000000000003</v>
      </c>
      <c r="P9" s="53">
        <v>1</v>
      </c>
      <c r="Q9" s="41">
        <v>6.2</v>
      </c>
      <c r="R9" s="41">
        <v>100</v>
      </c>
      <c r="S9" s="41">
        <v>16626</v>
      </c>
      <c r="U9" s="54" t="s">
        <v>3697</v>
      </c>
      <c r="V9" s="54" t="s">
        <v>26</v>
      </c>
      <c r="W9" s="38" t="str">
        <f>HYPERLINK("https://www.ncbi.nlm.nih.gov/nucleotide/GU477625.1?report=genbank&amp;log$=nucltop&amp;blast_rank=4&amp;RID=K3S1J64G014","GU477625.1")</f>
        <v>GU477625.1</v>
      </c>
      <c r="X9" s="38">
        <v>56</v>
      </c>
      <c r="Y9" s="38">
        <v>56</v>
      </c>
      <c r="Z9" s="55">
        <v>1</v>
      </c>
      <c r="AA9" s="56" t="s">
        <v>5514</v>
      </c>
      <c r="AB9" s="38">
        <v>100</v>
      </c>
      <c r="AC9" s="38">
        <v>16627</v>
      </c>
    </row>
    <row r="10" spans="1:29" x14ac:dyDescent="0.15">
      <c r="A10" s="52" t="s">
        <v>5518</v>
      </c>
      <c r="B10" s="52" t="s">
        <v>26</v>
      </c>
      <c r="C10" s="41" t="s">
        <v>6336</v>
      </c>
      <c r="D10" s="41">
        <v>44.1</v>
      </c>
      <c r="E10" s="41">
        <v>44.1</v>
      </c>
      <c r="F10" s="53">
        <v>1</v>
      </c>
      <c r="G10" s="41">
        <v>0.1</v>
      </c>
      <c r="H10" s="41">
        <v>100</v>
      </c>
      <c r="I10" s="41">
        <v>975</v>
      </c>
      <c r="K10" s="41" t="s">
        <v>5519</v>
      </c>
      <c r="L10" s="41" t="s">
        <v>5520</v>
      </c>
      <c r="M10" s="41" t="str">
        <f>HYPERLINK("https://www.ncbi.nlm.nih.gov/nucleotide/NC_024568.1?report=genbank&amp;log$=nucltop&amp;blast_rank=5&amp;RID=K3RYFBUB014","NC_024568.1")</f>
        <v>NC_024568.1</v>
      </c>
      <c r="N10" s="41">
        <v>38.200000000000003</v>
      </c>
      <c r="O10" s="41">
        <v>38.200000000000003</v>
      </c>
      <c r="P10" s="53">
        <v>1</v>
      </c>
      <c r="Q10" s="41">
        <v>6.2</v>
      </c>
      <c r="R10" s="41">
        <v>100</v>
      </c>
      <c r="S10" s="41">
        <v>16938</v>
      </c>
      <c r="U10" s="54" t="s">
        <v>5518</v>
      </c>
      <c r="V10" s="54" t="s">
        <v>26</v>
      </c>
      <c r="W10" s="38" t="str">
        <f>HYPERLINK("https://www.ncbi.nlm.nih.gov/nucleotide/PX311125.1?report=genbank&amp;log$=nucltop&amp;blast_rank=5&amp;RID=K3S1J64G014","PX311125.1")</f>
        <v>PX311125.1</v>
      </c>
      <c r="X10" s="38">
        <v>56</v>
      </c>
      <c r="Y10" s="38">
        <v>56</v>
      </c>
      <c r="Z10" s="55">
        <v>1</v>
      </c>
      <c r="AA10" s="56" t="s">
        <v>5514</v>
      </c>
      <c r="AB10" s="38">
        <v>100</v>
      </c>
      <c r="AC10" s="38">
        <v>975</v>
      </c>
    </row>
    <row r="11" spans="1:29" x14ac:dyDescent="0.15">
      <c r="A11" s="52" t="s">
        <v>3543</v>
      </c>
      <c r="B11" s="52" t="s">
        <v>26</v>
      </c>
      <c r="C11" s="41" t="s">
        <v>6337</v>
      </c>
      <c r="D11" s="41">
        <v>44.1</v>
      </c>
      <c r="E11" s="41">
        <v>44.1</v>
      </c>
      <c r="F11" s="53">
        <v>1</v>
      </c>
      <c r="G11" s="41">
        <v>0.1</v>
      </c>
      <c r="H11" s="41">
        <v>100</v>
      </c>
      <c r="I11" s="41">
        <v>16626</v>
      </c>
      <c r="K11" s="41" t="s">
        <v>5521</v>
      </c>
      <c r="L11" s="41" t="s">
        <v>3003</v>
      </c>
      <c r="M11" s="41" t="str">
        <f>HYPERLINK("https://www.ncbi.nlm.nih.gov/nucleotide/NC_011937.1?report=genbank&amp;log$=nucltop&amp;blast_rank=6&amp;RID=K3RYFBUB014","NC_011937.1")</f>
        <v>NC_011937.1</v>
      </c>
      <c r="N11" s="41">
        <v>38.200000000000003</v>
      </c>
      <c r="O11" s="41">
        <v>38.200000000000003</v>
      </c>
      <c r="P11" s="53">
        <v>1</v>
      </c>
      <c r="Q11" s="41">
        <v>6.2</v>
      </c>
      <c r="R11" s="41">
        <v>100</v>
      </c>
      <c r="S11" s="41">
        <v>16503</v>
      </c>
      <c r="U11" s="54" t="s">
        <v>3543</v>
      </c>
      <c r="V11" s="54" t="s">
        <v>26</v>
      </c>
      <c r="W11" s="38" t="str">
        <f>HYPERLINK("https://www.ncbi.nlm.nih.gov/nucleotide/GU477628.1?report=genbank&amp;log$=nucltop&amp;blast_rank=6&amp;RID=K3S1J64G014","GU477628.1")</f>
        <v>GU477628.1</v>
      </c>
      <c r="X11" s="38">
        <v>56</v>
      </c>
      <c r="Y11" s="38">
        <v>56</v>
      </c>
      <c r="Z11" s="55">
        <v>1</v>
      </c>
      <c r="AA11" s="56" t="s">
        <v>5514</v>
      </c>
      <c r="AB11" s="38">
        <v>100</v>
      </c>
      <c r="AC11" s="38">
        <v>16626</v>
      </c>
    </row>
    <row r="12" spans="1:29" x14ac:dyDescent="0.15">
      <c r="A12" s="52" t="s">
        <v>3547</v>
      </c>
      <c r="B12" s="52" t="s">
        <v>26</v>
      </c>
      <c r="C12" s="41" t="s">
        <v>6338</v>
      </c>
      <c r="D12" s="41">
        <v>44.1</v>
      </c>
      <c r="E12" s="41">
        <v>44.1</v>
      </c>
      <c r="F12" s="53">
        <v>1</v>
      </c>
      <c r="G12" s="41">
        <v>0.1</v>
      </c>
      <c r="H12" s="41">
        <v>100</v>
      </c>
      <c r="I12" s="41">
        <v>16627</v>
      </c>
      <c r="K12" s="41" t="s">
        <v>5522</v>
      </c>
      <c r="L12" s="41" t="s">
        <v>5523</v>
      </c>
      <c r="M12" s="41" t="str">
        <f>HYPERLINK("https://www.ncbi.nlm.nih.gov/nucleotide/NC_005274.1?report=genbank&amp;log$=nucltop&amp;blast_rank=7&amp;RID=K3RYFBUB014","NC_005274.1")</f>
        <v>NC_005274.1</v>
      </c>
      <c r="N12" s="41">
        <v>38.200000000000003</v>
      </c>
      <c r="O12" s="41">
        <v>38.200000000000003</v>
      </c>
      <c r="P12" s="53">
        <v>1</v>
      </c>
      <c r="Q12" s="41">
        <v>6.2</v>
      </c>
      <c r="R12" s="41">
        <v>100</v>
      </c>
      <c r="S12" s="41">
        <v>16346</v>
      </c>
      <c r="U12" s="54" t="s">
        <v>3547</v>
      </c>
      <c r="V12" s="54" t="s">
        <v>26</v>
      </c>
      <c r="W12" s="38" t="str">
        <f>HYPERLINK("https://www.ncbi.nlm.nih.gov/nucleotide/GU477626.1?report=genbank&amp;log$=nucltop&amp;blast_rank=7&amp;RID=K3S1J64G014","GU477626.1")</f>
        <v>GU477626.1</v>
      </c>
      <c r="X12" s="38">
        <v>56</v>
      </c>
      <c r="Y12" s="38">
        <v>56</v>
      </c>
      <c r="Z12" s="55">
        <v>1</v>
      </c>
      <c r="AA12" s="56" t="s">
        <v>5514</v>
      </c>
      <c r="AB12" s="38">
        <v>100</v>
      </c>
      <c r="AC12" s="38">
        <v>16627</v>
      </c>
    </row>
    <row r="13" spans="1:29" x14ac:dyDescent="0.15">
      <c r="A13" s="52" t="s">
        <v>3550</v>
      </c>
      <c r="B13" s="52" t="s">
        <v>26</v>
      </c>
      <c r="C13" s="41" t="s">
        <v>6339</v>
      </c>
      <c r="D13" s="41">
        <v>44.1</v>
      </c>
      <c r="E13" s="41">
        <v>44.1</v>
      </c>
      <c r="F13" s="53">
        <v>1</v>
      </c>
      <c r="G13" s="41">
        <v>0.1</v>
      </c>
      <c r="H13" s="41">
        <v>100</v>
      </c>
      <c r="I13" s="41">
        <v>16625</v>
      </c>
      <c r="K13" s="41" t="s">
        <v>5524</v>
      </c>
      <c r="L13" s="41" t="s">
        <v>5525</v>
      </c>
      <c r="M13" s="41" t="str">
        <f>HYPERLINK("https://www.ncbi.nlm.nih.gov/nucleotide/KC776702.1?report=genbank&amp;log$=nucltop&amp;blast_rank=8&amp;RID=K3RYFBUB014","KC776702.1")</f>
        <v>KC776702.1</v>
      </c>
      <c r="N13" s="41">
        <v>38.200000000000003</v>
      </c>
      <c r="O13" s="41">
        <v>38.200000000000003</v>
      </c>
      <c r="P13" s="53">
        <v>1</v>
      </c>
      <c r="Q13" s="41">
        <v>6.2</v>
      </c>
      <c r="R13" s="41">
        <v>100</v>
      </c>
      <c r="S13" s="41">
        <v>16345</v>
      </c>
      <c r="U13" s="54" t="s">
        <v>3550</v>
      </c>
      <c r="V13" s="54" t="s">
        <v>26</v>
      </c>
      <c r="W13" s="38" t="str">
        <f>HYPERLINK("https://www.ncbi.nlm.nih.gov/nucleotide/GU370126.1?report=genbank&amp;log$=nucltop&amp;blast_rank=8&amp;RID=K3S1J64G014","GU370126.1")</f>
        <v>GU370126.1</v>
      </c>
      <c r="X13" s="38">
        <v>56</v>
      </c>
      <c r="Y13" s="38">
        <v>56</v>
      </c>
      <c r="Z13" s="55">
        <v>1</v>
      </c>
      <c r="AA13" s="56" t="s">
        <v>5514</v>
      </c>
      <c r="AB13" s="38">
        <v>100</v>
      </c>
      <c r="AC13" s="38">
        <v>16625</v>
      </c>
    </row>
    <row r="14" spans="1:29" x14ac:dyDescent="0.15">
      <c r="A14" s="52" t="s">
        <v>3553</v>
      </c>
      <c r="B14" s="52" t="s">
        <v>57</v>
      </c>
      <c r="C14" s="41" t="s">
        <v>6340</v>
      </c>
      <c r="D14" s="41">
        <v>44.1</v>
      </c>
      <c r="E14" s="41">
        <v>44.1</v>
      </c>
      <c r="F14" s="53">
        <v>1</v>
      </c>
      <c r="G14" s="41">
        <v>0.1</v>
      </c>
      <c r="H14" s="41">
        <v>100</v>
      </c>
      <c r="I14" s="41">
        <v>16626</v>
      </c>
      <c r="K14" s="41" t="s">
        <v>5526</v>
      </c>
      <c r="L14" s="41" t="s">
        <v>5527</v>
      </c>
      <c r="M14" s="41" t="str">
        <f>HYPERLINK("https://www.ncbi.nlm.nih.gov/nucleotide/CP002117.1?report=genbank&amp;log$=nucltop&amp;blast_rank=9&amp;RID=K3RYFBUB014","CP002117.1")</f>
        <v>CP002117.1</v>
      </c>
      <c r="N14" s="41">
        <v>38.200000000000003</v>
      </c>
      <c r="O14" s="41">
        <v>38.200000000000003</v>
      </c>
      <c r="P14" s="53">
        <v>1</v>
      </c>
      <c r="Q14" s="41">
        <v>6.2</v>
      </c>
      <c r="R14" s="41">
        <v>100</v>
      </c>
      <c r="S14" s="41">
        <v>2843290</v>
      </c>
      <c r="U14" s="54" t="s">
        <v>3553</v>
      </c>
      <c r="V14" s="54" t="s">
        <v>57</v>
      </c>
      <c r="W14" s="38" t="str">
        <f>HYPERLINK("https://www.ncbi.nlm.nih.gov/nucleotide/NC_009057.1?report=genbank&amp;log$=nucltop&amp;blast_rank=9&amp;RID=K3S1J64G014","NC_009057.1")</f>
        <v>NC_009057.1</v>
      </c>
      <c r="X14" s="38">
        <v>56</v>
      </c>
      <c r="Y14" s="38">
        <v>56</v>
      </c>
      <c r="Z14" s="55">
        <v>1</v>
      </c>
      <c r="AA14" s="56" t="s">
        <v>5514</v>
      </c>
      <c r="AB14" s="38">
        <v>100</v>
      </c>
      <c r="AC14" s="38">
        <v>16626</v>
      </c>
    </row>
    <row r="15" spans="1:29" x14ac:dyDescent="0.15">
      <c r="A15" s="52" t="s">
        <v>3550</v>
      </c>
      <c r="B15" s="52" t="s">
        <v>26</v>
      </c>
      <c r="C15" s="41" t="s">
        <v>6341</v>
      </c>
      <c r="D15" s="41">
        <v>44.1</v>
      </c>
      <c r="E15" s="41">
        <v>44.1</v>
      </c>
      <c r="F15" s="53">
        <v>1</v>
      </c>
      <c r="G15" s="41">
        <v>0.1</v>
      </c>
      <c r="H15" s="41">
        <v>100</v>
      </c>
      <c r="I15" s="41">
        <v>16626</v>
      </c>
      <c r="K15" s="41" t="s">
        <v>5528</v>
      </c>
      <c r="L15" s="41" t="s">
        <v>5529</v>
      </c>
      <c r="M15" s="41" t="str">
        <f>HYPERLINK("https://www.ncbi.nlm.nih.gov/nucleotide/HQ907330.1?report=genbank&amp;log$=nucltop&amp;blast_rank=10&amp;RID=K3RYFBUB014","HQ907330.1")</f>
        <v>HQ907330.1</v>
      </c>
      <c r="N15" s="41">
        <v>38.200000000000003</v>
      </c>
      <c r="O15" s="41">
        <v>38.200000000000003</v>
      </c>
      <c r="P15" s="53">
        <v>1</v>
      </c>
      <c r="Q15" s="41">
        <v>6.2</v>
      </c>
      <c r="R15" s="41">
        <v>100</v>
      </c>
      <c r="S15" s="41">
        <v>1164</v>
      </c>
      <c r="U15" s="54" t="s">
        <v>3550</v>
      </c>
      <c r="V15" s="54" t="s">
        <v>26</v>
      </c>
      <c r="W15" s="38" t="str">
        <f>HYPERLINK("https://www.ncbi.nlm.nih.gov/nucleotide/MW149239.1?report=genbank&amp;log$=nucltop&amp;blast_rank=10&amp;RID=K3S1J64G014","MW149239.1")</f>
        <v>MW149239.1</v>
      </c>
      <c r="X15" s="38">
        <v>56</v>
      </c>
      <c r="Y15" s="38">
        <v>56</v>
      </c>
      <c r="Z15" s="55">
        <v>1</v>
      </c>
      <c r="AA15" s="56" t="s">
        <v>5514</v>
      </c>
      <c r="AB15" s="38">
        <v>100</v>
      </c>
      <c r="AC15" s="38">
        <v>16626</v>
      </c>
    </row>
    <row r="16" spans="1:29" x14ac:dyDescent="0.15">
      <c r="A16" s="41" t="s">
        <v>5530</v>
      </c>
      <c r="B16" s="41" t="s">
        <v>5531</v>
      </c>
      <c r="C16" s="41" t="s">
        <v>6342</v>
      </c>
      <c r="D16" s="41">
        <v>42.1</v>
      </c>
      <c r="E16" s="41">
        <v>42.1</v>
      </c>
      <c r="F16" s="53">
        <v>0.95</v>
      </c>
      <c r="G16" s="41">
        <v>0.4</v>
      </c>
      <c r="H16" s="41">
        <v>100</v>
      </c>
      <c r="I16" s="41">
        <v>16439</v>
      </c>
      <c r="K16" s="41" t="s">
        <v>5532</v>
      </c>
      <c r="L16" s="41" t="s">
        <v>5517</v>
      </c>
      <c r="M16" s="41" t="str">
        <f>HYPERLINK("https://www.ncbi.nlm.nih.gov/nucleotide/FN643236.1?report=genbank&amp;log$=nucltop&amp;blast_rank=11&amp;RID=K3RYFBUB014","FN643236.1")</f>
        <v>FN643236.1</v>
      </c>
      <c r="N16" s="41">
        <v>38.200000000000003</v>
      </c>
      <c r="O16" s="41">
        <v>38.200000000000003</v>
      </c>
      <c r="P16" s="53">
        <v>1</v>
      </c>
      <c r="Q16" s="41">
        <v>6.2</v>
      </c>
      <c r="R16" s="41">
        <v>100</v>
      </c>
      <c r="S16" s="41">
        <v>900</v>
      </c>
      <c r="U16" s="38" t="s">
        <v>5533</v>
      </c>
      <c r="V16" s="38" t="s">
        <v>5534</v>
      </c>
      <c r="W16" s="38" t="str">
        <f>HYPERLINK("https://www.ncbi.nlm.nih.gov/nucleotide/NC_058017.1?report=genbank&amp;log$=nucltop&amp;blast_rank=11&amp;RID=K3S1J64G014","NC_058017.1")</f>
        <v>NC_058017.1</v>
      </c>
      <c r="X16" s="38">
        <v>50.1</v>
      </c>
      <c r="Y16" s="38">
        <v>50.1</v>
      </c>
      <c r="Z16" s="55">
        <v>0.89</v>
      </c>
      <c r="AA16" s="38">
        <v>5.0000000000000001E-3</v>
      </c>
      <c r="AB16" s="38">
        <v>100</v>
      </c>
      <c r="AC16" s="38">
        <v>17168</v>
      </c>
    </row>
    <row r="17" spans="1:29" x14ac:dyDescent="0.15">
      <c r="A17" s="41" t="s">
        <v>4816</v>
      </c>
      <c r="B17" s="41" t="s">
        <v>4817</v>
      </c>
      <c r="C17" s="41" t="s">
        <v>6343</v>
      </c>
      <c r="D17" s="41">
        <v>42.1</v>
      </c>
      <c r="E17" s="41">
        <v>42.1</v>
      </c>
      <c r="F17" s="53">
        <v>0.95</v>
      </c>
      <c r="G17" s="41">
        <v>0.4</v>
      </c>
      <c r="H17" s="41">
        <v>100</v>
      </c>
      <c r="I17" s="41">
        <v>16523</v>
      </c>
      <c r="K17" s="52" t="s">
        <v>3697</v>
      </c>
      <c r="L17" s="52" t="s">
        <v>26</v>
      </c>
      <c r="M17" s="41" t="str">
        <f>HYPERLINK("https://www.ncbi.nlm.nih.gov/nucleotide/GU477625.1?report=genbank&amp;log$=nucltop&amp;blast_rank=12&amp;RID=K3RYFBUB014","GU477625.1")</f>
        <v>GU477625.1</v>
      </c>
      <c r="N17" s="41">
        <v>38.200000000000003</v>
      </c>
      <c r="O17" s="41">
        <v>38.200000000000003</v>
      </c>
      <c r="P17" s="53">
        <v>1</v>
      </c>
      <c r="Q17" s="41">
        <v>6.2</v>
      </c>
      <c r="R17" s="41">
        <v>100</v>
      </c>
      <c r="S17" s="41">
        <v>16627</v>
      </c>
      <c r="U17" s="38" t="s">
        <v>5535</v>
      </c>
      <c r="V17" s="38" t="s">
        <v>3266</v>
      </c>
      <c r="W17" s="38" t="str">
        <f>HYPERLINK("https://www.ncbi.nlm.nih.gov/nucleotide/NC_086961.1?report=genbank&amp;log$=nucltop&amp;blast_rank=12&amp;RID=K3S1J64G014","NC_086961.1")</f>
        <v>NC_086961.1</v>
      </c>
      <c r="X17" s="38">
        <v>50.1</v>
      </c>
      <c r="Y17" s="38">
        <v>50.1</v>
      </c>
      <c r="Z17" s="55">
        <v>0.89</v>
      </c>
      <c r="AA17" s="38">
        <v>5.0000000000000001E-3</v>
      </c>
      <c r="AB17" s="38">
        <v>100</v>
      </c>
      <c r="AC17" s="38">
        <v>16557</v>
      </c>
    </row>
    <row r="18" spans="1:29" x14ac:dyDescent="0.15">
      <c r="A18" s="57" t="s">
        <v>3509</v>
      </c>
      <c r="B18" s="57" t="s">
        <v>29</v>
      </c>
      <c r="C18" s="41" t="s">
        <v>6344</v>
      </c>
      <c r="D18" s="41">
        <v>42.1</v>
      </c>
      <c r="E18" s="41">
        <v>42.1</v>
      </c>
      <c r="F18" s="53">
        <v>0.95</v>
      </c>
      <c r="G18" s="41">
        <v>0.4</v>
      </c>
      <c r="H18" s="41">
        <v>100</v>
      </c>
      <c r="I18" s="41">
        <v>16632</v>
      </c>
      <c r="K18" s="41" t="s">
        <v>5536</v>
      </c>
      <c r="L18" s="41" t="s">
        <v>5537</v>
      </c>
      <c r="M18" s="41" t="str">
        <f>HYPERLINK("https://www.ncbi.nlm.nih.gov/nucleotide/NC_066830.1?report=genbank&amp;log$=nucltop&amp;blast_rank=13&amp;RID=K3RYFBUB014","NC_066830.1")</f>
        <v>NC_066830.1</v>
      </c>
      <c r="N18" s="41">
        <v>38.200000000000003</v>
      </c>
      <c r="O18" s="41">
        <v>38.200000000000003</v>
      </c>
      <c r="P18" s="53">
        <v>1</v>
      </c>
      <c r="Q18" s="41">
        <v>6.2</v>
      </c>
      <c r="R18" s="41">
        <v>100</v>
      </c>
      <c r="S18" s="41">
        <v>16708</v>
      </c>
      <c r="U18" s="38" t="s">
        <v>5538</v>
      </c>
      <c r="V18" s="38" t="s">
        <v>5539</v>
      </c>
      <c r="W18" s="38" t="str">
        <f>HYPERLINK("https://www.ncbi.nlm.nih.gov/nucleotide/OL435150.1?report=genbank&amp;log$=nucltop&amp;blast_rank=13&amp;RID=K3S1J64G014","OL435150.1")</f>
        <v>OL435150.1</v>
      </c>
      <c r="X18" s="38">
        <v>48.1</v>
      </c>
      <c r="Y18" s="38">
        <v>48.1</v>
      </c>
      <c r="Z18" s="55">
        <v>1</v>
      </c>
      <c r="AA18" s="38">
        <v>1.9E-2</v>
      </c>
      <c r="AB18" s="38">
        <v>96.43</v>
      </c>
      <c r="AC18" s="38">
        <v>16607</v>
      </c>
    </row>
    <row r="19" spans="1:29" x14ac:dyDescent="0.15">
      <c r="A19" s="57" t="s">
        <v>3511</v>
      </c>
      <c r="B19" s="57" t="s">
        <v>43</v>
      </c>
      <c r="C19" s="41" t="s">
        <v>6345</v>
      </c>
      <c r="D19" s="41">
        <v>42.1</v>
      </c>
      <c r="E19" s="41">
        <v>42.1</v>
      </c>
      <c r="F19" s="53">
        <v>0.95</v>
      </c>
      <c r="G19" s="41">
        <v>0.4</v>
      </c>
      <c r="H19" s="41">
        <v>100</v>
      </c>
      <c r="I19" s="41">
        <v>16644</v>
      </c>
      <c r="K19" s="41" t="s">
        <v>5540</v>
      </c>
      <c r="L19" s="41" t="s">
        <v>5541</v>
      </c>
      <c r="M19" s="41" t="str">
        <f>HYPERLINK("https://www.ncbi.nlm.nih.gov/nucleotide/OQ420428.1?report=genbank&amp;log$=nucltop&amp;blast_rank=14&amp;RID=K3RYFBUB014","OQ420428.1")</f>
        <v>OQ420428.1</v>
      </c>
      <c r="N19" s="41">
        <v>38.200000000000003</v>
      </c>
      <c r="O19" s="41">
        <v>38.200000000000003</v>
      </c>
      <c r="P19" s="53">
        <v>1</v>
      </c>
      <c r="Q19" s="41">
        <v>6.2</v>
      </c>
      <c r="R19" s="41">
        <v>100</v>
      </c>
      <c r="S19" s="41">
        <v>16750</v>
      </c>
      <c r="U19" s="38" t="s">
        <v>5542</v>
      </c>
      <c r="V19" s="38" t="s">
        <v>5543</v>
      </c>
      <c r="W19" s="38" t="str">
        <f>HYPERLINK("https://www.ncbi.nlm.nih.gov/nucleotide/OL339397.1?report=genbank&amp;log$=nucltop&amp;blast_rank=14&amp;RID=K3S1J64G014","OL339397.1")</f>
        <v>OL339397.1</v>
      </c>
      <c r="X19" s="38">
        <v>48.1</v>
      </c>
      <c r="Y19" s="38">
        <v>48.1</v>
      </c>
      <c r="Z19" s="55">
        <v>1</v>
      </c>
      <c r="AA19" s="38">
        <v>1.9E-2</v>
      </c>
      <c r="AB19" s="38">
        <v>96.43</v>
      </c>
      <c r="AC19" s="38">
        <v>16556</v>
      </c>
    </row>
    <row r="20" spans="1:29" x14ac:dyDescent="0.15">
      <c r="A20" s="41" t="s">
        <v>5188</v>
      </c>
      <c r="B20" s="41" t="s">
        <v>4817</v>
      </c>
      <c r="C20" s="41" t="s">
        <v>6346</v>
      </c>
      <c r="D20" s="41">
        <v>42.1</v>
      </c>
      <c r="E20" s="41">
        <v>42.1</v>
      </c>
      <c r="F20" s="53">
        <v>0.95</v>
      </c>
      <c r="G20" s="41">
        <v>0.4</v>
      </c>
      <c r="H20" s="41">
        <v>100</v>
      </c>
      <c r="I20" s="41">
        <v>17062</v>
      </c>
      <c r="K20" s="41" t="s">
        <v>5544</v>
      </c>
      <c r="L20" s="41" t="s">
        <v>5520</v>
      </c>
      <c r="M20" s="41" t="str">
        <f>HYPERLINK("https://www.ncbi.nlm.nih.gov/nucleotide/KX891744.1?report=genbank&amp;log$=nucltop&amp;blast_rank=15&amp;RID=K3RYFBUB014","KX891744.1")</f>
        <v>KX891744.1</v>
      </c>
      <c r="N20" s="41">
        <v>38.200000000000003</v>
      </c>
      <c r="O20" s="41">
        <v>38.200000000000003</v>
      </c>
      <c r="P20" s="53">
        <v>1</v>
      </c>
      <c r="Q20" s="41">
        <v>6.2</v>
      </c>
      <c r="R20" s="41">
        <v>100</v>
      </c>
      <c r="S20" s="41">
        <v>16935</v>
      </c>
      <c r="U20" s="38" t="s">
        <v>5545</v>
      </c>
      <c r="V20" s="38" t="s">
        <v>5546</v>
      </c>
      <c r="W20" s="38" t="str">
        <f>HYPERLINK("https://www.ncbi.nlm.nih.gov/nucleotide/OL693872.1?report=genbank&amp;log$=nucltop&amp;blast_rank=15&amp;RID=K3S1J64G014","OL693872.1")</f>
        <v>OL693872.1</v>
      </c>
      <c r="X20" s="38">
        <v>48.1</v>
      </c>
      <c r="Y20" s="38">
        <v>48.1</v>
      </c>
      <c r="Z20" s="55">
        <v>1</v>
      </c>
      <c r="AA20" s="38">
        <v>1.9E-2</v>
      </c>
      <c r="AB20" s="38">
        <v>96.43</v>
      </c>
      <c r="AC20" s="38">
        <v>16533</v>
      </c>
    </row>
    <row r="21" spans="1:29" x14ac:dyDescent="0.15">
      <c r="A21" s="41" t="s">
        <v>5547</v>
      </c>
      <c r="B21" s="41" t="s">
        <v>5548</v>
      </c>
      <c r="C21" s="41" t="s">
        <v>6347</v>
      </c>
      <c r="D21" s="41">
        <v>42.1</v>
      </c>
      <c r="E21" s="41">
        <v>42.1</v>
      </c>
      <c r="F21" s="53">
        <v>0.95</v>
      </c>
      <c r="G21" s="41">
        <v>0.4</v>
      </c>
      <c r="H21" s="41">
        <v>100</v>
      </c>
      <c r="I21" s="41">
        <v>17060</v>
      </c>
      <c r="K21" s="52" t="s">
        <v>5518</v>
      </c>
      <c r="L21" s="52" t="s">
        <v>26</v>
      </c>
      <c r="M21" s="41" t="str">
        <f>HYPERLINK("https://www.ncbi.nlm.nih.gov/nucleotide/PX311125.1?report=genbank&amp;log$=nucltop&amp;blast_rank=16&amp;RID=K3RYFBUB014","PX311125.1")</f>
        <v>PX311125.1</v>
      </c>
      <c r="N21" s="41">
        <v>38.200000000000003</v>
      </c>
      <c r="O21" s="41">
        <v>38.200000000000003</v>
      </c>
      <c r="P21" s="53">
        <v>1</v>
      </c>
      <c r="Q21" s="41">
        <v>6.2</v>
      </c>
      <c r="R21" s="41">
        <v>100</v>
      </c>
      <c r="S21" s="41">
        <v>975</v>
      </c>
      <c r="U21" s="38" t="s">
        <v>5538</v>
      </c>
      <c r="V21" s="38" t="s">
        <v>5539</v>
      </c>
      <c r="W21" s="38" t="str">
        <f>HYPERLINK("https://www.ncbi.nlm.nih.gov/nucleotide/OL404939.1?report=genbank&amp;log$=nucltop&amp;blast_rank=16&amp;RID=K3S1J64G014","OL404939.1")</f>
        <v>OL404939.1</v>
      </c>
      <c r="X21" s="38">
        <v>48.1</v>
      </c>
      <c r="Y21" s="38">
        <v>48.1</v>
      </c>
      <c r="Z21" s="55">
        <v>1</v>
      </c>
      <c r="AA21" s="38">
        <v>1.9E-2</v>
      </c>
      <c r="AB21" s="38">
        <v>96.43</v>
      </c>
      <c r="AC21" s="38">
        <v>16519</v>
      </c>
    </row>
    <row r="22" spans="1:29" x14ac:dyDescent="0.15">
      <c r="A22" s="41" t="s">
        <v>5549</v>
      </c>
      <c r="B22" s="41" t="s">
        <v>5550</v>
      </c>
      <c r="C22" s="41" t="s">
        <v>6348</v>
      </c>
      <c r="D22" s="41">
        <v>42.1</v>
      </c>
      <c r="E22" s="41">
        <v>42.1</v>
      </c>
      <c r="F22" s="53">
        <v>0.95</v>
      </c>
      <c r="G22" s="41">
        <v>0.4</v>
      </c>
      <c r="H22" s="41">
        <v>100</v>
      </c>
      <c r="I22" s="41">
        <v>16840</v>
      </c>
      <c r="K22" s="52" t="s">
        <v>3543</v>
      </c>
      <c r="L22" s="52" t="s">
        <v>26</v>
      </c>
      <c r="M22" s="41" t="str">
        <f>HYPERLINK("https://www.ncbi.nlm.nih.gov/nucleotide/GU477628.1?report=genbank&amp;log$=nucltop&amp;blast_rank=17&amp;RID=K3RYFBUB014","GU477628.1")</f>
        <v>GU477628.1</v>
      </c>
      <c r="N22" s="41">
        <v>38.200000000000003</v>
      </c>
      <c r="O22" s="41">
        <v>38.200000000000003</v>
      </c>
      <c r="P22" s="53">
        <v>1</v>
      </c>
      <c r="Q22" s="41">
        <v>6.2</v>
      </c>
      <c r="R22" s="41">
        <v>100</v>
      </c>
      <c r="S22" s="41">
        <v>16626</v>
      </c>
      <c r="U22" s="38" t="s">
        <v>4672</v>
      </c>
      <c r="V22" s="38" t="s">
        <v>2137</v>
      </c>
      <c r="W22" s="38" t="str">
        <f>HYPERLINK("https://www.ncbi.nlm.nih.gov/nucleotide/NC_027289.1?report=genbank&amp;log$=nucltop&amp;blast_rank=17&amp;RID=K3S1J64G014","NC_027289.1")</f>
        <v>NC_027289.1</v>
      </c>
      <c r="X22" s="38">
        <v>48.1</v>
      </c>
      <c r="Y22" s="38">
        <v>48.1</v>
      </c>
      <c r="Z22" s="55">
        <v>1</v>
      </c>
      <c r="AA22" s="38">
        <v>1.9E-2</v>
      </c>
      <c r="AB22" s="38">
        <v>96.43</v>
      </c>
      <c r="AC22" s="38">
        <v>16583</v>
      </c>
    </row>
    <row r="23" spans="1:29" x14ac:dyDescent="0.15">
      <c r="A23" s="41" t="s">
        <v>5342</v>
      </c>
      <c r="B23" s="41" t="s">
        <v>5343</v>
      </c>
      <c r="C23" s="41" t="s">
        <v>6349</v>
      </c>
      <c r="D23" s="41">
        <v>42.1</v>
      </c>
      <c r="E23" s="41">
        <v>42.1</v>
      </c>
      <c r="F23" s="53">
        <v>0.95</v>
      </c>
      <c r="G23" s="41">
        <v>0.4</v>
      </c>
      <c r="H23" s="41">
        <v>100</v>
      </c>
      <c r="I23" s="41">
        <v>17046</v>
      </c>
      <c r="K23" s="52" t="s">
        <v>5551</v>
      </c>
      <c r="L23" s="52" t="s">
        <v>26</v>
      </c>
      <c r="M23" s="41" t="str">
        <f>HYPERLINK("https://www.ncbi.nlm.nih.gov/nucleotide/PX311150.1?report=genbank&amp;log$=nucltop&amp;blast_rank=18&amp;RID=K3RYFBUB014","PX311150.1")</f>
        <v>PX311150.1</v>
      </c>
      <c r="N23" s="41">
        <v>38.200000000000003</v>
      </c>
      <c r="O23" s="41">
        <v>38.200000000000003</v>
      </c>
      <c r="P23" s="53">
        <v>1</v>
      </c>
      <c r="Q23" s="41">
        <v>6.2</v>
      </c>
      <c r="R23" s="41">
        <v>100</v>
      </c>
      <c r="S23" s="41">
        <v>975</v>
      </c>
      <c r="U23" s="38" t="s">
        <v>5552</v>
      </c>
      <c r="V23" s="38" t="s">
        <v>5553</v>
      </c>
      <c r="W23" s="38" t="str">
        <f>HYPERLINK("https://www.ncbi.nlm.nih.gov/nucleotide/MF346885.1?report=genbank&amp;log$=nucltop&amp;blast_rank=18&amp;RID=K3S1J64G014","MF346885.1")</f>
        <v>MF346885.1</v>
      </c>
      <c r="X23" s="38">
        <v>48.1</v>
      </c>
      <c r="Y23" s="38">
        <v>48.1</v>
      </c>
      <c r="Z23" s="55">
        <v>1</v>
      </c>
      <c r="AA23" s="38">
        <v>1.9E-2</v>
      </c>
      <c r="AB23" s="38">
        <v>96.43</v>
      </c>
      <c r="AC23" s="38">
        <v>16538</v>
      </c>
    </row>
    <row r="24" spans="1:29" x14ac:dyDescent="0.15">
      <c r="A24" s="41" t="s">
        <v>5554</v>
      </c>
      <c r="B24" s="41" t="s">
        <v>5555</v>
      </c>
      <c r="C24" s="41" t="s">
        <v>6350</v>
      </c>
      <c r="D24" s="41">
        <v>42.1</v>
      </c>
      <c r="E24" s="41">
        <v>42.1</v>
      </c>
      <c r="F24" s="53">
        <v>0.95</v>
      </c>
      <c r="G24" s="41">
        <v>0.4</v>
      </c>
      <c r="H24" s="41">
        <v>100</v>
      </c>
      <c r="I24" s="41">
        <v>17057</v>
      </c>
      <c r="K24" s="41" t="s">
        <v>5556</v>
      </c>
      <c r="L24" s="41" t="s">
        <v>5557</v>
      </c>
      <c r="M24" s="41" t="str">
        <f>HYPERLINK("https://www.ncbi.nlm.nih.gov/nucleotide/MK190712.1?report=genbank&amp;log$=nucltop&amp;blast_rank=19&amp;RID=K3RYFBUB014","MK190712.1")</f>
        <v>MK190712.1</v>
      </c>
      <c r="N24" s="41">
        <v>38.200000000000003</v>
      </c>
      <c r="O24" s="41">
        <v>38.200000000000003</v>
      </c>
      <c r="P24" s="53">
        <v>1</v>
      </c>
      <c r="Q24" s="41">
        <v>6.2</v>
      </c>
      <c r="R24" s="41">
        <v>100</v>
      </c>
      <c r="S24" s="41">
        <v>16447</v>
      </c>
      <c r="U24" s="38" t="s">
        <v>4745</v>
      </c>
      <c r="V24" s="38" t="s">
        <v>1983</v>
      </c>
      <c r="W24" s="38" t="str">
        <f>HYPERLINK("https://www.ncbi.nlm.nih.gov/nucleotide/NC_072333.1?report=genbank&amp;log$=nucltop&amp;blast_rank=19&amp;RID=K3S1J64G014","NC_072333.1")</f>
        <v>NC_072333.1</v>
      </c>
      <c r="X24" s="38">
        <v>48.1</v>
      </c>
      <c r="Y24" s="38">
        <v>48.1</v>
      </c>
      <c r="Z24" s="55">
        <v>1</v>
      </c>
      <c r="AA24" s="38">
        <v>1.9E-2</v>
      </c>
      <c r="AB24" s="38">
        <v>96.43</v>
      </c>
      <c r="AC24" s="38">
        <v>16587</v>
      </c>
    </row>
    <row r="25" spans="1:29" x14ac:dyDescent="0.15">
      <c r="A25" s="41" t="s">
        <v>5188</v>
      </c>
      <c r="B25" s="41" t="s">
        <v>4817</v>
      </c>
      <c r="C25" s="41" t="s">
        <v>6351</v>
      </c>
      <c r="D25" s="41">
        <v>42.1</v>
      </c>
      <c r="E25" s="41">
        <v>42.1</v>
      </c>
      <c r="F25" s="53">
        <v>0.95</v>
      </c>
      <c r="G25" s="41">
        <v>0.4</v>
      </c>
      <c r="H25" s="41">
        <v>100</v>
      </c>
      <c r="I25" s="41">
        <v>17061</v>
      </c>
      <c r="K25" s="41" t="s">
        <v>5558</v>
      </c>
      <c r="L25" s="41" t="s">
        <v>5559</v>
      </c>
      <c r="M25" s="41" t="str">
        <f>HYPERLINK("https://www.ncbi.nlm.nih.gov/nucleotide/NC_053962.1?report=genbank&amp;log$=nucltop&amp;blast_rank=20&amp;RID=K3RYFBUB014","NC_053962.1")</f>
        <v>NC_053962.1</v>
      </c>
      <c r="N25" s="41">
        <v>38.200000000000003</v>
      </c>
      <c r="O25" s="41">
        <v>38.200000000000003</v>
      </c>
      <c r="P25" s="53">
        <v>1</v>
      </c>
      <c r="Q25" s="41">
        <v>6.2</v>
      </c>
      <c r="R25" s="41">
        <v>100</v>
      </c>
      <c r="S25" s="41">
        <v>16772</v>
      </c>
      <c r="U25" s="38" t="s">
        <v>5560</v>
      </c>
      <c r="V25" s="38" t="s">
        <v>5561</v>
      </c>
      <c r="W25" s="38" t="str">
        <f>HYPERLINK("https://www.ncbi.nlm.nih.gov/nucleotide/MF346887.1?report=genbank&amp;log$=nucltop&amp;blast_rank=20&amp;RID=K3S1J64G014","MF346887.1")</f>
        <v>MF346887.1</v>
      </c>
      <c r="X25" s="38">
        <v>48.1</v>
      </c>
      <c r="Y25" s="38">
        <v>48.1</v>
      </c>
      <c r="Z25" s="55">
        <v>1</v>
      </c>
      <c r="AA25" s="38">
        <v>1.9E-2</v>
      </c>
      <c r="AB25" s="38">
        <v>96.43</v>
      </c>
      <c r="AC25" s="38">
        <v>16524</v>
      </c>
    </row>
    <row r="26" spans="1:29" x14ac:dyDescent="0.15">
      <c r="A26" s="41" t="s">
        <v>5562</v>
      </c>
      <c r="B26" s="41" t="s">
        <v>5563</v>
      </c>
      <c r="C26" s="41" t="s">
        <v>6352</v>
      </c>
      <c r="D26" s="41">
        <v>42.1</v>
      </c>
      <c r="E26" s="41">
        <v>42.1</v>
      </c>
      <c r="F26" s="53">
        <v>0.95</v>
      </c>
      <c r="G26" s="41">
        <v>0.4</v>
      </c>
      <c r="H26" s="41">
        <v>100</v>
      </c>
      <c r="I26" s="41">
        <v>17333</v>
      </c>
      <c r="K26" s="52" t="s">
        <v>3547</v>
      </c>
      <c r="L26" s="52" t="s">
        <v>26</v>
      </c>
      <c r="M26" s="41" t="str">
        <f>HYPERLINK("https://www.ncbi.nlm.nih.gov/nucleotide/GU477626.1?report=genbank&amp;log$=nucltop&amp;blast_rank=21&amp;RID=K3RYFBUB014","GU477626.1")</f>
        <v>GU477626.1</v>
      </c>
      <c r="N26" s="41">
        <v>38.200000000000003</v>
      </c>
      <c r="O26" s="41">
        <v>38.200000000000003</v>
      </c>
      <c r="P26" s="53">
        <v>1</v>
      </c>
      <c r="Q26" s="41">
        <v>6.2</v>
      </c>
      <c r="R26" s="41">
        <v>100</v>
      </c>
      <c r="S26" s="41">
        <v>16627</v>
      </c>
      <c r="U26" s="38" t="s">
        <v>5538</v>
      </c>
      <c r="V26" s="38" t="s">
        <v>5539</v>
      </c>
      <c r="W26" s="38" t="str">
        <f>HYPERLINK("https://www.ncbi.nlm.nih.gov/nucleotide/OL457391.1?report=genbank&amp;log$=nucltop&amp;blast_rank=21&amp;RID=K3S1J64G014","OL457391.1")</f>
        <v>OL457391.1</v>
      </c>
      <c r="X26" s="38">
        <v>48.1</v>
      </c>
      <c r="Y26" s="38">
        <v>48.1</v>
      </c>
      <c r="Z26" s="55">
        <v>1</v>
      </c>
      <c r="AA26" s="38">
        <v>1.9E-2</v>
      </c>
      <c r="AB26" s="38">
        <v>96.43</v>
      </c>
      <c r="AC26" s="38">
        <v>16525</v>
      </c>
    </row>
    <row r="27" spans="1:29" x14ac:dyDescent="0.15">
      <c r="A27" s="41" t="s">
        <v>5549</v>
      </c>
      <c r="B27" s="41" t="s">
        <v>5550</v>
      </c>
      <c r="C27" s="41" t="s">
        <v>6353</v>
      </c>
      <c r="D27" s="41">
        <v>42.1</v>
      </c>
      <c r="E27" s="41">
        <v>42.1</v>
      </c>
      <c r="F27" s="53">
        <v>0.95</v>
      </c>
      <c r="G27" s="41">
        <v>0.4</v>
      </c>
      <c r="H27" s="41">
        <v>100</v>
      </c>
      <c r="I27" s="41">
        <v>17116</v>
      </c>
      <c r="K27" s="52" t="s">
        <v>3550</v>
      </c>
      <c r="L27" s="52" t="s">
        <v>26</v>
      </c>
      <c r="M27" s="41" t="str">
        <f>HYPERLINK("https://www.ncbi.nlm.nih.gov/nucleotide/GU370126.1?report=genbank&amp;log$=nucltop&amp;blast_rank=22&amp;RID=K3RYFBUB014","GU370126.1")</f>
        <v>GU370126.1</v>
      </c>
      <c r="N27" s="41">
        <v>38.200000000000003</v>
      </c>
      <c r="O27" s="41">
        <v>38.200000000000003</v>
      </c>
      <c r="P27" s="53">
        <v>1</v>
      </c>
      <c r="Q27" s="41">
        <v>6.2</v>
      </c>
      <c r="R27" s="41">
        <v>100</v>
      </c>
      <c r="S27" s="41">
        <v>16625</v>
      </c>
      <c r="U27" s="38" t="s">
        <v>5564</v>
      </c>
      <c r="V27" s="38" t="s">
        <v>5565</v>
      </c>
      <c r="W27" s="38" t="str">
        <f>HYPERLINK("https://www.ncbi.nlm.nih.gov/nucleotide/OL339396.1?report=genbank&amp;log$=nucltop&amp;blast_rank=22&amp;RID=K3S1J64G014","OL339396.1")</f>
        <v>OL339396.1</v>
      </c>
      <c r="X27" s="38">
        <v>48.1</v>
      </c>
      <c r="Y27" s="38">
        <v>48.1</v>
      </c>
      <c r="Z27" s="55">
        <v>1</v>
      </c>
      <c r="AA27" s="38">
        <v>1.9E-2</v>
      </c>
      <c r="AB27" s="38">
        <v>96.43</v>
      </c>
      <c r="AC27" s="38">
        <v>16539</v>
      </c>
    </row>
    <row r="28" spans="1:29" x14ac:dyDescent="0.15">
      <c r="A28" s="41" t="s">
        <v>5566</v>
      </c>
      <c r="B28" s="41" t="s">
        <v>5343</v>
      </c>
      <c r="C28" s="41" t="s">
        <v>6354</v>
      </c>
      <c r="D28" s="41">
        <v>42.1</v>
      </c>
      <c r="E28" s="41">
        <v>42.1</v>
      </c>
      <c r="F28" s="53">
        <v>0.95</v>
      </c>
      <c r="G28" s="41">
        <v>0.4</v>
      </c>
      <c r="H28" s="41">
        <v>100</v>
      </c>
      <c r="I28" s="41">
        <v>17053</v>
      </c>
      <c r="K28" s="52" t="s">
        <v>3553</v>
      </c>
      <c r="L28" s="52" t="s">
        <v>57</v>
      </c>
      <c r="M28" s="41" t="str">
        <f>HYPERLINK("https://www.ncbi.nlm.nih.gov/nucleotide/NC_009057.1?report=genbank&amp;log$=nucltop&amp;blast_rank=23&amp;RID=K3RYFBUB014","NC_009057.1")</f>
        <v>NC_009057.1</v>
      </c>
      <c r="N28" s="41">
        <v>38.200000000000003</v>
      </c>
      <c r="O28" s="41">
        <v>38.200000000000003</v>
      </c>
      <c r="P28" s="53">
        <v>1</v>
      </c>
      <c r="Q28" s="41">
        <v>6.2</v>
      </c>
      <c r="R28" s="41">
        <v>100</v>
      </c>
      <c r="S28" s="41">
        <v>16626</v>
      </c>
      <c r="U28" s="38" t="s">
        <v>5567</v>
      </c>
      <c r="V28" s="38" t="s">
        <v>5553</v>
      </c>
      <c r="W28" s="38" t="str">
        <f>HYPERLINK("https://www.ncbi.nlm.nih.gov/nucleotide/NC_036148.1?report=genbank&amp;log$=nucltop&amp;blast_rank=23&amp;RID=K3S1J64G014","NC_036148.1")</f>
        <v>NC_036148.1</v>
      </c>
      <c r="X28" s="38">
        <v>48.1</v>
      </c>
      <c r="Y28" s="38">
        <v>48.1</v>
      </c>
      <c r="Z28" s="55">
        <v>1</v>
      </c>
      <c r="AA28" s="38">
        <v>1.9E-2</v>
      </c>
      <c r="AB28" s="38">
        <v>96.43</v>
      </c>
      <c r="AC28" s="38">
        <v>16530</v>
      </c>
    </row>
    <row r="29" spans="1:29" x14ac:dyDescent="0.15">
      <c r="A29" s="41" t="s">
        <v>5568</v>
      </c>
      <c r="B29" s="41" t="s">
        <v>5569</v>
      </c>
      <c r="C29" s="41" t="s">
        <v>6355</v>
      </c>
      <c r="D29" s="41">
        <v>42.1</v>
      </c>
      <c r="E29" s="41">
        <v>42.1</v>
      </c>
      <c r="F29" s="53">
        <v>0.95</v>
      </c>
      <c r="G29" s="41">
        <v>0.4</v>
      </c>
      <c r="H29" s="41">
        <v>100</v>
      </c>
      <c r="I29" s="41">
        <v>16780</v>
      </c>
      <c r="K29" s="52" t="s">
        <v>3550</v>
      </c>
      <c r="L29" s="52" t="s">
        <v>26</v>
      </c>
      <c r="M29" s="41" t="str">
        <f>HYPERLINK("https://www.ncbi.nlm.nih.gov/nucleotide/MW149239.1?report=genbank&amp;log$=nucltop&amp;blast_rank=24&amp;RID=K3RYFBUB014","MW149239.1")</f>
        <v>MW149239.1</v>
      </c>
      <c r="N29" s="41">
        <v>38.200000000000003</v>
      </c>
      <c r="O29" s="41">
        <v>38.200000000000003</v>
      </c>
      <c r="P29" s="53">
        <v>1</v>
      </c>
      <c r="Q29" s="41">
        <v>6.2</v>
      </c>
      <c r="R29" s="41">
        <v>100</v>
      </c>
      <c r="S29" s="41">
        <v>16626</v>
      </c>
      <c r="U29" s="38" t="s">
        <v>5542</v>
      </c>
      <c r="V29" s="38" t="s">
        <v>5543</v>
      </c>
      <c r="W29" s="38" t="str">
        <f>HYPERLINK("https://www.ncbi.nlm.nih.gov/nucleotide/OL688776.1?report=genbank&amp;log$=nucltop&amp;blast_rank=24&amp;RID=K3S1J64G014","OL688776.1")</f>
        <v>OL688776.1</v>
      </c>
      <c r="X29" s="38">
        <v>48.1</v>
      </c>
      <c r="Y29" s="38">
        <v>48.1</v>
      </c>
      <c r="Z29" s="55">
        <v>1</v>
      </c>
      <c r="AA29" s="38">
        <v>1.9E-2</v>
      </c>
      <c r="AB29" s="38">
        <v>96.43</v>
      </c>
      <c r="AC29" s="38">
        <v>16523</v>
      </c>
    </row>
    <row r="30" spans="1:29" x14ac:dyDescent="0.15">
      <c r="A30" s="41" t="s">
        <v>5342</v>
      </c>
      <c r="B30" s="41" t="s">
        <v>5343</v>
      </c>
      <c r="C30" s="41" t="s">
        <v>6356</v>
      </c>
      <c r="D30" s="41">
        <v>42.1</v>
      </c>
      <c r="E30" s="41">
        <v>42.1</v>
      </c>
      <c r="F30" s="53">
        <v>0.95</v>
      </c>
      <c r="G30" s="41">
        <v>0.4</v>
      </c>
      <c r="H30" s="41">
        <v>100</v>
      </c>
      <c r="I30" s="41">
        <v>17059</v>
      </c>
      <c r="K30" s="41" t="s">
        <v>5570</v>
      </c>
      <c r="L30" s="41" t="s">
        <v>5529</v>
      </c>
      <c r="M30" s="41" t="str">
        <f>HYPERLINK("https://www.ncbi.nlm.nih.gov/nucleotide/KJ555052.1?report=genbank&amp;log$=nucltop&amp;blast_rank=25&amp;RID=K3RYFBUB014","KJ555052.1")</f>
        <v>KJ555052.1</v>
      </c>
      <c r="N30" s="41">
        <v>38.200000000000003</v>
      </c>
      <c r="O30" s="41">
        <v>38.200000000000003</v>
      </c>
      <c r="P30" s="53">
        <v>1</v>
      </c>
      <c r="Q30" s="41">
        <v>6.2</v>
      </c>
      <c r="R30" s="41">
        <v>100</v>
      </c>
      <c r="S30" s="41">
        <v>966</v>
      </c>
      <c r="U30" s="38" t="s">
        <v>5538</v>
      </c>
      <c r="V30" s="38" t="s">
        <v>5539</v>
      </c>
      <c r="W30" s="38" t="str">
        <f>HYPERLINK("https://www.ncbi.nlm.nih.gov/nucleotide/OL404935.1?report=genbank&amp;log$=nucltop&amp;blast_rank=25&amp;RID=K3S1J64G014","OL404935.1")</f>
        <v>OL404935.1</v>
      </c>
      <c r="X30" s="38">
        <v>48.1</v>
      </c>
      <c r="Y30" s="38">
        <v>48.1</v>
      </c>
      <c r="Z30" s="55">
        <v>1</v>
      </c>
      <c r="AA30" s="38">
        <v>1.9E-2</v>
      </c>
      <c r="AB30" s="38">
        <v>96.43</v>
      </c>
      <c r="AC30" s="38">
        <v>16516</v>
      </c>
    </row>
    <row r="31" spans="1:29" x14ac:dyDescent="0.15">
      <c r="A31" s="41" t="s">
        <v>5571</v>
      </c>
      <c r="B31" s="41" t="s">
        <v>5572</v>
      </c>
      <c r="C31" s="41" t="s">
        <v>6357</v>
      </c>
      <c r="D31" s="41">
        <v>42.1</v>
      </c>
      <c r="E31" s="41">
        <v>42.1</v>
      </c>
      <c r="F31" s="53">
        <v>0.95</v>
      </c>
      <c r="G31" s="41">
        <v>0.4</v>
      </c>
      <c r="H31" s="41">
        <v>100</v>
      </c>
      <c r="I31" s="41">
        <v>17062</v>
      </c>
      <c r="K31" s="41" t="s">
        <v>5573</v>
      </c>
      <c r="L31" s="41" t="s">
        <v>5574</v>
      </c>
      <c r="M31" s="41" t="str">
        <f>HYPERLINK("https://www.ncbi.nlm.nih.gov/nucleotide/OQ554210.1?report=genbank&amp;log$=nucltop&amp;blast_rank=26&amp;RID=K3RYFBUB014","OQ554210.1")</f>
        <v>OQ554210.1</v>
      </c>
      <c r="N31" s="41">
        <v>36.200000000000003</v>
      </c>
      <c r="O31" s="41">
        <v>36.200000000000003</v>
      </c>
      <c r="P31" s="53">
        <v>0.95</v>
      </c>
      <c r="Q31" s="41">
        <v>25</v>
      </c>
      <c r="R31" s="41">
        <v>100</v>
      </c>
      <c r="S31" s="41">
        <v>16387</v>
      </c>
      <c r="U31" s="38" t="s">
        <v>5538</v>
      </c>
      <c r="V31" s="38" t="s">
        <v>5539</v>
      </c>
      <c r="W31" s="38" t="str">
        <f>HYPERLINK("https://www.ncbi.nlm.nih.gov/nucleotide/OL404938.1?report=genbank&amp;log$=nucltop&amp;blast_rank=26&amp;RID=K3S1J64G014","OL404938.1")</f>
        <v>OL404938.1</v>
      </c>
      <c r="X31" s="38">
        <v>48.1</v>
      </c>
      <c r="Y31" s="38">
        <v>48.1</v>
      </c>
      <c r="Z31" s="55">
        <v>1</v>
      </c>
      <c r="AA31" s="38">
        <v>1.9E-2</v>
      </c>
      <c r="AB31" s="38">
        <v>96.43</v>
      </c>
      <c r="AC31" s="38">
        <v>16517</v>
      </c>
    </row>
    <row r="32" spans="1:29" x14ac:dyDescent="0.15">
      <c r="A32" s="41" t="s">
        <v>5575</v>
      </c>
      <c r="B32" s="41" t="s">
        <v>5569</v>
      </c>
      <c r="C32" s="41" t="s">
        <v>6358</v>
      </c>
      <c r="D32" s="41">
        <v>42.1</v>
      </c>
      <c r="E32" s="41">
        <v>42.1</v>
      </c>
      <c r="F32" s="53">
        <v>0.95</v>
      </c>
      <c r="G32" s="41">
        <v>0.4</v>
      </c>
      <c r="H32" s="41">
        <v>100</v>
      </c>
      <c r="I32" s="41">
        <v>16780</v>
      </c>
      <c r="K32" s="41" t="s">
        <v>5576</v>
      </c>
      <c r="L32" s="41" t="s">
        <v>5574</v>
      </c>
      <c r="M32" s="41" t="str">
        <f>HYPERLINK("https://www.ncbi.nlm.nih.gov/nucleotide/OQ554193.1?report=genbank&amp;log$=nucltop&amp;blast_rank=27&amp;RID=K3RYFBUB014","OQ554193.1")</f>
        <v>OQ554193.1</v>
      </c>
      <c r="N32" s="41">
        <v>36.200000000000003</v>
      </c>
      <c r="O32" s="41">
        <v>36.200000000000003</v>
      </c>
      <c r="P32" s="53">
        <v>0.95</v>
      </c>
      <c r="Q32" s="41">
        <v>25</v>
      </c>
      <c r="R32" s="41">
        <v>100</v>
      </c>
      <c r="S32" s="41">
        <v>16386</v>
      </c>
      <c r="U32" s="38" t="s">
        <v>5545</v>
      </c>
      <c r="V32" s="38" t="s">
        <v>5546</v>
      </c>
      <c r="W32" s="38" t="str">
        <f>HYPERLINK("https://www.ncbi.nlm.nih.gov/nucleotide/OL693873.1?report=genbank&amp;log$=nucltop&amp;blast_rank=27&amp;RID=K3S1J64G014","OL693873.1")</f>
        <v>OL693873.1</v>
      </c>
      <c r="X32" s="38">
        <v>48.1</v>
      </c>
      <c r="Y32" s="38">
        <v>48.1</v>
      </c>
      <c r="Z32" s="55">
        <v>1</v>
      </c>
      <c r="AA32" s="38">
        <v>1.9E-2</v>
      </c>
      <c r="AB32" s="38">
        <v>96.43</v>
      </c>
      <c r="AC32" s="38">
        <v>16530</v>
      </c>
    </row>
    <row r="33" spans="1:29" x14ac:dyDescent="0.15">
      <c r="A33" s="41" t="s">
        <v>5577</v>
      </c>
      <c r="B33" s="41" t="s">
        <v>5578</v>
      </c>
      <c r="C33" s="41" t="s">
        <v>6359</v>
      </c>
      <c r="D33" s="41">
        <v>42.1</v>
      </c>
      <c r="E33" s="41">
        <v>42.1</v>
      </c>
      <c r="F33" s="53">
        <v>0.95</v>
      </c>
      <c r="G33" s="41">
        <v>0.4</v>
      </c>
      <c r="H33" s="41">
        <v>100</v>
      </c>
      <c r="I33" s="41">
        <v>17617</v>
      </c>
      <c r="K33" s="41" t="s">
        <v>5579</v>
      </c>
      <c r="L33" s="41" t="s">
        <v>5574</v>
      </c>
      <c r="M33" s="41" t="str">
        <f>HYPERLINK("https://www.ncbi.nlm.nih.gov/nucleotide/OQ554135.1?report=genbank&amp;log$=nucltop&amp;blast_rank=28&amp;RID=K3RYFBUB014","OQ554135.1")</f>
        <v>OQ554135.1</v>
      </c>
      <c r="N33" s="41">
        <v>36.200000000000003</v>
      </c>
      <c r="O33" s="41">
        <v>36.200000000000003</v>
      </c>
      <c r="P33" s="53">
        <v>0.95</v>
      </c>
      <c r="Q33" s="41">
        <v>25</v>
      </c>
      <c r="R33" s="41">
        <v>100</v>
      </c>
      <c r="S33" s="41">
        <v>16387</v>
      </c>
      <c r="U33" s="38" t="s">
        <v>5564</v>
      </c>
      <c r="V33" s="38" t="s">
        <v>5565</v>
      </c>
      <c r="W33" s="38" t="str">
        <f>HYPERLINK("https://www.ncbi.nlm.nih.gov/nucleotide/OK328114.1?report=genbank&amp;log$=nucltop&amp;blast_rank=28&amp;RID=K3S1J64G014","OK328114.1")</f>
        <v>OK328114.1</v>
      </c>
      <c r="X33" s="38">
        <v>48.1</v>
      </c>
      <c r="Y33" s="38">
        <v>48.1</v>
      </c>
      <c r="Z33" s="55">
        <v>1</v>
      </c>
      <c r="AA33" s="38">
        <v>1.9E-2</v>
      </c>
      <c r="AB33" s="38">
        <v>96.43</v>
      </c>
      <c r="AC33" s="38">
        <v>16515</v>
      </c>
    </row>
    <row r="34" spans="1:29" x14ac:dyDescent="0.15">
      <c r="A34" s="57" t="s">
        <v>3514</v>
      </c>
      <c r="B34" s="57" t="s">
        <v>9</v>
      </c>
      <c r="C34" s="41" t="s">
        <v>6360</v>
      </c>
      <c r="D34" s="41">
        <v>42.1</v>
      </c>
      <c r="E34" s="41">
        <v>42.1</v>
      </c>
      <c r="F34" s="53">
        <v>0.95</v>
      </c>
      <c r="G34" s="41">
        <v>0.4</v>
      </c>
      <c r="H34" s="41">
        <v>100</v>
      </c>
      <c r="I34" s="41">
        <v>16620</v>
      </c>
      <c r="K34" s="41" t="s">
        <v>5580</v>
      </c>
      <c r="L34" s="41" t="s">
        <v>5574</v>
      </c>
      <c r="M34" s="41" t="str">
        <f>HYPERLINK("https://www.ncbi.nlm.nih.gov/nucleotide/OQ554186.1?report=genbank&amp;log$=nucltop&amp;blast_rank=29&amp;RID=K3RYFBUB014","OQ554186.1")</f>
        <v>OQ554186.1</v>
      </c>
      <c r="N34" s="41">
        <v>36.200000000000003</v>
      </c>
      <c r="O34" s="41">
        <v>36.200000000000003</v>
      </c>
      <c r="P34" s="53">
        <v>0.95</v>
      </c>
      <c r="Q34" s="41">
        <v>25</v>
      </c>
      <c r="R34" s="41">
        <v>100</v>
      </c>
      <c r="S34" s="41">
        <v>16386</v>
      </c>
      <c r="U34" s="38" t="s">
        <v>5564</v>
      </c>
      <c r="V34" s="38" t="s">
        <v>5565</v>
      </c>
      <c r="W34" s="38" t="str">
        <f>HYPERLINK("https://www.ncbi.nlm.nih.gov/nucleotide/OK637261.1?report=genbank&amp;log$=nucltop&amp;blast_rank=29&amp;RID=K3S1J64G014","OK637261.1")</f>
        <v>OK637261.1</v>
      </c>
      <c r="X34" s="38">
        <v>48.1</v>
      </c>
      <c r="Y34" s="38">
        <v>48.1</v>
      </c>
      <c r="Z34" s="55">
        <v>1</v>
      </c>
      <c r="AA34" s="38">
        <v>1.9E-2</v>
      </c>
      <c r="AB34" s="38">
        <v>96.43</v>
      </c>
      <c r="AC34" s="38">
        <v>16515</v>
      </c>
    </row>
    <row r="35" spans="1:29" x14ac:dyDescent="0.15">
      <c r="A35" s="41" t="s">
        <v>5581</v>
      </c>
      <c r="B35" s="41" t="s">
        <v>5582</v>
      </c>
      <c r="C35" s="41" t="s">
        <v>6361</v>
      </c>
      <c r="D35" s="41">
        <v>42.1</v>
      </c>
      <c r="E35" s="41">
        <v>42.1</v>
      </c>
      <c r="F35" s="53">
        <v>0.95</v>
      </c>
      <c r="G35" s="41">
        <v>0.4</v>
      </c>
      <c r="H35" s="41">
        <v>100</v>
      </c>
      <c r="I35" s="41">
        <v>17061</v>
      </c>
      <c r="K35" s="41" t="s">
        <v>5583</v>
      </c>
      <c r="L35" s="41" t="s">
        <v>5574</v>
      </c>
      <c r="M35" s="41" t="str">
        <f>HYPERLINK("https://www.ncbi.nlm.nih.gov/nucleotide/OQ554277.1?report=genbank&amp;log$=nucltop&amp;blast_rank=30&amp;RID=K3RYFBUB014","OQ554277.1")</f>
        <v>OQ554277.1</v>
      </c>
      <c r="N35" s="41">
        <v>36.200000000000003</v>
      </c>
      <c r="O35" s="41">
        <v>36.200000000000003</v>
      </c>
      <c r="P35" s="53">
        <v>0.95</v>
      </c>
      <c r="Q35" s="41">
        <v>25</v>
      </c>
      <c r="R35" s="41">
        <v>100</v>
      </c>
      <c r="S35" s="41">
        <v>16386</v>
      </c>
      <c r="U35" s="38" t="s">
        <v>5538</v>
      </c>
      <c r="V35" s="38" t="s">
        <v>5539</v>
      </c>
      <c r="W35" s="38" t="str">
        <f>HYPERLINK("https://www.ncbi.nlm.nih.gov/nucleotide/OL547391.1?report=genbank&amp;log$=nucltop&amp;blast_rank=30&amp;RID=K3S1J64G014","OL547391.1")</f>
        <v>OL547391.1</v>
      </c>
      <c r="X35" s="38">
        <v>48.1</v>
      </c>
      <c r="Y35" s="38">
        <v>48.1</v>
      </c>
      <c r="Z35" s="55">
        <v>1</v>
      </c>
      <c r="AA35" s="38">
        <v>1.9E-2</v>
      </c>
      <c r="AB35" s="38">
        <v>96.43</v>
      </c>
      <c r="AC35" s="38">
        <v>16524</v>
      </c>
    </row>
    <row r="36" spans="1:29" x14ac:dyDescent="0.15">
      <c r="A36" s="41" t="s">
        <v>5584</v>
      </c>
      <c r="B36" s="41" t="s">
        <v>5585</v>
      </c>
      <c r="C36" s="41" t="s">
        <v>6362</v>
      </c>
      <c r="D36" s="41">
        <v>42.1</v>
      </c>
      <c r="E36" s="41">
        <v>42.1</v>
      </c>
      <c r="F36" s="53">
        <v>0.95</v>
      </c>
      <c r="G36" s="41">
        <v>0.4</v>
      </c>
      <c r="H36" s="41">
        <v>100</v>
      </c>
      <c r="I36" s="41">
        <v>16922</v>
      </c>
      <c r="K36" s="41" t="s">
        <v>5586</v>
      </c>
      <c r="L36" s="41" t="s">
        <v>5574</v>
      </c>
      <c r="M36" s="41" t="str">
        <f>HYPERLINK("https://www.ncbi.nlm.nih.gov/nucleotide/OQ554267.1?report=genbank&amp;log$=nucltop&amp;blast_rank=31&amp;RID=K3RYFBUB014","OQ554267.1")</f>
        <v>OQ554267.1</v>
      </c>
      <c r="N36" s="41">
        <v>36.200000000000003</v>
      </c>
      <c r="O36" s="41">
        <v>36.200000000000003</v>
      </c>
      <c r="P36" s="53">
        <v>0.95</v>
      </c>
      <c r="Q36" s="41">
        <v>25</v>
      </c>
      <c r="R36" s="41">
        <v>100</v>
      </c>
      <c r="S36" s="41">
        <v>16386</v>
      </c>
      <c r="U36" s="38" t="s">
        <v>5587</v>
      </c>
      <c r="V36" s="38" t="s">
        <v>5588</v>
      </c>
      <c r="W36" s="38" t="str">
        <f>HYPERLINK("https://www.ncbi.nlm.nih.gov/nucleotide/LC549804.1?report=genbank&amp;log$=nucltop&amp;blast_rank=31&amp;RID=K3S1J64G014","LC549804.1")</f>
        <v>LC549804.1</v>
      </c>
      <c r="X36" s="38">
        <v>48.1</v>
      </c>
      <c r="Y36" s="38">
        <v>48.1</v>
      </c>
      <c r="Z36" s="55">
        <v>0.86</v>
      </c>
      <c r="AA36" s="38">
        <v>1.9E-2</v>
      </c>
      <c r="AB36" s="38">
        <v>100</v>
      </c>
      <c r="AC36" s="38">
        <v>16882</v>
      </c>
    </row>
    <row r="37" spans="1:29" x14ac:dyDescent="0.15">
      <c r="A37" s="41" t="s">
        <v>5547</v>
      </c>
      <c r="B37" s="41" t="s">
        <v>5548</v>
      </c>
      <c r="C37" s="41" t="s">
        <v>6363</v>
      </c>
      <c r="D37" s="41">
        <v>42.1</v>
      </c>
      <c r="E37" s="41">
        <v>42.1</v>
      </c>
      <c r="F37" s="53">
        <v>0.95</v>
      </c>
      <c r="G37" s="41">
        <v>0.4</v>
      </c>
      <c r="H37" s="41">
        <v>100</v>
      </c>
      <c r="I37" s="41">
        <v>17062</v>
      </c>
      <c r="K37" s="41" t="s">
        <v>5589</v>
      </c>
      <c r="L37" s="41" t="s">
        <v>5574</v>
      </c>
      <c r="M37" s="41" t="str">
        <f>HYPERLINK("https://www.ncbi.nlm.nih.gov/nucleotide/OQ553987.1?report=genbank&amp;log$=nucltop&amp;blast_rank=32&amp;RID=K3RYFBUB014","OQ553987.1")</f>
        <v>OQ553987.1</v>
      </c>
      <c r="N37" s="41">
        <v>36.200000000000003</v>
      </c>
      <c r="O37" s="41">
        <v>36.200000000000003</v>
      </c>
      <c r="P37" s="53">
        <v>0.95</v>
      </c>
      <c r="Q37" s="41">
        <v>25</v>
      </c>
      <c r="R37" s="41">
        <v>100</v>
      </c>
      <c r="S37" s="41">
        <v>16386</v>
      </c>
      <c r="U37" s="38" t="s">
        <v>5538</v>
      </c>
      <c r="V37" s="38" t="s">
        <v>5539</v>
      </c>
      <c r="W37" s="38" t="str">
        <f>HYPERLINK("https://www.ncbi.nlm.nih.gov/nucleotide/OL435154.1?report=genbank&amp;log$=nucltop&amp;blast_rank=32&amp;RID=K3S1J64G014","OL435154.1")</f>
        <v>OL435154.1</v>
      </c>
      <c r="X37" s="38">
        <v>48.1</v>
      </c>
      <c r="Y37" s="38">
        <v>48.1</v>
      </c>
      <c r="Z37" s="55">
        <v>1</v>
      </c>
      <c r="AA37" s="38">
        <v>1.9E-2</v>
      </c>
      <c r="AB37" s="38">
        <v>96.43</v>
      </c>
      <c r="AC37" s="38">
        <v>16519</v>
      </c>
    </row>
    <row r="38" spans="1:29" x14ac:dyDescent="0.15">
      <c r="A38" s="41" t="s">
        <v>5590</v>
      </c>
      <c r="B38" s="41" t="s">
        <v>5531</v>
      </c>
      <c r="C38" s="41" t="s">
        <v>6364</v>
      </c>
      <c r="D38" s="41">
        <v>42.1</v>
      </c>
      <c r="E38" s="41">
        <v>42.1</v>
      </c>
      <c r="F38" s="53">
        <v>0.95</v>
      </c>
      <c r="G38" s="41">
        <v>0.4</v>
      </c>
      <c r="H38" s="41">
        <v>100</v>
      </c>
      <c r="I38" s="41">
        <v>16547</v>
      </c>
      <c r="K38" s="41" t="s">
        <v>5591</v>
      </c>
      <c r="L38" s="41" t="s">
        <v>5574</v>
      </c>
      <c r="M38" s="41" t="str">
        <f>HYPERLINK("https://www.ncbi.nlm.nih.gov/nucleotide/OQ554123.1?report=genbank&amp;log$=nucltop&amp;blast_rank=33&amp;RID=K3RYFBUB014","OQ554123.1")</f>
        <v>OQ554123.1</v>
      </c>
      <c r="N38" s="41">
        <v>36.200000000000003</v>
      </c>
      <c r="O38" s="41">
        <v>36.200000000000003</v>
      </c>
      <c r="P38" s="53">
        <v>0.95</v>
      </c>
      <c r="Q38" s="41">
        <v>25</v>
      </c>
      <c r="R38" s="41">
        <v>100</v>
      </c>
      <c r="S38" s="41">
        <v>16387</v>
      </c>
      <c r="U38" s="38" t="s">
        <v>5538</v>
      </c>
      <c r="V38" s="38" t="s">
        <v>5539</v>
      </c>
      <c r="W38" s="38" t="str">
        <f>HYPERLINK("https://www.ncbi.nlm.nih.gov/nucleotide/OL404936.1?report=genbank&amp;log$=nucltop&amp;blast_rank=33&amp;RID=K3S1J64G014","OL404936.1")</f>
        <v>OL404936.1</v>
      </c>
      <c r="X38" s="38">
        <v>48.1</v>
      </c>
      <c r="Y38" s="38">
        <v>48.1</v>
      </c>
      <c r="Z38" s="55">
        <v>1</v>
      </c>
      <c r="AA38" s="38">
        <v>1.9E-2</v>
      </c>
      <c r="AB38" s="38">
        <v>96.43</v>
      </c>
      <c r="AC38" s="38">
        <v>16523</v>
      </c>
    </row>
    <row r="39" spans="1:29" x14ac:dyDescent="0.15">
      <c r="A39" s="57" t="s">
        <v>3517</v>
      </c>
      <c r="B39" s="57" t="s">
        <v>40</v>
      </c>
      <c r="C39" s="41" t="s">
        <v>6365</v>
      </c>
      <c r="D39" s="41">
        <v>42.1</v>
      </c>
      <c r="E39" s="41">
        <v>42.1</v>
      </c>
      <c r="F39" s="53">
        <v>0.95</v>
      </c>
      <c r="G39" s="41">
        <v>0.4</v>
      </c>
      <c r="H39" s="41">
        <v>100</v>
      </c>
      <c r="I39" s="41">
        <v>16642</v>
      </c>
      <c r="K39" s="41" t="s">
        <v>5592</v>
      </c>
      <c r="L39" s="41" t="s">
        <v>5574</v>
      </c>
      <c r="M39" s="41" t="str">
        <f>HYPERLINK("https://www.ncbi.nlm.nih.gov/nucleotide/MW316257.1?report=genbank&amp;log$=nucltop&amp;blast_rank=34&amp;RID=K3RYFBUB014","MW316257.1")</f>
        <v>MW316257.1</v>
      </c>
      <c r="N39" s="41">
        <v>36.200000000000003</v>
      </c>
      <c r="O39" s="41">
        <v>36.200000000000003</v>
      </c>
      <c r="P39" s="53">
        <v>0.95</v>
      </c>
      <c r="Q39" s="41">
        <v>25</v>
      </c>
      <c r="R39" s="41">
        <v>100</v>
      </c>
      <c r="S39" s="41">
        <v>16368</v>
      </c>
      <c r="U39" s="38" t="s">
        <v>5593</v>
      </c>
      <c r="V39" s="38" t="s">
        <v>1986</v>
      </c>
      <c r="W39" s="38" t="str">
        <f>HYPERLINK("https://www.ncbi.nlm.nih.gov/nucleotide/NC_082814.1?report=genbank&amp;log$=nucltop&amp;blast_rank=34&amp;RID=K3S1J64G014","NC_082814.1")</f>
        <v>NC_082814.1</v>
      </c>
      <c r="X39" s="38">
        <v>48.1</v>
      </c>
      <c r="Y39" s="38">
        <v>48.1</v>
      </c>
      <c r="Z39" s="55">
        <v>1</v>
      </c>
      <c r="AA39" s="38">
        <v>1.9E-2</v>
      </c>
      <c r="AB39" s="38">
        <v>96.43</v>
      </c>
      <c r="AC39" s="38">
        <v>16884</v>
      </c>
    </row>
    <row r="40" spans="1:29" x14ac:dyDescent="0.15">
      <c r="A40" s="41" t="s">
        <v>5594</v>
      </c>
      <c r="B40" s="41" t="s">
        <v>5578</v>
      </c>
      <c r="C40" s="41" t="s">
        <v>6366</v>
      </c>
      <c r="D40" s="41">
        <v>42.1</v>
      </c>
      <c r="E40" s="41">
        <v>42.1</v>
      </c>
      <c r="F40" s="53">
        <v>0.95</v>
      </c>
      <c r="G40" s="41">
        <v>0.4</v>
      </c>
      <c r="H40" s="41">
        <v>100</v>
      </c>
      <c r="I40" s="41">
        <v>16140</v>
      </c>
      <c r="K40" s="41" t="s">
        <v>5595</v>
      </c>
      <c r="L40" s="41" t="s">
        <v>5574</v>
      </c>
      <c r="M40" s="41" t="str">
        <f>HYPERLINK("https://www.ncbi.nlm.nih.gov/nucleotide/OQ554286.1?report=genbank&amp;log$=nucltop&amp;blast_rank=35&amp;RID=K3RYFBUB014","OQ554286.1")</f>
        <v>OQ554286.1</v>
      </c>
      <c r="N40" s="41">
        <v>36.200000000000003</v>
      </c>
      <c r="O40" s="41">
        <v>36.200000000000003</v>
      </c>
      <c r="P40" s="53">
        <v>0.95</v>
      </c>
      <c r="Q40" s="41">
        <v>25</v>
      </c>
      <c r="R40" s="41">
        <v>100</v>
      </c>
      <c r="S40" s="41">
        <v>16386</v>
      </c>
      <c r="U40" s="38" t="s">
        <v>5596</v>
      </c>
      <c r="V40" s="38" t="s">
        <v>5561</v>
      </c>
      <c r="W40" s="38" t="str">
        <f>HYPERLINK("https://www.ncbi.nlm.nih.gov/nucleotide/NC_036149.1?report=genbank&amp;log$=nucltop&amp;blast_rank=35&amp;RID=K3S1J64G014","NC_036149.1")</f>
        <v>NC_036149.1</v>
      </c>
      <c r="X40" s="38">
        <v>48.1</v>
      </c>
      <c r="Y40" s="38">
        <v>48.1</v>
      </c>
      <c r="Z40" s="55">
        <v>1</v>
      </c>
      <c r="AA40" s="38">
        <v>1.9E-2</v>
      </c>
      <c r="AB40" s="38">
        <v>96.43</v>
      </c>
      <c r="AC40" s="38">
        <v>16527</v>
      </c>
    </row>
    <row r="41" spans="1:29" x14ac:dyDescent="0.15">
      <c r="A41" s="41" t="s">
        <v>5597</v>
      </c>
      <c r="B41" s="41" t="s">
        <v>5598</v>
      </c>
      <c r="C41" s="41" t="s">
        <v>6367</v>
      </c>
      <c r="D41" s="41">
        <v>42.1</v>
      </c>
      <c r="E41" s="41">
        <v>42.1</v>
      </c>
      <c r="F41" s="53">
        <v>0.95</v>
      </c>
      <c r="G41" s="41">
        <v>0.4</v>
      </c>
      <c r="H41" s="41">
        <v>100</v>
      </c>
      <c r="I41" s="41">
        <v>16785</v>
      </c>
      <c r="K41" s="41" t="s">
        <v>5599</v>
      </c>
      <c r="L41" s="41" t="s">
        <v>5574</v>
      </c>
      <c r="M41" s="41" t="str">
        <f>HYPERLINK("https://www.ncbi.nlm.nih.gov/nucleotide/MW316245.1?report=genbank&amp;log$=nucltop&amp;blast_rank=36&amp;RID=K3RYFBUB014","MW316245.1")</f>
        <v>MW316245.1</v>
      </c>
      <c r="N41" s="41">
        <v>36.200000000000003</v>
      </c>
      <c r="O41" s="41">
        <v>36.200000000000003</v>
      </c>
      <c r="P41" s="53">
        <v>0.95</v>
      </c>
      <c r="Q41" s="41">
        <v>25</v>
      </c>
      <c r="R41" s="41">
        <v>100</v>
      </c>
      <c r="S41" s="41">
        <v>16384</v>
      </c>
      <c r="U41" s="38" t="s">
        <v>5600</v>
      </c>
      <c r="V41" s="38" t="s">
        <v>5601</v>
      </c>
      <c r="W41" s="38" t="str">
        <f>HYPERLINK("https://www.ncbi.nlm.nih.gov/nucleotide/MT527181.1?report=genbank&amp;log$=nucltop&amp;blast_rank=36&amp;RID=K3S1J64G014","MT527181.1")</f>
        <v>MT527181.1</v>
      </c>
      <c r="X41" s="38">
        <v>48.1</v>
      </c>
      <c r="Y41" s="38">
        <v>48.1</v>
      </c>
      <c r="Z41" s="55">
        <v>1</v>
      </c>
      <c r="AA41" s="38">
        <v>1.9E-2</v>
      </c>
      <c r="AB41" s="38">
        <v>96.43</v>
      </c>
      <c r="AC41" s="38">
        <v>16532</v>
      </c>
    </row>
    <row r="42" spans="1:29" x14ac:dyDescent="0.15">
      <c r="A42" s="41" t="s">
        <v>5602</v>
      </c>
      <c r="B42" s="41" t="s">
        <v>5603</v>
      </c>
      <c r="C42" s="41" t="s">
        <v>6368</v>
      </c>
      <c r="D42" s="41">
        <v>42.1</v>
      </c>
      <c r="E42" s="41">
        <v>42.1</v>
      </c>
      <c r="F42" s="53">
        <v>0.95</v>
      </c>
      <c r="G42" s="41">
        <v>0.4</v>
      </c>
      <c r="H42" s="41">
        <v>100</v>
      </c>
      <c r="I42" s="41">
        <v>16767</v>
      </c>
      <c r="K42" s="41" t="s">
        <v>5604</v>
      </c>
      <c r="L42" s="41" t="s">
        <v>5574</v>
      </c>
      <c r="M42" s="41" t="str">
        <f>HYPERLINK("https://www.ncbi.nlm.nih.gov/nucleotide/OQ554202.1?report=genbank&amp;log$=nucltop&amp;blast_rank=37&amp;RID=K3RYFBUB014","OQ554202.1")</f>
        <v>OQ554202.1</v>
      </c>
      <c r="N42" s="41">
        <v>36.200000000000003</v>
      </c>
      <c r="O42" s="41">
        <v>36.200000000000003</v>
      </c>
      <c r="P42" s="53">
        <v>0.95</v>
      </c>
      <c r="Q42" s="41">
        <v>25</v>
      </c>
      <c r="R42" s="41">
        <v>100</v>
      </c>
      <c r="S42" s="41">
        <v>16387</v>
      </c>
      <c r="U42" s="38" t="s">
        <v>5605</v>
      </c>
      <c r="V42" s="38" t="s">
        <v>5606</v>
      </c>
      <c r="W42" s="38" t="str">
        <f>HYPERLINK("https://www.ncbi.nlm.nih.gov/nucleotide/NC_036147.1?report=genbank&amp;log$=nucltop&amp;blast_rank=37&amp;RID=K3S1J64G014","NC_036147.1")</f>
        <v>NC_036147.1</v>
      </c>
      <c r="X42" s="38">
        <v>48.1</v>
      </c>
      <c r="Y42" s="38">
        <v>48.1</v>
      </c>
      <c r="Z42" s="55">
        <v>1</v>
      </c>
      <c r="AA42" s="38">
        <v>1.9E-2</v>
      </c>
      <c r="AB42" s="38">
        <v>96.43</v>
      </c>
      <c r="AC42" s="38">
        <v>16522</v>
      </c>
    </row>
    <row r="43" spans="1:29" x14ac:dyDescent="0.15">
      <c r="A43" s="41" t="s">
        <v>5607</v>
      </c>
      <c r="B43" s="41" t="s">
        <v>5578</v>
      </c>
      <c r="C43" s="41" t="s">
        <v>6369</v>
      </c>
      <c r="D43" s="41">
        <v>42.1</v>
      </c>
      <c r="E43" s="41">
        <v>42.1</v>
      </c>
      <c r="F43" s="53">
        <v>0.95</v>
      </c>
      <c r="G43" s="41">
        <v>0.4</v>
      </c>
      <c r="H43" s="41">
        <v>100</v>
      </c>
      <c r="I43" s="41">
        <v>16780</v>
      </c>
      <c r="K43" s="41" t="s">
        <v>5608</v>
      </c>
      <c r="L43" s="41" t="s">
        <v>5574</v>
      </c>
      <c r="M43" s="41" t="str">
        <f>HYPERLINK("https://www.ncbi.nlm.nih.gov/nucleotide/OQ554144.1?report=genbank&amp;log$=nucltop&amp;blast_rank=38&amp;RID=K3RYFBUB014","OQ554144.1")</f>
        <v>OQ554144.1</v>
      </c>
      <c r="N43" s="41">
        <v>36.200000000000003</v>
      </c>
      <c r="O43" s="41">
        <v>36.200000000000003</v>
      </c>
      <c r="P43" s="53">
        <v>0.95</v>
      </c>
      <c r="Q43" s="41">
        <v>25</v>
      </c>
      <c r="R43" s="41">
        <v>100</v>
      </c>
      <c r="S43" s="41">
        <v>16386</v>
      </c>
      <c r="U43" s="38" t="s">
        <v>5609</v>
      </c>
      <c r="V43" s="38" t="s">
        <v>5610</v>
      </c>
      <c r="W43" s="38" t="str">
        <f>HYPERLINK("https://www.ncbi.nlm.nih.gov/nucleotide/MT527183.1?report=genbank&amp;log$=nucltop&amp;blast_rank=38&amp;RID=K3S1J64G014","MT527183.1")</f>
        <v>MT527183.1</v>
      </c>
      <c r="X43" s="38">
        <v>48.1</v>
      </c>
      <c r="Y43" s="38">
        <v>48.1</v>
      </c>
      <c r="Z43" s="55">
        <v>1</v>
      </c>
      <c r="AA43" s="38">
        <v>1.9E-2</v>
      </c>
      <c r="AB43" s="38">
        <v>96.43</v>
      </c>
      <c r="AC43" s="38">
        <v>16530</v>
      </c>
    </row>
    <row r="44" spans="1:29" x14ac:dyDescent="0.15">
      <c r="A44" s="52" t="s">
        <v>5551</v>
      </c>
      <c r="B44" s="52" t="s">
        <v>26</v>
      </c>
      <c r="C44" s="41" t="s">
        <v>6370</v>
      </c>
      <c r="D44" s="41">
        <v>42.1</v>
      </c>
      <c r="E44" s="41">
        <v>42.1</v>
      </c>
      <c r="F44" s="53">
        <v>0.95</v>
      </c>
      <c r="G44" s="41">
        <v>0.4</v>
      </c>
      <c r="H44" s="41">
        <v>100</v>
      </c>
      <c r="I44" s="41">
        <v>975</v>
      </c>
      <c r="K44" s="41" t="s">
        <v>5611</v>
      </c>
      <c r="L44" s="41" t="s">
        <v>5574</v>
      </c>
      <c r="M44" s="41" t="str">
        <f>HYPERLINK("https://www.ncbi.nlm.nih.gov/nucleotide/OQ554291.1?report=genbank&amp;log$=nucltop&amp;blast_rank=39&amp;RID=K3RYFBUB014","OQ554291.1")</f>
        <v>OQ554291.1</v>
      </c>
      <c r="N44" s="41">
        <v>36.200000000000003</v>
      </c>
      <c r="O44" s="41">
        <v>36.200000000000003</v>
      </c>
      <c r="P44" s="53">
        <v>0.95</v>
      </c>
      <c r="Q44" s="41">
        <v>25</v>
      </c>
      <c r="R44" s="41">
        <v>100</v>
      </c>
      <c r="S44" s="41">
        <v>16386</v>
      </c>
      <c r="U44" s="38" t="s">
        <v>5612</v>
      </c>
      <c r="V44" s="38" t="s">
        <v>5613</v>
      </c>
      <c r="W44" s="38" t="str">
        <f>HYPERLINK("https://www.ncbi.nlm.nih.gov/nucleotide/NC_066922.1?report=genbank&amp;log$=nucltop&amp;blast_rank=39&amp;RID=K3S1J64G014","NC_066922.1")</f>
        <v>NC_066922.1</v>
      </c>
      <c r="X44" s="38">
        <v>48.1</v>
      </c>
      <c r="Y44" s="38">
        <v>48.1</v>
      </c>
      <c r="Z44" s="55">
        <v>1</v>
      </c>
      <c r="AA44" s="38">
        <v>1.9E-2</v>
      </c>
      <c r="AB44" s="38">
        <v>96.43</v>
      </c>
      <c r="AC44" s="38">
        <v>16533</v>
      </c>
    </row>
    <row r="45" spans="1:29" x14ac:dyDescent="0.15">
      <c r="A45" s="57" t="s">
        <v>3514</v>
      </c>
      <c r="B45" s="57" t="s">
        <v>9</v>
      </c>
      <c r="C45" s="41" t="s">
        <v>6371</v>
      </c>
      <c r="D45" s="41">
        <v>42.1</v>
      </c>
      <c r="E45" s="41">
        <v>42.1</v>
      </c>
      <c r="F45" s="53">
        <v>0.95</v>
      </c>
      <c r="G45" s="41">
        <v>0.4</v>
      </c>
      <c r="H45" s="41">
        <v>100</v>
      </c>
      <c r="I45" s="41">
        <v>16641</v>
      </c>
      <c r="K45" s="41" t="s">
        <v>5614</v>
      </c>
      <c r="L45" s="41" t="s">
        <v>5574</v>
      </c>
      <c r="M45" s="41" t="str">
        <f>HYPERLINK("https://www.ncbi.nlm.nih.gov/nucleotide/OQ554262.1?report=genbank&amp;log$=nucltop&amp;blast_rank=40&amp;RID=K3RYFBUB014","OQ554262.1")</f>
        <v>OQ554262.1</v>
      </c>
      <c r="N45" s="41">
        <v>36.200000000000003</v>
      </c>
      <c r="O45" s="41">
        <v>36.200000000000003</v>
      </c>
      <c r="P45" s="53">
        <v>0.95</v>
      </c>
      <c r="Q45" s="41">
        <v>25</v>
      </c>
      <c r="R45" s="41">
        <v>100</v>
      </c>
      <c r="S45" s="41">
        <v>16386</v>
      </c>
      <c r="U45" s="38" t="s">
        <v>5615</v>
      </c>
      <c r="V45" s="38" t="s">
        <v>5546</v>
      </c>
      <c r="W45" s="38" t="str">
        <f>HYPERLINK("https://www.ncbi.nlm.nih.gov/nucleotide/NC_066921.1?report=genbank&amp;log$=nucltop&amp;blast_rank=40&amp;RID=K3S1J64G014","NC_066921.1")</f>
        <v>NC_066921.1</v>
      </c>
      <c r="X45" s="38">
        <v>48.1</v>
      </c>
      <c r="Y45" s="38">
        <v>48.1</v>
      </c>
      <c r="Z45" s="55">
        <v>1</v>
      </c>
      <c r="AA45" s="38">
        <v>1.9E-2</v>
      </c>
      <c r="AB45" s="38">
        <v>96.43</v>
      </c>
      <c r="AC45" s="38">
        <v>16529</v>
      </c>
    </row>
    <row r="46" spans="1:29" x14ac:dyDescent="0.15">
      <c r="A46" s="41" t="s">
        <v>5616</v>
      </c>
      <c r="B46" s="41" t="s">
        <v>5548</v>
      </c>
      <c r="C46" s="41" t="s">
        <v>6372</v>
      </c>
      <c r="D46" s="41">
        <v>42.1</v>
      </c>
      <c r="E46" s="41">
        <v>42.1</v>
      </c>
      <c r="F46" s="53">
        <v>0.95</v>
      </c>
      <c r="G46" s="41">
        <v>0.4</v>
      </c>
      <c r="H46" s="41">
        <v>100</v>
      </c>
      <c r="I46" s="41">
        <v>17336</v>
      </c>
      <c r="K46" s="41" t="s">
        <v>5617</v>
      </c>
      <c r="L46" s="41" t="s">
        <v>5574</v>
      </c>
      <c r="M46" s="41" t="str">
        <f>HYPERLINK("https://www.ncbi.nlm.nih.gov/nucleotide/MW316260.1?report=genbank&amp;log$=nucltop&amp;blast_rank=41&amp;RID=K3RYFBUB014","MW316260.1")</f>
        <v>MW316260.1</v>
      </c>
      <c r="N46" s="41">
        <v>36.200000000000003</v>
      </c>
      <c r="O46" s="41">
        <v>36.200000000000003</v>
      </c>
      <c r="P46" s="53">
        <v>0.95</v>
      </c>
      <c r="Q46" s="41">
        <v>25</v>
      </c>
      <c r="R46" s="41">
        <v>100</v>
      </c>
      <c r="S46" s="41">
        <v>16386</v>
      </c>
      <c r="U46" s="38" t="s">
        <v>5618</v>
      </c>
      <c r="V46" s="38" t="s">
        <v>5619</v>
      </c>
      <c r="W46" s="38" t="str">
        <f>HYPERLINK("https://www.ncbi.nlm.nih.gov/nucleotide/MW732166.1?report=genbank&amp;log$=nucltop&amp;blast_rank=41&amp;RID=K3S1J64G014","MW732166.1")</f>
        <v>MW732166.1</v>
      </c>
      <c r="X46" s="38">
        <v>48.1</v>
      </c>
      <c r="Y46" s="38">
        <v>48.1</v>
      </c>
      <c r="Z46" s="55">
        <v>1</v>
      </c>
      <c r="AA46" s="38">
        <v>1.9E-2</v>
      </c>
      <c r="AB46" s="38">
        <v>96.43</v>
      </c>
      <c r="AC46" s="38">
        <v>16506</v>
      </c>
    </row>
    <row r="47" spans="1:29" x14ac:dyDescent="0.15">
      <c r="A47" s="41" t="s">
        <v>5620</v>
      </c>
      <c r="B47" s="41" t="s">
        <v>5563</v>
      </c>
      <c r="C47" s="41" t="s">
        <v>6373</v>
      </c>
      <c r="D47" s="41">
        <v>42.1</v>
      </c>
      <c r="E47" s="41">
        <v>42.1</v>
      </c>
      <c r="F47" s="53">
        <v>0.95</v>
      </c>
      <c r="G47" s="41">
        <v>0.4</v>
      </c>
      <c r="H47" s="41">
        <v>100</v>
      </c>
      <c r="I47" s="41">
        <v>16779</v>
      </c>
      <c r="K47" s="41" t="s">
        <v>5621</v>
      </c>
      <c r="L47" s="41" t="s">
        <v>5574</v>
      </c>
      <c r="M47" s="41" t="str">
        <f>HYPERLINK("https://www.ncbi.nlm.nih.gov/nucleotide/MW316281.1?report=genbank&amp;log$=nucltop&amp;blast_rank=42&amp;RID=K3RYFBUB014","MW316281.1")</f>
        <v>MW316281.1</v>
      </c>
      <c r="N47" s="41">
        <v>36.200000000000003</v>
      </c>
      <c r="O47" s="41">
        <v>36.200000000000003</v>
      </c>
      <c r="P47" s="53">
        <v>0.95</v>
      </c>
      <c r="Q47" s="41">
        <v>25</v>
      </c>
      <c r="R47" s="41">
        <v>100</v>
      </c>
      <c r="S47" s="41">
        <v>16385</v>
      </c>
      <c r="U47" s="38" t="s">
        <v>5538</v>
      </c>
      <c r="V47" s="38" t="s">
        <v>5539</v>
      </c>
      <c r="W47" s="38" t="str">
        <f>HYPERLINK("https://www.ncbi.nlm.nih.gov/nucleotide/OL404934.1?report=genbank&amp;log$=nucltop&amp;blast_rank=42&amp;RID=K3S1J64G014","OL404934.1")</f>
        <v>OL404934.1</v>
      </c>
      <c r="X47" s="38">
        <v>48.1</v>
      </c>
      <c r="Y47" s="38">
        <v>48.1</v>
      </c>
      <c r="Z47" s="55">
        <v>1</v>
      </c>
      <c r="AA47" s="38">
        <v>1.9E-2</v>
      </c>
      <c r="AB47" s="38">
        <v>96.43</v>
      </c>
      <c r="AC47" s="38">
        <v>16515</v>
      </c>
    </row>
    <row r="48" spans="1:29" x14ac:dyDescent="0.15">
      <c r="A48" s="41" t="s">
        <v>5622</v>
      </c>
      <c r="B48" s="41" t="s">
        <v>5623</v>
      </c>
      <c r="C48" s="41" t="s">
        <v>6374</v>
      </c>
      <c r="D48" s="41">
        <v>42.1</v>
      </c>
      <c r="E48" s="41">
        <v>42.1</v>
      </c>
      <c r="F48" s="53">
        <v>0.95</v>
      </c>
      <c r="G48" s="41">
        <v>0.4</v>
      </c>
      <c r="H48" s="41">
        <v>100</v>
      </c>
      <c r="I48" s="41">
        <v>16401</v>
      </c>
      <c r="K48" s="41" t="s">
        <v>5624</v>
      </c>
      <c r="L48" s="41" t="s">
        <v>5574</v>
      </c>
      <c r="M48" s="41" t="str">
        <f>HYPERLINK("https://www.ncbi.nlm.nih.gov/nucleotide/OQ554194.1?report=genbank&amp;log$=nucltop&amp;blast_rank=43&amp;RID=K3RYFBUB014","OQ554194.1")</f>
        <v>OQ554194.1</v>
      </c>
      <c r="N48" s="41">
        <v>36.200000000000003</v>
      </c>
      <c r="O48" s="41">
        <v>36.200000000000003</v>
      </c>
      <c r="P48" s="53">
        <v>0.95</v>
      </c>
      <c r="Q48" s="41">
        <v>25</v>
      </c>
      <c r="R48" s="41">
        <v>100</v>
      </c>
      <c r="S48" s="41">
        <v>16386</v>
      </c>
      <c r="U48" s="38" t="s">
        <v>5538</v>
      </c>
      <c r="V48" s="38" t="s">
        <v>5539</v>
      </c>
      <c r="W48" s="38" t="str">
        <f>HYPERLINK("https://www.ncbi.nlm.nih.gov/nucleotide/OL435151.1?report=genbank&amp;log$=nucltop&amp;blast_rank=43&amp;RID=K3S1J64G014","OL435151.1")</f>
        <v>OL435151.1</v>
      </c>
      <c r="X48" s="38">
        <v>48.1</v>
      </c>
      <c r="Y48" s="38">
        <v>48.1</v>
      </c>
      <c r="Z48" s="55">
        <v>1</v>
      </c>
      <c r="AA48" s="38">
        <v>1.9E-2</v>
      </c>
      <c r="AB48" s="38">
        <v>96.43</v>
      </c>
      <c r="AC48" s="38">
        <v>16531</v>
      </c>
    </row>
    <row r="49" spans="1:29" x14ac:dyDescent="0.15">
      <c r="A49" s="41" t="s">
        <v>5625</v>
      </c>
      <c r="B49" s="41" t="s">
        <v>5531</v>
      </c>
      <c r="C49" s="41" t="s">
        <v>6375</v>
      </c>
      <c r="D49" s="41">
        <v>42.1</v>
      </c>
      <c r="E49" s="41">
        <v>42.1</v>
      </c>
      <c r="F49" s="53">
        <v>0.95</v>
      </c>
      <c r="G49" s="41">
        <v>0.4</v>
      </c>
      <c r="H49" s="41">
        <v>100</v>
      </c>
      <c r="I49" s="41">
        <v>16562</v>
      </c>
      <c r="K49" s="41" t="s">
        <v>5626</v>
      </c>
      <c r="L49" s="41" t="s">
        <v>5574</v>
      </c>
      <c r="M49" s="41" t="str">
        <f>HYPERLINK("https://www.ncbi.nlm.nih.gov/nucleotide/MW316194.1?report=genbank&amp;log$=nucltop&amp;blast_rank=44&amp;RID=K3RYFBUB014","MW316194.1")</f>
        <v>MW316194.1</v>
      </c>
      <c r="N49" s="41">
        <v>36.200000000000003</v>
      </c>
      <c r="O49" s="41">
        <v>36.200000000000003</v>
      </c>
      <c r="P49" s="53">
        <v>0.95</v>
      </c>
      <c r="Q49" s="41">
        <v>25</v>
      </c>
      <c r="R49" s="41">
        <v>100</v>
      </c>
      <c r="S49" s="41">
        <v>16386</v>
      </c>
      <c r="U49" s="38" t="s">
        <v>5538</v>
      </c>
      <c r="V49" s="38" t="s">
        <v>5539</v>
      </c>
      <c r="W49" s="38" t="str">
        <f>HYPERLINK("https://www.ncbi.nlm.nih.gov/nucleotide/OL404941.1?report=genbank&amp;log$=nucltop&amp;blast_rank=44&amp;RID=K3S1J64G014","OL404941.1")</f>
        <v>OL404941.1</v>
      </c>
      <c r="X49" s="38">
        <v>48.1</v>
      </c>
      <c r="Y49" s="38">
        <v>48.1</v>
      </c>
      <c r="Z49" s="55">
        <v>1</v>
      </c>
      <c r="AA49" s="38">
        <v>1.9E-2</v>
      </c>
      <c r="AB49" s="38">
        <v>96.43</v>
      </c>
      <c r="AC49" s="38">
        <v>16526</v>
      </c>
    </row>
    <row r="50" spans="1:29" x14ac:dyDescent="0.15">
      <c r="A50" s="41" t="s">
        <v>5627</v>
      </c>
      <c r="B50" s="41" t="s">
        <v>2092</v>
      </c>
      <c r="C50" s="41" t="s">
        <v>6376</v>
      </c>
      <c r="D50" s="41">
        <v>42.1</v>
      </c>
      <c r="E50" s="41">
        <v>42.1</v>
      </c>
      <c r="F50" s="53">
        <v>0.95</v>
      </c>
      <c r="G50" s="41">
        <v>0.4</v>
      </c>
      <c r="H50" s="41">
        <v>100</v>
      </c>
      <c r="I50" s="41">
        <v>16861</v>
      </c>
      <c r="K50" s="41" t="s">
        <v>5628</v>
      </c>
      <c r="L50" s="41" t="s">
        <v>5574</v>
      </c>
      <c r="M50" s="41" t="str">
        <f>HYPERLINK("https://www.ncbi.nlm.nih.gov/nucleotide/MW316261.1?report=genbank&amp;log$=nucltop&amp;blast_rank=45&amp;RID=K3RYFBUB014","MW316261.1")</f>
        <v>MW316261.1</v>
      </c>
      <c r="N50" s="41">
        <v>36.200000000000003</v>
      </c>
      <c r="O50" s="41">
        <v>36.200000000000003</v>
      </c>
      <c r="P50" s="53">
        <v>0.95</v>
      </c>
      <c r="Q50" s="41">
        <v>25</v>
      </c>
      <c r="R50" s="41">
        <v>100</v>
      </c>
      <c r="S50" s="41">
        <v>16386</v>
      </c>
      <c r="U50" s="38" t="s">
        <v>5629</v>
      </c>
      <c r="V50" s="38" t="s">
        <v>5630</v>
      </c>
      <c r="W50" s="38" t="str">
        <f>HYPERLINK("https://www.ncbi.nlm.nih.gov/nucleotide/MW732164.1?report=genbank&amp;log$=nucltop&amp;blast_rank=45&amp;RID=K3S1J64G014","MW732164.1")</f>
        <v>MW732164.1</v>
      </c>
      <c r="X50" s="38">
        <v>48.1</v>
      </c>
      <c r="Y50" s="38">
        <v>48.1</v>
      </c>
      <c r="Z50" s="55">
        <v>1</v>
      </c>
      <c r="AA50" s="38">
        <v>1.9E-2</v>
      </c>
      <c r="AB50" s="38">
        <v>96.43</v>
      </c>
      <c r="AC50" s="38">
        <v>16550</v>
      </c>
    </row>
    <row r="51" spans="1:29" x14ac:dyDescent="0.15">
      <c r="A51" s="41" t="s">
        <v>5631</v>
      </c>
      <c r="B51" s="41" t="s">
        <v>5550</v>
      </c>
      <c r="C51" s="41" t="s">
        <v>6377</v>
      </c>
      <c r="D51" s="41">
        <v>42.1</v>
      </c>
      <c r="E51" s="41">
        <v>42.1</v>
      </c>
      <c r="F51" s="53">
        <v>0.95</v>
      </c>
      <c r="G51" s="41">
        <v>0.4</v>
      </c>
      <c r="H51" s="41">
        <v>100</v>
      </c>
      <c r="I51" s="41">
        <v>17728</v>
      </c>
      <c r="K51" s="41" t="s">
        <v>5632</v>
      </c>
      <c r="L51" s="41" t="s">
        <v>5574</v>
      </c>
      <c r="M51" s="41" t="str">
        <f>HYPERLINK("https://www.ncbi.nlm.nih.gov/nucleotide/OQ554288.1?report=genbank&amp;log$=nucltop&amp;blast_rank=46&amp;RID=K3RYFBUB014","OQ554288.1")</f>
        <v>OQ554288.1</v>
      </c>
      <c r="N51" s="41">
        <v>36.200000000000003</v>
      </c>
      <c r="O51" s="41">
        <v>36.200000000000003</v>
      </c>
      <c r="P51" s="53">
        <v>0.95</v>
      </c>
      <c r="Q51" s="41">
        <v>25</v>
      </c>
      <c r="R51" s="41">
        <v>100</v>
      </c>
      <c r="S51" s="41">
        <v>16386</v>
      </c>
      <c r="U51" s="54" t="s">
        <v>5551</v>
      </c>
      <c r="V51" s="54" t="s">
        <v>26</v>
      </c>
      <c r="W51" s="38" t="str">
        <f>HYPERLINK("https://www.ncbi.nlm.nih.gov/nucleotide/PX311150.1?report=genbank&amp;log$=nucltop&amp;blast_rank=46&amp;RID=K3S1J64G014","PX311150.1")</f>
        <v>PX311150.1</v>
      </c>
      <c r="X51" s="38">
        <v>48.1</v>
      </c>
      <c r="Y51" s="38">
        <v>48.1</v>
      </c>
      <c r="Z51" s="55">
        <v>1</v>
      </c>
      <c r="AA51" s="38">
        <v>1.9E-2</v>
      </c>
      <c r="AB51" s="38">
        <v>96.43</v>
      </c>
      <c r="AC51" s="38">
        <v>975</v>
      </c>
    </row>
    <row r="52" spans="1:29" x14ac:dyDescent="0.15">
      <c r="A52" s="41" t="s">
        <v>5633</v>
      </c>
      <c r="B52" s="41" t="s">
        <v>5634</v>
      </c>
      <c r="C52" s="41" t="s">
        <v>6378</v>
      </c>
      <c r="D52" s="41">
        <v>42.1</v>
      </c>
      <c r="E52" s="41">
        <v>42.1</v>
      </c>
      <c r="F52" s="53">
        <v>0.95</v>
      </c>
      <c r="G52" s="41">
        <v>0.4</v>
      </c>
      <c r="H52" s="41">
        <v>100</v>
      </c>
      <c r="I52" s="41">
        <v>17339</v>
      </c>
      <c r="K52" s="41" t="s">
        <v>5635</v>
      </c>
      <c r="L52" s="41" t="s">
        <v>5574</v>
      </c>
      <c r="M52" s="41" t="str">
        <f>HYPERLINK("https://www.ncbi.nlm.nih.gov/nucleotide/OQ554231.1?report=genbank&amp;log$=nucltop&amp;blast_rank=47&amp;RID=K3RYFBUB014","OQ554231.1")</f>
        <v>OQ554231.1</v>
      </c>
      <c r="N52" s="41">
        <v>36.200000000000003</v>
      </c>
      <c r="O52" s="41">
        <v>36.200000000000003</v>
      </c>
      <c r="P52" s="53">
        <v>0.95</v>
      </c>
      <c r="Q52" s="41">
        <v>25</v>
      </c>
      <c r="R52" s="41">
        <v>100</v>
      </c>
      <c r="S52" s="41">
        <v>16386</v>
      </c>
      <c r="U52" s="38" t="s">
        <v>5564</v>
      </c>
      <c r="V52" s="38" t="s">
        <v>5565</v>
      </c>
      <c r="W52" s="38" t="str">
        <f>HYPERLINK("https://www.ncbi.nlm.nih.gov/nucleotide/NC_036145.1?report=genbank&amp;log$=nucltop&amp;blast_rank=47&amp;RID=K3S1J64G014","NC_036145.1")</f>
        <v>NC_036145.1</v>
      </c>
      <c r="X52" s="38">
        <v>48.1</v>
      </c>
      <c r="Y52" s="38">
        <v>48.1</v>
      </c>
      <c r="Z52" s="55">
        <v>1</v>
      </c>
      <c r="AA52" s="38">
        <v>1.9E-2</v>
      </c>
      <c r="AB52" s="38">
        <v>96.43</v>
      </c>
      <c r="AC52" s="38">
        <v>16511</v>
      </c>
    </row>
    <row r="53" spans="1:29" x14ac:dyDescent="0.15">
      <c r="A53" s="41" t="s">
        <v>5636</v>
      </c>
      <c r="B53" s="41" t="s">
        <v>5637</v>
      </c>
      <c r="C53" s="41" t="s">
        <v>6379</v>
      </c>
      <c r="D53" s="41">
        <v>42.1</v>
      </c>
      <c r="E53" s="41">
        <v>42.1</v>
      </c>
      <c r="F53" s="53">
        <v>0.95</v>
      </c>
      <c r="G53" s="41">
        <v>0.4</v>
      </c>
      <c r="H53" s="41">
        <v>100</v>
      </c>
      <c r="I53" s="41">
        <v>17028</v>
      </c>
      <c r="K53" s="41" t="s">
        <v>5638</v>
      </c>
      <c r="L53" s="41" t="s">
        <v>5574</v>
      </c>
      <c r="M53" s="41" t="str">
        <f>HYPERLINK("https://www.ncbi.nlm.nih.gov/nucleotide/OQ554125.1?report=genbank&amp;log$=nucltop&amp;blast_rank=48&amp;RID=K3RYFBUB014","OQ554125.1")</f>
        <v>OQ554125.1</v>
      </c>
      <c r="N53" s="41">
        <v>36.200000000000003</v>
      </c>
      <c r="O53" s="41">
        <v>36.200000000000003</v>
      </c>
      <c r="P53" s="53">
        <v>0.95</v>
      </c>
      <c r="Q53" s="41">
        <v>25</v>
      </c>
      <c r="R53" s="41">
        <v>100</v>
      </c>
      <c r="S53" s="41">
        <v>16387</v>
      </c>
      <c r="U53" s="38" t="s">
        <v>5639</v>
      </c>
      <c r="V53" s="38" t="s">
        <v>5640</v>
      </c>
      <c r="W53" s="38" t="str">
        <f>HYPERLINK("https://www.ncbi.nlm.nih.gov/nucleotide/PP928743.1?report=genbank&amp;log$=nucltop&amp;blast_rank=48&amp;RID=K3S1J64G014","PP928743.1")</f>
        <v>PP928743.1</v>
      </c>
      <c r="X53" s="38">
        <v>48.1</v>
      </c>
      <c r="Y53" s="38">
        <v>48.1</v>
      </c>
      <c r="Z53" s="55">
        <v>1</v>
      </c>
      <c r="AA53" s="38">
        <v>1.9E-2</v>
      </c>
      <c r="AB53" s="38">
        <v>96.43</v>
      </c>
      <c r="AC53" s="38">
        <v>16517</v>
      </c>
    </row>
    <row r="54" spans="1:29" x14ac:dyDescent="0.15">
      <c r="A54" s="41" t="s">
        <v>5641</v>
      </c>
      <c r="B54" s="41" t="s">
        <v>5642</v>
      </c>
      <c r="C54" s="41" t="s">
        <v>6380</v>
      </c>
      <c r="D54" s="41">
        <v>40.1</v>
      </c>
      <c r="E54" s="41">
        <v>40.1</v>
      </c>
      <c r="F54" s="53">
        <v>0.91</v>
      </c>
      <c r="G54" s="41">
        <v>1.6</v>
      </c>
      <c r="H54" s="41">
        <v>100</v>
      </c>
      <c r="I54" s="41">
        <v>975</v>
      </c>
      <c r="K54" s="41" t="s">
        <v>5643</v>
      </c>
      <c r="L54" s="41" t="s">
        <v>5574</v>
      </c>
      <c r="M54" s="41" t="str">
        <f>HYPERLINK("https://www.ncbi.nlm.nih.gov/nucleotide/OQ554139.1?report=genbank&amp;log$=nucltop&amp;blast_rank=49&amp;RID=K3RYFBUB014","OQ554139.1")</f>
        <v>OQ554139.1</v>
      </c>
      <c r="N54" s="41">
        <v>36.200000000000003</v>
      </c>
      <c r="O54" s="41">
        <v>36.200000000000003</v>
      </c>
      <c r="P54" s="53">
        <v>0.95</v>
      </c>
      <c r="Q54" s="41">
        <v>25</v>
      </c>
      <c r="R54" s="41">
        <v>100</v>
      </c>
      <c r="S54" s="41">
        <v>16386</v>
      </c>
      <c r="U54" s="38" t="s">
        <v>5618</v>
      </c>
      <c r="V54" s="38" t="s">
        <v>5619</v>
      </c>
      <c r="W54" s="38" t="str">
        <f>HYPERLINK("https://www.ncbi.nlm.nih.gov/nucleotide/MW732167.1?report=genbank&amp;log$=nucltop&amp;blast_rank=49&amp;RID=K3S1J64G014","MW732167.1")</f>
        <v>MW732167.1</v>
      </c>
      <c r="X54" s="38">
        <v>48.1</v>
      </c>
      <c r="Y54" s="38">
        <v>48.1</v>
      </c>
      <c r="Z54" s="55">
        <v>1</v>
      </c>
      <c r="AA54" s="38">
        <v>1.9E-2</v>
      </c>
      <c r="AB54" s="38">
        <v>96.43</v>
      </c>
      <c r="AC54" s="38">
        <v>16512</v>
      </c>
    </row>
    <row r="55" spans="1:29" x14ac:dyDescent="0.15">
      <c r="A55" s="41" t="s">
        <v>5644</v>
      </c>
      <c r="B55" s="41" t="s">
        <v>5645</v>
      </c>
      <c r="C55" s="41" t="s">
        <v>6381</v>
      </c>
      <c r="D55" s="41">
        <v>38.200000000000003</v>
      </c>
      <c r="E55" s="41">
        <v>38.200000000000003</v>
      </c>
      <c r="F55" s="53">
        <v>0.86</v>
      </c>
      <c r="G55" s="41">
        <v>6.2</v>
      </c>
      <c r="H55" s="41">
        <v>100</v>
      </c>
      <c r="I55" s="41">
        <v>1808</v>
      </c>
      <c r="K55" s="41" t="s">
        <v>5646</v>
      </c>
      <c r="L55" s="41" t="s">
        <v>5574</v>
      </c>
      <c r="M55" s="41" t="str">
        <f>HYPERLINK("https://www.ncbi.nlm.nih.gov/nucleotide/MW316255.1?report=genbank&amp;log$=nucltop&amp;blast_rank=50&amp;RID=K3RYFBUB014","MW316255.1")</f>
        <v>MW316255.1</v>
      </c>
      <c r="N55" s="41">
        <v>36.200000000000003</v>
      </c>
      <c r="O55" s="41">
        <v>36.200000000000003</v>
      </c>
      <c r="P55" s="53">
        <v>0.95</v>
      </c>
      <c r="Q55" s="41">
        <v>25</v>
      </c>
      <c r="R55" s="41">
        <v>100</v>
      </c>
      <c r="S55" s="41">
        <v>16375</v>
      </c>
      <c r="U55" s="38" t="s">
        <v>5647</v>
      </c>
      <c r="V55" s="38" t="s">
        <v>5648</v>
      </c>
      <c r="W55" s="38" t="str">
        <f>HYPERLINK("https://www.ncbi.nlm.nih.gov/nucleotide/NC_024739.1?report=genbank&amp;log$=nucltop&amp;blast_rank=50&amp;RID=K3S1J64G014","NC_024739.1")</f>
        <v>NC_024739.1</v>
      </c>
      <c r="X55" s="38">
        <v>48.1</v>
      </c>
      <c r="Y55" s="38">
        <v>48.1</v>
      </c>
      <c r="Z55" s="55">
        <v>1</v>
      </c>
      <c r="AA55" s="38">
        <v>1.9E-2</v>
      </c>
      <c r="AB55" s="38">
        <v>96.43</v>
      </c>
      <c r="AC55" s="38">
        <v>16527</v>
      </c>
    </row>
    <row r="56" spans="1:29" x14ac:dyDescent="0.15">
      <c r="A56" s="41" t="s">
        <v>5649</v>
      </c>
      <c r="B56" s="41" t="s">
        <v>4968</v>
      </c>
      <c r="C56" s="41" t="s">
        <v>6382</v>
      </c>
      <c r="D56" s="41">
        <v>38.200000000000003</v>
      </c>
      <c r="E56" s="41">
        <v>38.200000000000003</v>
      </c>
      <c r="F56" s="53">
        <v>0.86</v>
      </c>
      <c r="G56" s="41">
        <v>6.2</v>
      </c>
      <c r="H56" s="41">
        <v>100</v>
      </c>
      <c r="I56" s="41">
        <v>3891</v>
      </c>
      <c r="K56" s="41" t="s">
        <v>5650</v>
      </c>
      <c r="L56" s="41" t="s">
        <v>5574</v>
      </c>
      <c r="M56" s="41" t="str">
        <f>HYPERLINK("https://www.ncbi.nlm.nih.gov/nucleotide/OQ554102.1?report=genbank&amp;log$=nucltop&amp;blast_rank=51&amp;RID=K3RYFBUB014","OQ554102.1")</f>
        <v>OQ554102.1</v>
      </c>
      <c r="N56" s="41">
        <v>36.200000000000003</v>
      </c>
      <c r="O56" s="41">
        <v>36.200000000000003</v>
      </c>
      <c r="P56" s="53">
        <v>0.95</v>
      </c>
      <c r="Q56" s="41">
        <v>25</v>
      </c>
      <c r="R56" s="41">
        <v>100</v>
      </c>
      <c r="S56" s="41">
        <v>16387</v>
      </c>
      <c r="U56" s="38" t="s">
        <v>5615</v>
      </c>
      <c r="V56" s="38" t="s">
        <v>5546</v>
      </c>
      <c r="W56" s="38" t="str">
        <f>HYPERLINK("https://www.ncbi.nlm.nih.gov/nucleotide/OL688775.1?report=genbank&amp;log$=nucltop&amp;blast_rank=51&amp;RID=K3S1J64G014","OL688775.1")</f>
        <v>OL688775.1</v>
      </c>
      <c r="X56" s="38">
        <v>48.1</v>
      </c>
      <c r="Y56" s="38">
        <v>48.1</v>
      </c>
      <c r="Z56" s="55">
        <v>1</v>
      </c>
      <c r="AA56" s="38">
        <v>1.9E-2</v>
      </c>
      <c r="AB56" s="38">
        <v>96.43</v>
      </c>
      <c r="AC56" s="38">
        <v>16526</v>
      </c>
    </row>
    <row r="57" spans="1:29" x14ac:dyDescent="0.15">
      <c r="A57" s="41" t="s">
        <v>5651</v>
      </c>
      <c r="B57" s="41" t="s">
        <v>5645</v>
      </c>
      <c r="C57" s="41" t="s">
        <v>6383</v>
      </c>
      <c r="D57" s="41">
        <v>38.200000000000003</v>
      </c>
      <c r="E57" s="41">
        <v>38.200000000000003</v>
      </c>
      <c r="F57" s="53">
        <v>0.86</v>
      </c>
      <c r="G57" s="41">
        <v>6.2</v>
      </c>
      <c r="H57" s="41">
        <v>100</v>
      </c>
      <c r="I57" s="41">
        <v>4889</v>
      </c>
      <c r="K57" s="41" t="s">
        <v>5652</v>
      </c>
      <c r="L57" s="41" t="s">
        <v>5574</v>
      </c>
      <c r="M57" s="41" t="str">
        <f>HYPERLINK("https://www.ncbi.nlm.nih.gov/nucleotide/OQ554188.1?report=genbank&amp;log$=nucltop&amp;blast_rank=52&amp;RID=K3RYFBUB014","OQ554188.1")</f>
        <v>OQ554188.1</v>
      </c>
      <c r="N57" s="41">
        <v>36.200000000000003</v>
      </c>
      <c r="O57" s="41">
        <v>36.200000000000003</v>
      </c>
      <c r="P57" s="53">
        <v>0.95</v>
      </c>
      <c r="Q57" s="41">
        <v>25</v>
      </c>
      <c r="R57" s="41">
        <v>100</v>
      </c>
      <c r="S57" s="41">
        <v>16387</v>
      </c>
      <c r="U57" s="38" t="s">
        <v>5653</v>
      </c>
      <c r="V57" s="38" t="s">
        <v>3093</v>
      </c>
      <c r="W57" s="38" t="str">
        <f>HYPERLINK("https://www.ncbi.nlm.nih.gov/nucleotide/PV742865.1?report=genbank&amp;log$=nucltop&amp;blast_rank=52&amp;RID=K3S1J64G014","PV742865.1")</f>
        <v>PV742865.1</v>
      </c>
      <c r="X57" s="38">
        <v>46.1</v>
      </c>
      <c r="Y57" s="38">
        <v>46.1</v>
      </c>
      <c r="Z57" s="55">
        <v>0.82</v>
      </c>
      <c r="AA57" s="38">
        <v>7.6999999999999999E-2</v>
      </c>
      <c r="AB57" s="38">
        <v>100</v>
      </c>
      <c r="AC57" s="38">
        <v>16823</v>
      </c>
    </row>
    <row r="58" spans="1:29" x14ac:dyDescent="0.15">
      <c r="A58" s="41" t="s">
        <v>5654</v>
      </c>
      <c r="B58" s="41" t="s">
        <v>5655</v>
      </c>
      <c r="C58" s="41" t="s">
        <v>6384</v>
      </c>
      <c r="D58" s="41">
        <v>38.200000000000003</v>
      </c>
      <c r="E58" s="41">
        <v>38.200000000000003</v>
      </c>
      <c r="F58" s="53">
        <v>0.86</v>
      </c>
      <c r="G58" s="41">
        <v>6.2</v>
      </c>
      <c r="H58" s="41">
        <v>100</v>
      </c>
      <c r="I58" s="41">
        <v>2285</v>
      </c>
      <c r="K58" s="41" t="s">
        <v>5656</v>
      </c>
      <c r="L58" s="41" t="s">
        <v>5574</v>
      </c>
      <c r="M58" s="41" t="str">
        <f>HYPERLINK("https://www.ncbi.nlm.nih.gov/nucleotide/OQ554294.1?report=genbank&amp;log$=nucltop&amp;blast_rank=53&amp;RID=K3RYFBUB014","OQ554294.1")</f>
        <v>OQ554294.1</v>
      </c>
      <c r="N58" s="41">
        <v>36.200000000000003</v>
      </c>
      <c r="O58" s="41">
        <v>36.200000000000003</v>
      </c>
      <c r="P58" s="53">
        <v>0.95</v>
      </c>
      <c r="Q58" s="41">
        <v>25</v>
      </c>
      <c r="R58" s="41">
        <v>100</v>
      </c>
      <c r="S58" s="41">
        <v>16386</v>
      </c>
      <c r="U58" s="38" t="s">
        <v>5657</v>
      </c>
      <c r="V58" s="38" t="s">
        <v>5658</v>
      </c>
      <c r="W58" s="38" t="str">
        <f>HYPERLINK("https://www.ncbi.nlm.nih.gov/nucleotide/PX311201.1?report=genbank&amp;log$=nucltop&amp;blast_rank=53&amp;RID=K3S1J64G014","PX311201.1")</f>
        <v>PX311201.1</v>
      </c>
      <c r="X58" s="38">
        <v>44.1</v>
      </c>
      <c r="Y58" s="38">
        <v>44.1</v>
      </c>
      <c r="Z58" s="55">
        <v>0.93</v>
      </c>
      <c r="AA58" s="38">
        <v>0.3</v>
      </c>
      <c r="AB58" s="38">
        <v>96.15</v>
      </c>
      <c r="AC58" s="38">
        <v>975</v>
      </c>
    </row>
    <row r="59" spans="1:29" x14ac:dyDescent="0.15">
      <c r="A59" s="41" t="s">
        <v>5659</v>
      </c>
      <c r="B59" s="41" t="s">
        <v>5660</v>
      </c>
      <c r="C59" s="41" t="s">
        <v>6385</v>
      </c>
      <c r="D59" s="41">
        <v>38.200000000000003</v>
      </c>
      <c r="E59" s="41">
        <v>38.200000000000003</v>
      </c>
      <c r="F59" s="53">
        <v>0.86</v>
      </c>
      <c r="G59" s="41">
        <v>6.2</v>
      </c>
      <c r="H59" s="41">
        <v>100</v>
      </c>
      <c r="I59" s="41">
        <v>5812322</v>
      </c>
      <c r="K59" s="41" t="s">
        <v>5661</v>
      </c>
      <c r="L59" s="41" t="s">
        <v>5574</v>
      </c>
      <c r="M59" s="41" t="str">
        <f>HYPERLINK("https://www.ncbi.nlm.nih.gov/nucleotide/OQ553998.1?report=genbank&amp;log$=nucltop&amp;blast_rank=54&amp;RID=K3RYFBUB014","OQ553998.1")</f>
        <v>OQ553998.1</v>
      </c>
      <c r="N59" s="41">
        <v>36.200000000000003</v>
      </c>
      <c r="O59" s="41">
        <v>36.200000000000003</v>
      </c>
      <c r="P59" s="53">
        <v>0.95</v>
      </c>
      <c r="Q59" s="41">
        <v>25</v>
      </c>
      <c r="R59" s="41">
        <v>100</v>
      </c>
      <c r="S59" s="41">
        <v>16387</v>
      </c>
      <c r="U59" s="38" t="s">
        <v>5662</v>
      </c>
      <c r="V59" s="38" t="s">
        <v>2098</v>
      </c>
      <c r="W59" s="38" t="str">
        <f>HYPERLINK("https://www.ncbi.nlm.nih.gov/nucleotide/NC_071217.1?report=genbank&amp;log$=nucltop&amp;blast_rank=54&amp;RID=K3S1J64G014","NC_071217.1")</f>
        <v>NC_071217.1</v>
      </c>
      <c r="X59" s="38">
        <v>44.1</v>
      </c>
      <c r="Y59" s="38">
        <v>44.1</v>
      </c>
      <c r="Z59" s="55">
        <v>0.93</v>
      </c>
      <c r="AA59" s="38">
        <v>0.3</v>
      </c>
      <c r="AB59" s="38">
        <v>96.15</v>
      </c>
      <c r="AC59" s="38">
        <v>16672</v>
      </c>
    </row>
    <row r="60" spans="1:29" x14ac:dyDescent="0.15">
      <c r="A60" s="41" t="s">
        <v>5663</v>
      </c>
      <c r="B60" s="41" t="s">
        <v>5664</v>
      </c>
      <c r="C60" s="41" t="s">
        <v>6386</v>
      </c>
      <c r="D60" s="41">
        <v>38.200000000000003</v>
      </c>
      <c r="E60" s="41">
        <v>38.200000000000003</v>
      </c>
      <c r="F60" s="53">
        <v>0.86</v>
      </c>
      <c r="G60" s="41">
        <v>6.2</v>
      </c>
      <c r="H60" s="41">
        <v>100</v>
      </c>
      <c r="I60" s="41">
        <v>1893</v>
      </c>
      <c r="K60" s="41" t="s">
        <v>5665</v>
      </c>
      <c r="L60" s="41" t="s">
        <v>5666</v>
      </c>
      <c r="M60" s="41" t="str">
        <f>HYPERLINK("https://www.ncbi.nlm.nih.gov/nucleotide/CP086120.1?report=genbank&amp;log$=nucltop&amp;blast_rank=55&amp;RID=K3RYFBUB014","CP086120.1")</f>
        <v>CP086120.1</v>
      </c>
      <c r="N60" s="41">
        <v>36.200000000000003</v>
      </c>
      <c r="O60" s="41">
        <v>36.200000000000003</v>
      </c>
      <c r="P60" s="53">
        <v>0.95</v>
      </c>
      <c r="Q60" s="41">
        <v>25</v>
      </c>
      <c r="R60" s="41">
        <v>100</v>
      </c>
      <c r="S60" s="41">
        <v>5691859</v>
      </c>
      <c r="U60" s="38" t="s">
        <v>5667</v>
      </c>
      <c r="V60" s="38" t="s">
        <v>5668</v>
      </c>
      <c r="W60" s="38" t="str">
        <f>HYPERLINK("https://www.ncbi.nlm.nih.gov/nucleotide/MT527180.1?report=genbank&amp;log$=nucltop&amp;blast_rank=55&amp;RID=K3S1J64G014","MT527180.1")</f>
        <v>MT527180.1</v>
      </c>
      <c r="X60" s="38">
        <v>44.1</v>
      </c>
      <c r="Y60" s="38">
        <v>44.1</v>
      </c>
      <c r="Z60" s="55">
        <v>0.93</v>
      </c>
      <c r="AA60" s="38">
        <v>0.3</v>
      </c>
      <c r="AB60" s="38">
        <v>96.15</v>
      </c>
      <c r="AC60" s="38">
        <v>16523</v>
      </c>
    </row>
    <row r="61" spans="1:29" x14ac:dyDescent="0.15">
      <c r="A61" s="41" t="s">
        <v>5669</v>
      </c>
      <c r="B61" s="41" t="s">
        <v>5655</v>
      </c>
      <c r="C61" s="41" t="s">
        <v>6387</v>
      </c>
      <c r="D61" s="41">
        <v>38.200000000000003</v>
      </c>
      <c r="E61" s="41">
        <v>38.200000000000003</v>
      </c>
      <c r="F61" s="53">
        <v>0.86</v>
      </c>
      <c r="G61" s="41">
        <v>6.2</v>
      </c>
      <c r="H61" s="41">
        <v>100</v>
      </c>
      <c r="I61" s="41">
        <v>2212</v>
      </c>
      <c r="K61" s="41" t="s">
        <v>5670</v>
      </c>
      <c r="L61" s="41" t="s">
        <v>5574</v>
      </c>
      <c r="M61" s="41" t="str">
        <f>HYPERLINK("https://www.ncbi.nlm.nih.gov/nucleotide/MW316207.1?report=genbank&amp;log$=nucltop&amp;blast_rank=56&amp;RID=K3RYFBUB014","MW316207.1")</f>
        <v>MW316207.1</v>
      </c>
      <c r="N61" s="41">
        <v>36.200000000000003</v>
      </c>
      <c r="O61" s="41">
        <v>36.200000000000003</v>
      </c>
      <c r="P61" s="53">
        <v>0.95</v>
      </c>
      <c r="Q61" s="41">
        <v>25</v>
      </c>
      <c r="R61" s="41">
        <v>100</v>
      </c>
      <c r="S61" s="41">
        <v>16382</v>
      </c>
      <c r="U61" s="38" t="s">
        <v>5671</v>
      </c>
      <c r="V61" s="38" t="s">
        <v>2096</v>
      </c>
      <c r="W61" s="38" t="str">
        <f>HYPERLINK("https://www.ncbi.nlm.nih.gov/nucleotide/LC493907.1?report=genbank&amp;log$=nucltop&amp;blast_rank=56&amp;RID=K3S1J64G014","LC493907.1")</f>
        <v>LC493907.1</v>
      </c>
      <c r="X61" s="38">
        <v>44.1</v>
      </c>
      <c r="Y61" s="38">
        <v>44.1</v>
      </c>
      <c r="Z61" s="55">
        <v>0.93</v>
      </c>
      <c r="AA61" s="38">
        <v>0.3</v>
      </c>
      <c r="AB61" s="38">
        <v>96.15</v>
      </c>
      <c r="AC61" s="38">
        <v>12273</v>
      </c>
    </row>
    <row r="62" spans="1:29" x14ac:dyDescent="0.15">
      <c r="A62" s="41" t="s">
        <v>5672</v>
      </c>
      <c r="B62" s="41" t="s">
        <v>5673</v>
      </c>
      <c r="C62" s="41" t="s">
        <v>6388</v>
      </c>
      <c r="D62" s="41">
        <v>36.200000000000003</v>
      </c>
      <c r="E62" s="41">
        <v>36.200000000000003</v>
      </c>
      <c r="F62" s="53">
        <v>0.82</v>
      </c>
      <c r="G62" s="41">
        <v>25</v>
      </c>
      <c r="H62" s="41">
        <v>100</v>
      </c>
      <c r="I62" s="41">
        <v>16474</v>
      </c>
      <c r="K62" s="41" t="s">
        <v>5674</v>
      </c>
      <c r="L62" s="41" t="s">
        <v>5675</v>
      </c>
      <c r="M62" s="41" t="str">
        <f>HYPERLINK("https://www.ncbi.nlm.nih.gov/nucleotide/NC_065679.1?report=genbank&amp;log$=nucltop&amp;blast_rank=57&amp;RID=K3RYFBUB014","NC_065679.1")</f>
        <v>NC_065679.1</v>
      </c>
      <c r="N62" s="41">
        <v>36.200000000000003</v>
      </c>
      <c r="O62" s="41">
        <v>36.200000000000003</v>
      </c>
      <c r="P62" s="53">
        <v>0.95</v>
      </c>
      <c r="Q62" s="41">
        <v>25</v>
      </c>
      <c r="R62" s="41">
        <v>100</v>
      </c>
      <c r="S62" s="41">
        <v>16690</v>
      </c>
      <c r="U62" s="38" t="s">
        <v>5662</v>
      </c>
      <c r="V62" s="38" t="s">
        <v>2098</v>
      </c>
      <c r="W62" s="38" t="str">
        <f>HYPERLINK("https://www.ncbi.nlm.nih.gov/nucleotide/OK328172.1?report=genbank&amp;log$=nucltop&amp;blast_rank=57&amp;RID=K3S1J64G014","OK328172.1")</f>
        <v>OK328172.1</v>
      </c>
      <c r="X62" s="38">
        <v>44.1</v>
      </c>
      <c r="Y62" s="38">
        <v>44.1</v>
      </c>
      <c r="Z62" s="55">
        <v>0.93</v>
      </c>
      <c r="AA62" s="38">
        <v>0.3</v>
      </c>
      <c r="AB62" s="38">
        <v>96.15</v>
      </c>
      <c r="AC62" s="38">
        <v>16520</v>
      </c>
    </row>
    <row r="63" spans="1:29" x14ac:dyDescent="0.15">
      <c r="A63" s="52" t="s">
        <v>3550</v>
      </c>
      <c r="B63" s="52" t="s">
        <v>26</v>
      </c>
      <c r="C63" s="41" t="s">
        <v>6389</v>
      </c>
      <c r="D63" s="41">
        <v>36.200000000000003</v>
      </c>
      <c r="E63" s="41">
        <v>36.200000000000003</v>
      </c>
      <c r="F63" s="53">
        <v>0.82</v>
      </c>
      <c r="G63" s="41">
        <v>25</v>
      </c>
      <c r="H63" s="41">
        <v>100</v>
      </c>
      <c r="I63" s="41">
        <v>16627</v>
      </c>
      <c r="K63" s="41" t="s">
        <v>5676</v>
      </c>
      <c r="L63" s="41" t="s">
        <v>5574</v>
      </c>
      <c r="M63" s="41" t="str">
        <f>HYPERLINK("https://www.ncbi.nlm.nih.gov/nucleotide/MW316265.1?report=genbank&amp;log$=nucltop&amp;blast_rank=58&amp;RID=K3RYFBUB014","MW316265.1")</f>
        <v>MW316265.1</v>
      </c>
      <c r="N63" s="41">
        <v>36.200000000000003</v>
      </c>
      <c r="O63" s="41">
        <v>36.200000000000003</v>
      </c>
      <c r="P63" s="53">
        <v>0.95</v>
      </c>
      <c r="Q63" s="41">
        <v>25</v>
      </c>
      <c r="R63" s="41">
        <v>100</v>
      </c>
      <c r="S63" s="41">
        <v>16380</v>
      </c>
      <c r="U63" s="38" t="s">
        <v>5677</v>
      </c>
      <c r="V63" s="38" t="s">
        <v>2094</v>
      </c>
      <c r="W63" s="38" t="str">
        <f>HYPERLINK("https://www.ncbi.nlm.nih.gov/nucleotide/NC_082817.1?report=genbank&amp;log$=nucltop&amp;blast_rank=58&amp;RID=K3S1J64G014","NC_082817.1")</f>
        <v>NC_082817.1</v>
      </c>
      <c r="X63" s="38">
        <v>44.1</v>
      </c>
      <c r="Y63" s="38">
        <v>44.1</v>
      </c>
      <c r="Z63" s="55">
        <v>0.93</v>
      </c>
      <c r="AA63" s="38">
        <v>0.3</v>
      </c>
      <c r="AB63" s="38">
        <v>96.15</v>
      </c>
      <c r="AC63" s="38">
        <v>16808</v>
      </c>
    </row>
    <row r="64" spans="1:29" x14ac:dyDescent="0.15">
      <c r="A64" s="41" t="s">
        <v>5678</v>
      </c>
      <c r="B64" s="41" t="s">
        <v>4032</v>
      </c>
      <c r="C64" s="41" t="s">
        <v>6390</v>
      </c>
      <c r="D64" s="41">
        <v>36.200000000000003</v>
      </c>
      <c r="E64" s="41">
        <v>36.200000000000003</v>
      </c>
      <c r="F64" s="53">
        <v>0.82</v>
      </c>
      <c r="G64" s="41">
        <v>25</v>
      </c>
      <c r="H64" s="41">
        <v>100</v>
      </c>
      <c r="I64" s="41">
        <v>16400</v>
      </c>
      <c r="K64" s="41" t="s">
        <v>5679</v>
      </c>
      <c r="L64" s="41" t="s">
        <v>5574</v>
      </c>
      <c r="M64" s="41" t="str">
        <f>HYPERLINK("https://www.ncbi.nlm.nih.gov/nucleotide/MW316181.1?report=genbank&amp;log$=nucltop&amp;blast_rank=59&amp;RID=K3RYFBUB014","MW316181.1")</f>
        <v>MW316181.1</v>
      </c>
      <c r="N64" s="41">
        <v>36.200000000000003</v>
      </c>
      <c r="O64" s="41">
        <v>36.200000000000003</v>
      </c>
      <c r="P64" s="53">
        <v>0.95</v>
      </c>
      <c r="Q64" s="41">
        <v>25</v>
      </c>
      <c r="R64" s="41">
        <v>100</v>
      </c>
      <c r="S64" s="41">
        <v>16385</v>
      </c>
      <c r="U64" s="38" t="s">
        <v>5680</v>
      </c>
      <c r="V64" s="38" t="s">
        <v>1988</v>
      </c>
      <c r="W64" s="38" t="str">
        <f>HYPERLINK("https://www.ncbi.nlm.nih.gov/nucleotide/NC_087991.1?report=genbank&amp;log$=nucltop&amp;blast_rank=59&amp;RID=K3S1J64G014","NC_087991.1")</f>
        <v>NC_087991.1</v>
      </c>
      <c r="X64" s="38">
        <v>44.1</v>
      </c>
      <c r="Y64" s="38">
        <v>44.1</v>
      </c>
      <c r="Z64" s="55">
        <v>0.79</v>
      </c>
      <c r="AA64" s="38">
        <v>0.3</v>
      </c>
      <c r="AB64" s="38">
        <v>100</v>
      </c>
      <c r="AC64" s="38">
        <v>16956</v>
      </c>
    </row>
    <row r="65" spans="1:29" x14ac:dyDescent="0.15">
      <c r="A65" s="41" t="s">
        <v>5681</v>
      </c>
      <c r="B65" s="41" t="s">
        <v>5682</v>
      </c>
      <c r="C65" s="41" t="s">
        <v>6391</v>
      </c>
      <c r="D65" s="41">
        <v>36.200000000000003</v>
      </c>
      <c r="E65" s="41">
        <v>36.200000000000003</v>
      </c>
      <c r="F65" s="53">
        <v>0.82</v>
      </c>
      <c r="G65" s="41">
        <v>25</v>
      </c>
      <c r="H65" s="41">
        <v>100</v>
      </c>
      <c r="I65" s="41">
        <v>10497</v>
      </c>
      <c r="K65" s="41" t="s">
        <v>5683</v>
      </c>
      <c r="L65" s="41" t="s">
        <v>5574</v>
      </c>
      <c r="M65" s="41" t="str">
        <f>HYPERLINK("https://www.ncbi.nlm.nih.gov/nucleotide/OQ554230.1?report=genbank&amp;log$=nucltop&amp;blast_rank=60&amp;RID=K3RYFBUB014","OQ554230.1")</f>
        <v>OQ554230.1</v>
      </c>
      <c r="N65" s="41">
        <v>36.200000000000003</v>
      </c>
      <c r="O65" s="41">
        <v>36.200000000000003</v>
      </c>
      <c r="P65" s="53">
        <v>0.95</v>
      </c>
      <c r="Q65" s="41">
        <v>25</v>
      </c>
      <c r="R65" s="41">
        <v>100</v>
      </c>
      <c r="S65" s="41">
        <v>16386</v>
      </c>
      <c r="U65" s="38" t="s">
        <v>5627</v>
      </c>
      <c r="V65" s="38" t="s">
        <v>2092</v>
      </c>
      <c r="W65" s="38" t="str">
        <f>HYPERLINK("https://www.ncbi.nlm.nih.gov/nucleotide/NC_082794.1?report=genbank&amp;log$=nucltop&amp;blast_rank=60&amp;RID=K3S1J64G014","NC_082794.1")</f>
        <v>NC_082794.1</v>
      </c>
      <c r="X65" s="38">
        <v>44.1</v>
      </c>
      <c r="Y65" s="38">
        <v>44.1</v>
      </c>
      <c r="Z65" s="55">
        <v>0.93</v>
      </c>
      <c r="AA65" s="38">
        <v>0.3</v>
      </c>
      <c r="AB65" s="38">
        <v>96.15</v>
      </c>
      <c r="AC65" s="38">
        <v>16861</v>
      </c>
    </row>
    <row r="66" spans="1:29" x14ac:dyDescent="0.15">
      <c r="A66" s="41" t="s">
        <v>5684</v>
      </c>
      <c r="B66" s="41" t="s">
        <v>5685</v>
      </c>
      <c r="C66" s="41" t="s">
        <v>6392</v>
      </c>
      <c r="D66" s="41">
        <v>36.200000000000003</v>
      </c>
      <c r="E66" s="41">
        <v>36.200000000000003</v>
      </c>
      <c r="F66" s="53">
        <v>0.82</v>
      </c>
      <c r="G66" s="41">
        <v>25</v>
      </c>
      <c r="H66" s="41">
        <v>100</v>
      </c>
      <c r="I66" s="41">
        <v>1641</v>
      </c>
      <c r="K66" s="41" t="s">
        <v>5686</v>
      </c>
      <c r="L66" s="41" t="s">
        <v>5574</v>
      </c>
      <c r="M66" s="41" t="str">
        <f>HYPERLINK("https://www.ncbi.nlm.nih.gov/nucleotide/OQ554244.1?report=genbank&amp;log$=nucltop&amp;blast_rank=61&amp;RID=K3RYFBUB014","OQ554244.1")</f>
        <v>OQ554244.1</v>
      </c>
      <c r="N66" s="41">
        <v>36.200000000000003</v>
      </c>
      <c r="O66" s="41">
        <v>36.200000000000003</v>
      </c>
      <c r="P66" s="53">
        <v>0.95</v>
      </c>
      <c r="Q66" s="41">
        <v>25</v>
      </c>
      <c r="R66" s="41">
        <v>100</v>
      </c>
      <c r="S66" s="41">
        <v>16386</v>
      </c>
      <c r="U66" s="38" t="s">
        <v>5687</v>
      </c>
      <c r="V66" s="38" t="s">
        <v>2090</v>
      </c>
      <c r="W66" s="38" t="str">
        <f>HYPERLINK("https://www.ncbi.nlm.nih.gov/nucleotide/LC093396.1?report=genbank&amp;log$=nucltop&amp;blast_rank=61&amp;RID=K3S1J64G014","LC093396.1")</f>
        <v>LC093396.1</v>
      </c>
      <c r="X66" s="38">
        <v>44.1</v>
      </c>
      <c r="Y66" s="38">
        <v>44.1</v>
      </c>
      <c r="Z66" s="55">
        <v>0.93</v>
      </c>
      <c r="AA66" s="38">
        <v>0.3</v>
      </c>
      <c r="AB66" s="38">
        <v>96.15</v>
      </c>
      <c r="AC66" s="38">
        <v>16486</v>
      </c>
    </row>
    <row r="67" spans="1:29" x14ac:dyDescent="0.15">
      <c r="A67" s="41" t="s">
        <v>5688</v>
      </c>
      <c r="B67" s="41" t="s">
        <v>5555</v>
      </c>
      <c r="C67" s="41" t="s">
        <v>6393</v>
      </c>
      <c r="D67" s="41">
        <v>36.200000000000003</v>
      </c>
      <c r="E67" s="41">
        <v>36.200000000000003</v>
      </c>
      <c r="F67" s="53">
        <v>0.82</v>
      </c>
      <c r="G67" s="41">
        <v>25</v>
      </c>
      <c r="H67" s="41">
        <v>100</v>
      </c>
      <c r="I67" s="41">
        <v>16779</v>
      </c>
      <c r="K67" s="41" t="s">
        <v>5689</v>
      </c>
      <c r="L67" s="41" t="s">
        <v>5574</v>
      </c>
      <c r="M67" s="41" t="str">
        <f>HYPERLINK("https://www.ncbi.nlm.nih.gov/nucleotide/OQ554089.1?report=genbank&amp;log$=nucltop&amp;blast_rank=62&amp;RID=K3RYFBUB014","OQ554089.1")</f>
        <v>OQ554089.1</v>
      </c>
      <c r="N67" s="41">
        <v>36.200000000000003</v>
      </c>
      <c r="O67" s="41">
        <v>36.200000000000003</v>
      </c>
      <c r="P67" s="53">
        <v>0.95</v>
      </c>
      <c r="Q67" s="41">
        <v>25</v>
      </c>
      <c r="R67" s="41">
        <v>100</v>
      </c>
      <c r="S67" s="41">
        <v>16387</v>
      </c>
      <c r="U67" s="38" t="s">
        <v>5690</v>
      </c>
      <c r="V67" s="38" t="s">
        <v>5658</v>
      </c>
      <c r="W67" s="38" t="str">
        <f>HYPERLINK("https://www.ncbi.nlm.nih.gov/nucleotide/PX311206.1?report=genbank&amp;log$=nucltop&amp;blast_rank=62&amp;RID=K3S1J64G014","PX311206.1")</f>
        <v>PX311206.1</v>
      </c>
      <c r="X67" s="38">
        <v>44.1</v>
      </c>
      <c r="Y67" s="38">
        <v>44.1</v>
      </c>
      <c r="Z67" s="55">
        <v>0.93</v>
      </c>
      <c r="AA67" s="38">
        <v>0.3</v>
      </c>
      <c r="AB67" s="38">
        <v>96.15</v>
      </c>
      <c r="AC67" s="38">
        <v>975</v>
      </c>
    </row>
    <row r="68" spans="1:29" x14ac:dyDescent="0.15">
      <c r="A68" s="41" t="s">
        <v>5691</v>
      </c>
      <c r="B68" s="41" t="s">
        <v>5692</v>
      </c>
      <c r="C68" s="41" t="s">
        <v>6394</v>
      </c>
      <c r="D68" s="41">
        <v>36.200000000000003</v>
      </c>
      <c r="E68" s="41">
        <v>36.200000000000003</v>
      </c>
      <c r="F68" s="53">
        <v>0.82</v>
      </c>
      <c r="G68" s="41">
        <v>25</v>
      </c>
      <c r="H68" s="41">
        <v>100</v>
      </c>
      <c r="I68" s="41">
        <v>16715</v>
      </c>
      <c r="K68" s="41" t="s">
        <v>5693</v>
      </c>
      <c r="L68" s="41" t="s">
        <v>5574</v>
      </c>
      <c r="M68" s="41" t="str">
        <f>HYPERLINK("https://www.ncbi.nlm.nih.gov/nucleotide/MW316270.1?report=genbank&amp;log$=nucltop&amp;blast_rank=63&amp;RID=K3RYFBUB014","MW316270.1")</f>
        <v>MW316270.1</v>
      </c>
      <c r="N68" s="41">
        <v>36.200000000000003</v>
      </c>
      <c r="O68" s="41">
        <v>36.200000000000003</v>
      </c>
      <c r="P68" s="53">
        <v>0.95</v>
      </c>
      <c r="Q68" s="41">
        <v>25</v>
      </c>
      <c r="R68" s="41">
        <v>100</v>
      </c>
      <c r="S68" s="41">
        <v>16385</v>
      </c>
      <c r="U68" s="38" t="s">
        <v>5694</v>
      </c>
      <c r="V68" s="38" t="s">
        <v>5695</v>
      </c>
      <c r="W68" s="38" t="str">
        <f>HYPERLINK("https://www.ncbi.nlm.nih.gov/nucleotide/MT527182.1?report=genbank&amp;log$=nucltop&amp;blast_rank=63&amp;RID=K3S1J64G014","MT527182.1")</f>
        <v>MT527182.1</v>
      </c>
      <c r="X68" s="38">
        <v>44.1</v>
      </c>
      <c r="Y68" s="38">
        <v>44.1</v>
      </c>
      <c r="Z68" s="55">
        <v>0.93</v>
      </c>
      <c r="AA68" s="38">
        <v>0.3</v>
      </c>
      <c r="AB68" s="38">
        <v>96.15</v>
      </c>
      <c r="AC68" s="38">
        <v>16535</v>
      </c>
    </row>
    <row r="69" spans="1:29" x14ac:dyDescent="0.15">
      <c r="A69" s="41" t="s">
        <v>5696</v>
      </c>
      <c r="B69" s="41" t="s">
        <v>3701</v>
      </c>
      <c r="C69" s="41" t="s">
        <v>6395</v>
      </c>
      <c r="D69" s="41">
        <v>36.200000000000003</v>
      </c>
      <c r="E69" s="41">
        <v>102</v>
      </c>
      <c r="F69" s="53">
        <v>0.86</v>
      </c>
      <c r="G69" s="41">
        <v>25</v>
      </c>
      <c r="H69" s="41">
        <v>100</v>
      </c>
      <c r="I69" s="41">
        <v>51422372</v>
      </c>
      <c r="K69" s="41" t="s">
        <v>5697</v>
      </c>
      <c r="L69" s="41" t="s">
        <v>5574</v>
      </c>
      <c r="M69" s="41" t="str">
        <f>HYPERLINK("https://www.ncbi.nlm.nih.gov/nucleotide/OQ554237.1?report=genbank&amp;log$=nucltop&amp;blast_rank=64&amp;RID=K3RYFBUB014","OQ554237.1")</f>
        <v>OQ554237.1</v>
      </c>
      <c r="N69" s="41">
        <v>36.200000000000003</v>
      </c>
      <c r="O69" s="41">
        <v>36.200000000000003</v>
      </c>
      <c r="P69" s="53">
        <v>0.95</v>
      </c>
      <c r="Q69" s="41">
        <v>25</v>
      </c>
      <c r="R69" s="41">
        <v>100</v>
      </c>
      <c r="S69" s="41">
        <v>16386</v>
      </c>
      <c r="U69" s="38" t="s">
        <v>5698</v>
      </c>
      <c r="V69" s="38" t="s">
        <v>5658</v>
      </c>
      <c r="W69" s="38" t="str">
        <f>HYPERLINK("https://www.ncbi.nlm.nih.gov/nucleotide/PX311212.1?report=genbank&amp;log$=nucltop&amp;blast_rank=64&amp;RID=K3S1J64G014","PX311212.1")</f>
        <v>PX311212.1</v>
      </c>
      <c r="X69" s="38">
        <v>44.1</v>
      </c>
      <c r="Y69" s="38">
        <v>44.1</v>
      </c>
      <c r="Z69" s="55">
        <v>0.93</v>
      </c>
      <c r="AA69" s="38">
        <v>0.3</v>
      </c>
      <c r="AB69" s="38">
        <v>96.15</v>
      </c>
      <c r="AC69" s="38">
        <v>975</v>
      </c>
    </row>
    <row r="70" spans="1:29" x14ac:dyDescent="0.15">
      <c r="A70" s="41" t="s">
        <v>3599</v>
      </c>
      <c r="B70" s="41" t="s">
        <v>3600</v>
      </c>
      <c r="C70" s="41" t="s">
        <v>6396</v>
      </c>
      <c r="D70" s="41">
        <v>36.200000000000003</v>
      </c>
      <c r="E70" s="41">
        <v>36.200000000000003</v>
      </c>
      <c r="F70" s="53">
        <v>0.82</v>
      </c>
      <c r="G70" s="41">
        <v>25</v>
      </c>
      <c r="H70" s="41">
        <v>100</v>
      </c>
      <c r="I70" s="41">
        <v>81643</v>
      </c>
      <c r="K70" s="41" t="s">
        <v>5699</v>
      </c>
      <c r="L70" s="41" t="s">
        <v>5574</v>
      </c>
      <c r="M70" s="41" t="str">
        <f>HYPERLINK("https://www.ncbi.nlm.nih.gov/nucleotide/OQ554132.1?report=genbank&amp;log$=nucltop&amp;blast_rank=65&amp;RID=K3RYFBUB014","OQ554132.1")</f>
        <v>OQ554132.1</v>
      </c>
      <c r="N70" s="41">
        <v>36.200000000000003</v>
      </c>
      <c r="O70" s="41">
        <v>36.200000000000003</v>
      </c>
      <c r="P70" s="53">
        <v>0.95</v>
      </c>
      <c r="Q70" s="41">
        <v>25</v>
      </c>
      <c r="R70" s="41">
        <v>100</v>
      </c>
      <c r="S70" s="41">
        <v>16387</v>
      </c>
      <c r="U70" s="38" t="s">
        <v>3530</v>
      </c>
      <c r="V70" s="38" t="s">
        <v>50</v>
      </c>
      <c r="W70" s="38" t="str">
        <f>HYPERLINK("https://www.ncbi.nlm.nih.gov/nucleotide/NC_026110.1?report=genbank&amp;log$=nucltop&amp;blast_rank=65&amp;RID=K3S1J64G014","NC_026110.1")</f>
        <v>NC_026110.1</v>
      </c>
      <c r="X70" s="38">
        <v>42.1</v>
      </c>
      <c r="Y70" s="38">
        <v>42.1</v>
      </c>
      <c r="Z70" s="55">
        <v>0.89</v>
      </c>
      <c r="AA70" s="38">
        <v>1.2</v>
      </c>
      <c r="AB70" s="38">
        <v>96</v>
      </c>
      <c r="AC70" s="38">
        <v>16619</v>
      </c>
    </row>
    <row r="71" spans="1:29" x14ac:dyDescent="0.15">
      <c r="A71" s="41" t="s">
        <v>5700</v>
      </c>
      <c r="B71" s="41" t="s">
        <v>5701</v>
      </c>
      <c r="C71" s="41" t="s">
        <v>6397</v>
      </c>
      <c r="D71" s="41">
        <v>36.200000000000003</v>
      </c>
      <c r="E71" s="41">
        <v>36.200000000000003</v>
      </c>
      <c r="F71" s="53">
        <v>0.82</v>
      </c>
      <c r="G71" s="41">
        <v>25</v>
      </c>
      <c r="H71" s="41">
        <v>100</v>
      </c>
      <c r="I71" s="41">
        <v>11361</v>
      </c>
      <c r="K71" s="41" t="s">
        <v>5702</v>
      </c>
      <c r="L71" s="41" t="s">
        <v>5574</v>
      </c>
      <c r="M71" s="41" t="str">
        <f>HYPERLINK("https://www.ncbi.nlm.nih.gov/nucleotide/OQ554120.1?report=genbank&amp;log$=nucltop&amp;blast_rank=66&amp;RID=K3RYFBUB014","OQ554120.1")</f>
        <v>OQ554120.1</v>
      </c>
      <c r="N71" s="41">
        <v>36.200000000000003</v>
      </c>
      <c r="O71" s="41">
        <v>36.200000000000003</v>
      </c>
      <c r="P71" s="53">
        <v>0.95</v>
      </c>
      <c r="Q71" s="41">
        <v>25</v>
      </c>
      <c r="R71" s="41">
        <v>100</v>
      </c>
      <c r="S71" s="41">
        <v>16387</v>
      </c>
      <c r="U71" s="38" t="s">
        <v>5703</v>
      </c>
      <c r="V71" s="38" t="s">
        <v>5704</v>
      </c>
      <c r="W71" s="38" t="str">
        <f>HYPERLINK("https://www.ncbi.nlm.nih.gov/nucleotide/NC_088001.1?report=genbank&amp;log$=nucltop&amp;blast_rank=66&amp;RID=K3S1J64G014","NC_088001.1")</f>
        <v>NC_088001.1</v>
      </c>
      <c r="X71" s="38">
        <v>42.1</v>
      </c>
      <c r="Y71" s="38">
        <v>42.1</v>
      </c>
      <c r="Z71" s="55">
        <v>0.89</v>
      </c>
      <c r="AA71" s="38">
        <v>1.2</v>
      </c>
      <c r="AB71" s="38">
        <v>96</v>
      </c>
      <c r="AC71" s="38">
        <v>16820</v>
      </c>
    </row>
    <row r="72" spans="1:29" x14ac:dyDescent="0.15">
      <c r="A72" s="41" t="s">
        <v>5705</v>
      </c>
      <c r="B72" s="41" t="s">
        <v>5706</v>
      </c>
      <c r="C72" s="41" t="s">
        <v>6398</v>
      </c>
      <c r="D72" s="41">
        <v>36.200000000000003</v>
      </c>
      <c r="E72" s="41">
        <v>36.200000000000003</v>
      </c>
      <c r="F72" s="53">
        <v>0.82</v>
      </c>
      <c r="G72" s="41">
        <v>25</v>
      </c>
      <c r="H72" s="41">
        <v>100</v>
      </c>
      <c r="I72" s="41">
        <v>40304570</v>
      </c>
      <c r="K72" s="41" t="s">
        <v>5707</v>
      </c>
      <c r="L72" s="41" t="s">
        <v>5574</v>
      </c>
      <c r="M72" s="41" t="str">
        <f>HYPERLINK("https://www.ncbi.nlm.nih.gov/nucleotide/OQ554184.1?report=genbank&amp;log$=nucltop&amp;blast_rank=67&amp;RID=K3RYFBUB014","OQ554184.1")</f>
        <v>OQ554184.1</v>
      </c>
      <c r="N72" s="41">
        <v>36.200000000000003</v>
      </c>
      <c r="O72" s="41">
        <v>36.200000000000003</v>
      </c>
      <c r="P72" s="53">
        <v>0.95</v>
      </c>
      <c r="Q72" s="41">
        <v>25</v>
      </c>
      <c r="R72" s="41">
        <v>100</v>
      </c>
      <c r="S72" s="41">
        <v>16386</v>
      </c>
      <c r="U72" s="38" t="s">
        <v>3530</v>
      </c>
      <c r="V72" s="38" t="s">
        <v>50</v>
      </c>
      <c r="W72" s="38" t="str">
        <f>HYPERLINK("https://www.ncbi.nlm.nih.gov/nucleotide/PQ932612.1?report=genbank&amp;log$=nucltop&amp;blast_rank=67&amp;RID=K3S1J64G014","PQ932612.1")</f>
        <v>PQ932612.1</v>
      </c>
      <c r="X72" s="38">
        <v>42.1</v>
      </c>
      <c r="Y72" s="38">
        <v>42.1</v>
      </c>
      <c r="Z72" s="55">
        <v>0.89</v>
      </c>
      <c r="AA72" s="38">
        <v>1.2</v>
      </c>
      <c r="AB72" s="38">
        <v>96</v>
      </c>
      <c r="AC72" s="38">
        <v>16554</v>
      </c>
    </row>
    <row r="73" spans="1:29" x14ac:dyDescent="0.15">
      <c r="A73" s="41" t="s">
        <v>5708</v>
      </c>
      <c r="B73" s="41" t="s">
        <v>4032</v>
      </c>
      <c r="C73" s="41" t="s">
        <v>6399</v>
      </c>
      <c r="D73" s="41">
        <v>36.200000000000003</v>
      </c>
      <c r="E73" s="41">
        <v>36.200000000000003</v>
      </c>
      <c r="F73" s="53">
        <v>0.82</v>
      </c>
      <c r="G73" s="41">
        <v>25</v>
      </c>
      <c r="H73" s="41">
        <v>100</v>
      </c>
      <c r="I73" s="41">
        <v>17057</v>
      </c>
      <c r="K73" s="41" t="s">
        <v>5709</v>
      </c>
      <c r="L73" s="41" t="s">
        <v>5574</v>
      </c>
      <c r="M73" s="41" t="str">
        <f>HYPERLINK("https://www.ncbi.nlm.nih.gov/nucleotide/OQ554039.1?report=genbank&amp;log$=nucltop&amp;blast_rank=68&amp;RID=K3RYFBUB014","OQ554039.1")</f>
        <v>OQ554039.1</v>
      </c>
      <c r="N73" s="41">
        <v>36.200000000000003</v>
      </c>
      <c r="O73" s="41">
        <v>36.200000000000003</v>
      </c>
      <c r="P73" s="53">
        <v>0.95</v>
      </c>
      <c r="Q73" s="41">
        <v>25</v>
      </c>
      <c r="R73" s="41">
        <v>100</v>
      </c>
      <c r="S73" s="41">
        <v>16386</v>
      </c>
      <c r="U73" s="38" t="s">
        <v>3530</v>
      </c>
      <c r="V73" s="38" t="s">
        <v>50</v>
      </c>
      <c r="W73" s="38" t="str">
        <f>HYPERLINK("https://www.ncbi.nlm.nih.gov/nucleotide/MW194077.1?report=genbank&amp;log$=nucltop&amp;blast_rank=68&amp;RID=K3S1J64G014","MW194077.1")</f>
        <v>MW194077.1</v>
      </c>
      <c r="X73" s="38">
        <v>42.1</v>
      </c>
      <c r="Y73" s="38">
        <v>42.1</v>
      </c>
      <c r="Z73" s="55">
        <v>0.89</v>
      </c>
      <c r="AA73" s="38">
        <v>1.2</v>
      </c>
      <c r="AB73" s="38">
        <v>96</v>
      </c>
      <c r="AC73" s="38">
        <v>16551</v>
      </c>
    </row>
    <row r="74" spans="1:29" x14ac:dyDescent="0.15">
      <c r="A74" s="41" t="s">
        <v>5710</v>
      </c>
      <c r="B74" s="41" t="s">
        <v>4032</v>
      </c>
      <c r="C74" s="41" t="s">
        <v>6400</v>
      </c>
      <c r="D74" s="41">
        <v>36.200000000000003</v>
      </c>
      <c r="E74" s="41">
        <v>36.200000000000003</v>
      </c>
      <c r="F74" s="53">
        <v>0.82</v>
      </c>
      <c r="G74" s="41">
        <v>25</v>
      </c>
      <c r="H74" s="41">
        <v>100</v>
      </c>
      <c r="I74" s="41">
        <v>17333</v>
      </c>
      <c r="K74" s="41" t="s">
        <v>5711</v>
      </c>
      <c r="L74" s="41" t="s">
        <v>5574</v>
      </c>
      <c r="M74" s="41" t="str">
        <f>HYPERLINK("https://www.ncbi.nlm.nih.gov/nucleotide/OQ554218.1?report=genbank&amp;log$=nucltop&amp;blast_rank=69&amp;RID=K3RYFBUB014","OQ554218.1")</f>
        <v>OQ554218.1</v>
      </c>
      <c r="N74" s="41">
        <v>36.200000000000003</v>
      </c>
      <c r="O74" s="41">
        <v>36.200000000000003</v>
      </c>
      <c r="P74" s="53">
        <v>0.95</v>
      </c>
      <c r="Q74" s="41">
        <v>25</v>
      </c>
      <c r="R74" s="41">
        <v>100</v>
      </c>
      <c r="S74" s="41">
        <v>16386</v>
      </c>
      <c r="U74" s="38" t="s">
        <v>5712</v>
      </c>
      <c r="V74" s="38" t="s">
        <v>2045</v>
      </c>
      <c r="W74" s="38" t="str">
        <f>HYPERLINK("https://www.ncbi.nlm.nih.gov/nucleotide/OR521034.1?report=genbank&amp;log$=nucltop&amp;blast_rank=69&amp;RID=K3S1J64G014","OR521034.1")</f>
        <v>OR521034.1</v>
      </c>
      <c r="X74" s="38">
        <v>40.1</v>
      </c>
      <c r="Y74" s="38">
        <v>40.1</v>
      </c>
      <c r="Z74" s="55">
        <v>1</v>
      </c>
      <c r="AA74" s="38">
        <v>4.7</v>
      </c>
      <c r="AB74" s="38">
        <v>92.86</v>
      </c>
      <c r="AC74" s="38">
        <v>16615</v>
      </c>
    </row>
    <row r="75" spans="1:29" x14ac:dyDescent="0.15">
      <c r="A75" s="41" t="s">
        <v>5713</v>
      </c>
      <c r="B75" s="41" t="s">
        <v>5555</v>
      </c>
      <c r="C75" s="41" t="s">
        <v>6401</v>
      </c>
      <c r="D75" s="41">
        <v>36.200000000000003</v>
      </c>
      <c r="E75" s="41">
        <v>36.200000000000003</v>
      </c>
      <c r="F75" s="53">
        <v>0.82</v>
      </c>
      <c r="G75" s="41">
        <v>25</v>
      </c>
      <c r="H75" s="41">
        <v>100</v>
      </c>
      <c r="I75" s="41">
        <v>17332</v>
      </c>
      <c r="K75" s="41" t="s">
        <v>5714</v>
      </c>
      <c r="L75" s="41" t="s">
        <v>5574</v>
      </c>
      <c r="M75" s="41" t="str">
        <f>HYPERLINK("https://www.ncbi.nlm.nih.gov/nucleotide/OQ554074.1?report=genbank&amp;log$=nucltop&amp;blast_rank=70&amp;RID=K3RYFBUB014","OQ554074.1")</f>
        <v>OQ554074.1</v>
      </c>
      <c r="N75" s="41">
        <v>36.200000000000003</v>
      </c>
      <c r="O75" s="41">
        <v>36.200000000000003</v>
      </c>
      <c r="P75" s="53">
        <v>0.95</v>
      </c>
      <c r="Q75" s="41">
        <v>25</v>
      </c>
      <c r="R75" s="41">
        <v>100</v>
      </c>
      <c r="S75" s="41">
        <v>16387</v>
      </c>
      <c r="U75" s="38" t="s">
        <v>5715</v>
      </c>
      <c r="V75" s="38" t="s">
        <v>5648</v>
      </c>
      <c r="W75" s="38" t="str">
        <f>HYPERLINK("https://www.ncbi.nlm.nih.gov/nucleotide/MH638324.1?report=genbank&amp;log$=nucltop&amp;blast_rank=70&amp;RID=K3S1J64G014","MH638324.1")</f>
        <v>MH638324.1</v>
      </c>
      <c r="X75" s="38">
        <v>40.1</v>
      </c>
      <c r="Y75" s="38">
        <v>40.1</v>
      </c>
      <c r="Z75" s="55">
        <v>1</v>
      </c>
      <c r="AA75" s="38">
        <v>4.7</v>
      </c>
      <c r="AB75" s="38">
        <v>92.86</v>
      </c>
      <c r="AC75" s="38">
        <v>16530</v>
      </c>
    </row>
    <row r="76" spans="1:29" x14ac:dyDescent="0.15">
      <c r="A76" s="52" t="s">
        <v>3520</v>
      </c>
      <c r="B76" s="52" t="s">
        <v>26</v>
      </c>
      <c r="C76" s="41" t="s">
        <v>6402</v>
      </c>
      <c r="D76" s="41">
        <v>36.200000000000003</v>
      </c>
      <c r="E76" s="41">
        <v>36.200000000000003</v>
      </c>
      <c r="F76" s="53">
        <v>0.82</v>
      </c>
      <c r="G76" s="41">
        <v>25</v>
      </c>
      <c r="H76" s="41">
        <v>100</v>
      </c>
      <c r="I76" s="41">
        <v>16621</v>
      </c>
      <c r="K76" s="41" t="s">
        <v>5716</v>
      </c>
      <c r="L76" s="41" t="s">
        <v>5574</v>
      </c>
      <c r="M76" s="41" t="str">
        <f>HYPERLINK("https://www.ncbi.nlm.nih.gov/nucleotide/OQ554107.1?report=genbank&amp;log$=nucltop&amp;blast_rank=71&amp;RID=K3RYFBUB014","OQ554107.1")</f>
        <v>OQ554107.1</v>
      </c>
      <c r="N76" s="41">
        <v>36.200000000000003</v>
      </c>
      <c r="O76" s="41">
        <v>36.200000000000003</v>
      </c>
      <c r="P76" s="53">
        <v>0.95</v>
      </c>
      <c r="Q76" s="41">
        <v>25</v>
      </c>
      <c r="R76" s="41">
        <v>100</v>
      </c>
      <c r="S76" s="41">
        <v>16387</v>
      </c>
      <c r="U76" s="38" t="s">
        <v>5717</v>
      </c>
      <c r="V76" s="38" t="s">
        <v>5718</v>
      </c>
      <c r="W76" s="38" t="str">
        <f>HYPERLINK("https://www.ncbi.nlm.nih.gov/nucleotide/OP056906.1?report=genbank&amp;log$=nucltop&amp;blast_rank=71&amp;RID=K3S1J64G014","OP056906.1")</f>
        <v>OP056906.1</v>
      </c>
      <c r="X76" s="38">
        <v>40.1</v>
      </c>
      <c r="Y76" s="38">
        <v>40.1</v>
      </c>
      <c r="Z76" s="55">
        <v>0.86</v>
      </c>
      <c r="AA76" s="38">
        <v>4.7</v>
      </c>
      <c r="AB76" s="38">
        <v>95.83</v>
      </c>
      <c r="AC76" s="38">
        <v>16500</v>
      </c>
    </row>
    <row r="77" spans="1:29" x14ac:dyDescent="0.15">
      <c r="A77" s="52" t="s">
        <v>5719</v>
      </c>
      <c r="B77" s="52" t="s">
        <v>308</v>
      </c>
      <c r="C77" s="41" t="s">
        <v>6403</v>
      </c>
      <c r="D77" s="41">
        <v>36.200000000000003</v>
      </c>
      <c r="E77" s="41">
        <v>36.200000000000003</v>
      </c>
      <c r="F77" s="53">
        <v>0.82</v>
      </c>
      <c r="G77" s="41">
        <v>25</v>
      </c>
      <c r="H77" s="41">
        <v>100</v>
      </c>
      <c r="I77" s="41">
        <v>975</v>
      </c>
      <c r="K77" s="41" t="s">
        <v>5720</v>
      </c>
      <c r="L77" s="41" t="s">
        <v>5574</v>
      </c>
      <c r="M77" s="41" t="str">
        <f>HYPERLINK("https://www.ncbi.nlm.nih.gov/nucleotide/MW316177.1?report=genbank&amp;log$=nucltop&amp;blast_rank=72&amp;RID=K3RYFBUB014","MW316177.1")</f>
        <v>MW316177.1</v>
      </c>
      <c r="N77" s="41">
        <v>36.200000000000003</v>
      </c>
      <c r="O77" s="41">
        <v>36.200000000000003</v>
      </c>
      <c r="P77" s="53">
        <v>0.95</v>
      </c>
      <c r="Q77" s="41">
        <v>25</v>
      </c>
      <c r="R77" s="41">
        <v>100</v>
      </c>
      <c r="S77" s="41">
        <v>16386</v>
      </c>
      <c r="U77" s="38" t="s">
        <v>5721</v>
      </c>
      <c r="V77" s="38" t="s">
        <v>5722</v>
      </c>
      <c r="W77" s="38" t="str">
        <f>HYPERLINK("https://www.ncbi.nlm.nih.gov/nucleotide/NC_032039.1?report=genbank&amp;log$=nucltop&amp;blast_rank=72&amp;RID=K3S1J64G014","NC_032039.1")</f>
        <v>NC_032039.1</v>
      </c>
      <c r="X77" s="38">
        <v>40.1</v>
      </c>
      <c r="Y77" s="38">
        <v>40.1</v>
      </c>
      <c r="Z77" s="55">
        <v>1</v>
      </c>
      <c r="AA77" s="38">
        <v>4.7</v>
      </c>
      <c r="AB77" s="38">
        <v>92.86</v>
      </c>
      <c r="AC77" s="38">
        <v>16518</v>
      </c>
    </row>
    <row r="78" spans="1:29" x14ac:dyDescent="0.15">
      <c r="A78" s="41" t="s">
        <v>5723</v>
      </c>
      <c r="B78" s="41" t="s">
        <v>5682</v>
      </c>
      <c r="C78" s="41" t="s">
        <v>6404</v>
      </c>
      <c r="D78" s="41">
        <v>36.200000000000003</v>
      </c>
      <c r="E78" s="41">
        <v>36.200000000000003</v>
      </c>
      <c r="F78" s="53">
        <v>0.82</v>
      </c>
      <c r="G78" s="41">
        <v>25</v>
      </c>
      <c r="H78" s="41">
        <v>100</v>
      </c>
      <c r="I78" s="41">
        <v>12101</v>
      </c>
      <c r="K78" s="41" t="s">
        <v>5724</v>
      </c>
      <c r="L78" s="41" t="s">
        <v>5574</v>
      </c>
      <c r="M78" s="41" t="str">
        <f>HYPERLINK("https://www.ncbi.nlm.nih.gov/nucleotide/OQ554197.1?report=genbank&amp;log$=nucltop&amp;blast_rank=73&amp;RID=K3RYFBUB014","OQ554197.1")</f>
        <v>OQ554197.1</v>
      </c>
      <c r="N78" s="41">
        <v>36.200000000000003</v>
      </c>
      <c r="O78" s="41">
        <v>36.200000000000003</v>
      </c>
      <c r="P78" s="53">
        <v>0.95</v>
      </c>
      <c r="Q78" s="41">
        <v>25</v>
      </c>
      <c r="R78" s="41">
        <v>100</v>
      </c>
      <c r="S78" s="41">
        <v>16386</v>
      </c>
      <c r="U78" s="38" t="s">
        <v>5725</v>
      </c>
      <c r="V78" s="38" t="s">
        <v>5726</v>
      </c>
      <c r="W78" s="38" t="str">
        <f>HYPERLINK("https://www.ncbi.nlm.nih.gov/nucleotide/OL688787.1?report=genbank&amp;log$=nucltop&amp;blast_rank=73&amp;RID=K3S1J64G014","OL688787.1")</f>
        <v>OL688787.1</v>
      </c>
      <c r="X78" s="38">
        <v>40.1</v>
      </c>
      <c r="Y78" s="38">
        <v>40.1</v>
      </c>
      <c r="Z78" s="55">
        <v>0.86</v>
      </c>
      <c r="AA78" s="38">
        <v>4.7</v>
      </c>
      <c r="AB78" s="38">
        <v>95.83</v>
      </c>
      <c r="AC78" s="38">
        <v>16578</v>
      </c>
    </row>
    <row r="79" spans="1:29" x14ac:dyDescent="0.15">
      <c r="A79" s="41" t="s">
        <v>5727</v>
      </c>
      <c r="B79" s="41" t="s">
        <v>5555</v>
      </c>
      <c r="C79" s="41" t="s">
        <v>6405</v>
      </c>
      <c r="D79" s="41">
        <v>36.200000000000003</v>
      </c>
      <c r="E79" s="41">
        <v>36.200000000000003</v>
      </c>
      <c r="F79" s="53">
        <v>0.82</v>
      </c>
      <c r="G79" s="41">
        <v>25</v>
      </c>
      <c r="H79" s="41">
        <v>100</v>
      </c>
      <c r="I79" s="41">
        <v>17333</v>
      </c>
      <c r="K79" s="41" t="s">
        <v>5728</v>
      </c>
      <c r="L79" s="41" t="s">
        <v>5574</v>
      </c>
      <c r="M79" s="41" t="str">
        <f>HYPERLINK("https://www.ncbi.nlm.nih.gov/nucleotide/MW316230.1?report=genbank&amp;log$=nucltop&amp;blast_rank=74&amp;RID=K3RYFBUB014","MW316230.1")</f>
        <v>MW316230.1</v>
      </c>
      <c r="N79" s="41">
        <v>36.200000000000003</v>
      </c>
      <c r="O79" s="41">
        <v>36.200000000000003</v>
      </c>
      <c r="P79" s="53">
        <v>0.95</v>
      </c>
      <c r="Q79" s="41">
        <v>25</v>
      </c>
      <c r="R79" s="41">
        <v>100</v>
      </c>
      <c r="S79" s="41">
        <v>16382</v>
      </c>
      <c r="U79" s="38" t="s">
        <v>5729</v>
      </c>
      <c r="V79" s="38" t="s">
        <v>5730</v>
      </c>
      <c r="W79" s="38" t="str">
        <f>HYPERLINK("https://www.ncbi.nlm.nih.gov/nucleotide/OQ420716.1?report=genbank&amp;log$=nucltop&amp;blast_rank=74&amp;RID=K3S1J64G014","OQ420716.1")</f>
        <v>OQ420716.1</v>
      </c>
      <c r="X79" s="38">
        <v>40.1</v>
      </c>
      <c r="Y79" s="38">
        <v>40.1</v>
      </c>
      <c r="Z79" s="55">
        <v>0.86</v>
      </c>
      <c r="AA79" s="38">
        <v>4.7</v>
      </c>
      <c r="AB79" s="38">
        <v>95.83</v>
      </c>
      <c r="AC79" s="38">
        <v>16789</v>
      </c>
    </row>
    <row r="80" spans="1:29" x14ac:dyDescent="0.15">
      <c r="A80" s="41" t="s">
        <v>5731</v>
      </c>
      <c r="B80" s="41" t="s">
        <v>5732</v>
      </c>
      <c r="C80" s="41" t="s">
        <v>6406</v>
      </c>
      <c r="D80" s="41">
        <v>36.200000000000003</v>
      </c>
      <c r="E80" s="41">
        <v>36.200000000000003</v>
      </c>
      <c r="F80" s="53">
        <v>0.82</v>
      </c>
      <c r="G80" s="41">
        <v>25</v>
      </c>
      <c r="H80" s="41">
        <v>100</v>
      </c>
      <c r="I80" s="41">
        <v>1702</v>
      </c>
      <c r="K80" s="41" t="s">
        <v>5733</v>
      </c>
      <c r="L80" s="41" t="s">
        <v>5574</v>
      </c>
      <c r="M80" s="41" t="str">
        <f>HYPERLINK("https://www.ncbi.nlm.nih.gov/nucleotide/OQ554279.1?report=genbank&amp;log$=nucltop&amp;blast_rank=75&amp;RID=K3RYFBUB014","OQ554279.1")</f>
        <v>OQ554279.1</v>
      </c>
      <c r="N80" s="41">
        <v>36.200000000000003</v>
      </c>
      <c r="O80" s="41">
        <v>36.200000000000003</v>
      </c>
      <c r="P80" s="53">
        <v>0.95</v>
      </c>
      <c r="Q80" s="41">
        <v>25</v>
      </c>
      <c r="R80" s="41">
        <v>100</v>
      </c>
      <c r="S80" s="41">
        <v>16386</v>
      </c>
      <c r="U80" s="38" t="s">
        <v>4575</v>
      </c>
      <c r="V80" s="38" t="s">
        <v>2443</v>
      </c>
      <c r="W80" s="38" t="str">
        <f>HYPERLINK("https://www.ncbi.nlm.nih.gov/nucleotide/NC_010265.1?report=genbank&amp;log$=nucltop&amp;blast_rank=75&amp;RID=K3S1J64G014","NC_010265.1")</f>
        <v>NC_010265.1</v>
      </c>
      <c r="X80" s="38">
        <v>40.1</v>
      </c>
      <c r="Y80" s="38">
        <v>40.1</v>
      </c>
      <c r="Z80" s="55">
        <v>0.86</v>
      </c>
      <c r="AA80" s="38">
        <v>4.7</v>
      </c>
      <c r="AB80" s="38">
        <v>95.83</v>
      </c>
      <c r="AC80" s="38">
        <v>16016</v>
      </c>
    </row>
    <row r="81" spans="1:29" x14ac:dyDescent="0.15">
      <c r="A81" s="41" t="s">
        <v>5734</v>
      </c>
      <c r="B81" s="41" t="s">
        <v>5735</v>
      </c>
      <c r="C81" s="41" t="s">
        <v>6407</v>
      </c>
      <c r="D81" s="41">
        <v>36.200000000000003</v>
      </c>
      <c r="E81" s="41">
        <v>36.200000000000003</v>
      </c>
      <c r="F81" s="53">
        <v>0.82</v>
      </c>
      <c r="G81" s="41">
        <v>25</v>
      </c>
      <c r="H81" s="41">
        <v>100</v>
      </c>
      <c r="I81" s="41">
        <v>5895</v>
      </c>
      <c r="K81" s="41" t="s">
        <v>5736</v>
      </c>
      <c r="L81" s="41" t="s">
        <v>5574</v>
      </c>
      <c r="M81" s="41" t="str">
        <f>HYPERLINK("https://www.ncbi.nlm.nih.gov/nucleotide/OQ554126.1?report=genbank&amp;log$=nucltop&amp;blast_rank=76&amp;RID=K3RYFBUB014","OQ554126.1")</f>
        <v>OQ554126.1</v>
      </c>
      <c r="N81" s="41">
        <v>36.200000000000003</v>
      </c>
      <c r="O81" s="41">
        <v>36.200000000000003</v>
      </c>
      <c r="P81" s="53">
        <v>0.95</v>
      </c>
      <c r="Q81" s="41">
        <v>25</v>
      </c>
      <c r="R81" s="41">
        <v>100</v>
      </c>
      <c r="S81" s="41">
        <v>16386</v>
      </c>
      <c r="U81" s="38" t="s">
        <v>5737</v>
      </c>
      <c r="V81" s="38" t="s">
        <v>5738</v>
      </c>
      <c r="W81" s="38" t="str">
        <f>HYPERLINK("https://www.ncbi.nlm.nih.gov/nucleotide/EU380989.1?report=genbank&amp;log$=nucltop&amp;blast_rank=76&amp;RID=K3S1J64G014","EU380989.1")</f>
        <v>EU380989.1</v>
      </c>
      <c r="X81" s="38">
        <v>40.1</v>
      </c>
      <c r="Y81" s="38">
        <v>40.1</v>
      </c>
      <c r="Z81" s="55">
        <v>0.86</v>
      </c>
      <c r="AA81" s="38">
        <v>4.7</v>
      </c>
      <c r="AB81" s="38">
        <v>95.83</v>
      </c>
      <c r="AC81" s="38">
        <v>975</v>
      </c>
    </row>
    <row r="82" spans="1:29" x14ac:dyDescent="0.15">
      <c r="A82" s="41" t="s">
        <v>5739</v>
      </c>
      <c r="B82" s="41" t="s">
        <v>4032</v>
      </c>
      <c r="C82" s="41" t="s">
        <v>6408</v>
      </c>
      <c r="D82" s="41">
        <v>36.200000000000003</v>
      </c>
      <c r="E82" s="41">
        <v>36.200000000000003</v>
      </c>
      <c r="F82" s="53">
        <v>0.82</v>
      </c>
      <c r="G82" s="41">
        <v>25</v>
      </c>
      <c r="H82" s="41">
        <v>100</v>
      </c>
      <c r="I82" s="41">
        <v>17333</v>
      </c>
      <c r="K82" s="41" t="s">
        <v>5740</v>
      </c>
      <c r="L82" s="41" t="s">
        <v>5741</v>
      </c>
      <c r="M82" s="41" t="str">
        <f>HYPERLINK("https://www.ncbi.nlm.nih.gov/nucleotide/NC_059774.1?report=genbank&amp;log$=nucltop&amp;blast_rank=77&amp;RID=K3RYFBUB014","NC_059774.1")</f>
        <v>NC_059774.1</v>
      </c>
      <c r="N82" s="41">
        <v>36.200000000000003</v>
      </c>
      <c r="O82" s="41">
        <v>36.200000000000003</v>
      </c>
      <c r="P82" s="53">
        <v>0.95</v>
      </c>
      <c r="Q82" s="41">
        <v>25</v>
      </c>
      <c r="R82" s="41">
        <v>100</v>
      </c>
      <c r="S82" s="41">
        <v>16899</v>
      </c>
      <c r="U82" s="38" t="s">
        <v>5742</v>
      </c>
      <c r="V82" s="38" t="s">
        <v>5743</v>
      </c>
      <c r="W82" s="38" t="str">
        <f>HYPERLINK("https://www.ncbi.nlm.nih.gov/nucleotide/XR_011248779.1?report=genbank&amp;log$=nucltop&amp;blast_rank=77&amp;RID=K3S1J64G014","XR_011248779.1")</f>
        <v>XR_011248779.1</v>
      </c>
      <c r="X82" s="38">
        <v>40.1</v>
      </c>
      <c r="Y82" s="38">
        <v>40.1</v>
      </c>
      <c r="Z82" s="55">
        <v>0.71</v>
      </c>
      <c r="AA82" s="38">
        <v>4.7</v>
      </c>
      <c r="AB82" s="38">
        <v>100</v>
      </c>
      <c r="AC82" s="38">
        <v>4953</v>
      </c>
    </row>
    <row r="83" spans="1:29" x14ac:dyDescent="0.15">
      <c r="A83" s="41" t="s">
        <v>5744</v>
      </c>
      <c r="B83" s="41" t="s">
        <v>5745</v>
      </c>
      <c r="C83" s="41" t="s">
        <v>6409</v>
      </c>
      <c r="D83" s="41">
        <v>36.200000000000003</v>
      </c>
      <c r="E83" s="41">
        <v>36.200000000000003</v>
      </c>
      <c r="F83" s="53">
        <v>1</v>
      </c>
      <c r="G83" s="41">
        <v>25</v>
      </c>
      <c r="H83" s="41">
        <v>95.45</v>
      </c>
      <c r="I83" s="41">
        <v>26513963</v>
      </c>
      <c r="K83" s="41" t="s">
        <v>5746</v>
      </c>
      <c r="L83" s="41" t="s">
        <v>5574</v>
      </c>
      <c r="M83" s="41" t="str">
        <f>HYPERLINK("https://www.ncbi.nlm.nih.gov/nucleotide/OQ554256.1?report=genbank&amp;log$=nucltop&amp;blast_rank=78&amp;RID=K3RYFBUB014","OQ554256.1")</f>
        <v>OQ554256.1</v>
      </c>
      <c r="N83" s="41">
        <v>36.200000000000003</v>
      </c>
      <c r="O83" s="41">
        <v>36.200000000000003</v>
      </c>
      <c r="P83" s="53">
        <v>0.95</v>
      </c>
      <c r="Q83" s="41">
        <v>25</v>
      </c>
      <c r="R83" s="41">
        <v>100</v>
      </c>
      <c r="S83" s="41">
        <v>16386</v>
      </c>
      <c r="U83" s="38" t="s">
        <v>5747</v>
      </c>
      <c r="V83" s="38" t="s">
        <v>2048</v>
      </c>
      <c r="W83" s="38" t="str">
        <f>HYPERLINK("https://www.ncbi.nlm.nih.gov/nucleotide/OR582690.1?report=genbank&amp;log$=nucltop&amp;blast_rank=78&amp;RID=K3S1J64G014","OR582690.1")</f>
        <v>OR582690.1</v>
      </c>
      <c r="X83" s="38">
        <v>40.1</v>
      </c>
      <c r="Y83" s="38">
        <v>40.1</v>
      </c>
      <c r="Z83" s="55">
        <v>1</v>
      </c>
      <c r="AA83" s="38">
        <v>4.7</v>
      </c>
      <c r="AB83" s="38">
        <v>92.86</v>
      </c>
      <c r="AC83" s="38">
        <v>16486</v>
      </c>
    </row>
    <row r="84" spans="1:29" x14ac:dyDescent="0.15">
      <c r="A84" s="41" t="s">
        <v>5748</v>
      </c>
      <c r="B84" s="41" t="s">
        <v>2187</v>
      </c>
      <c r="C84" s="41" t="s">
        <v>6410</v>
      </c>
      <c r="D84" s="41">
        <v>36.200000000000003</v>
      </c>
      <c r="E84" s="41">
        <v>36.200000000000003</v>
      </c>
      <c r="F84" s="53">
        <v>0.82</v>
      </c>
      <c r="G84" s="41">
        <v>25</v>
      </c>
      <c r="H84" s="41">
        <v>100</v>
      </c>
      <c r="I84" s="41">
        <v>16761</v>
      </c>
      <c r="K84" s="41" t="s">
        <v>5749</v>
      </c>
      <c r="L84" s="41" t="s">
        <v>5574</v>
      </c>
      <c r="M84" s="41" t="str">
        <f>HYPERLINK("https://www.ncbi.nlm.nih.gov/nucleotide/OQ554205.1?report=genbank&amp;log$=nucltop&amp;blast_rank=79&amp;RID=K3RYFBUB014","OQ554205.1")</f>
        <v>OQ554205.1</v>
      </c>
      <c r="N84" s="41">
        <v>36.200000000000003</v>
      </c>
      <c r="O84" s="41">
        <v>36.200000000000003</v>
      </c>
      <c r="P84" s="53">
        <v>0.95</v>
      </c>
      <c r="Q84" s="41">
        <v>25</v>
      </c>
      <c r="R84" s="41">
        <v>100</v>
      </c>
      <c r="S84" s="41">
        <v>16386</v>
      </c>
      <c r="U84" s="38" t="s">
        <v>5750</v>
      </c>
      <c r="V84" s="38" t="s">
        <v>2014</v>
      </c>
      <c r="W84" s="38" t="str">
        <f>HYPERLINK("https://www.ncbi.nlm.nih.gov/nucleotide/MW732165.1?report=genbank&amp;log$=nucltop&amp;blast_rank=79&amp;RID=K3S1J64G014","MW732165.1")</f>
        <v>MW732165.1</v>
      </c>
      <c r="X84" s="38">
        <v>40.1</v>
      </c>
      <c r="Y84" s="38">
        <v>40.1</v>
      </c>
      <c r="Z84" s="55">
        <v>1</v>
      </c>
      <c r="AA84" s="38">
        <v>4.7</v>
      </c>
      <c r="AB84" s="38">
        <v>92.86</v>
      </c>
      <c r="AC84" s="38">
        <v>16590</v>
      </c>
    </row>
    <row r="85" spans="1:29" x14ac:dyDescent="0.15">
      <c r="A85" s="41" t="s">
        <v>5751</v>
      </c>
      <c r="B85" s="41" t="s">
        <v>1513</v>
      </c>
      <c r="C85" s="41" t="s">
        <v>6411</v>
      </c>
      <c r="D85" s="41">
        <v>36.200000000000003</v>
      </c>
      <c r="E85" s="41">
        <v>36.200000000000003</v>
      </c>
      <c r="F85" s="53">
        <v>1</v>
      </c>
      <c r="G85" s="41">
        <v>25</v>
      </c>
      <c r="H85" s="41">
        <v>95.45</v>
      </c>
      <c r="I85" s="41">
        <v>16566</v>
      </c>
      <c r="K85" s="41" t="s">
        <v>5752</v>
      </c>
      <c r="L85" s="41" t="s">
        <v>5574</v>
      </c>
      <c r="M85" s="41" t="str">
        <f>HYPERLINK("https://www.ncbi.nlm.nih.gov/nucleotide/OQ554238.1?report=genbank&amp;log$=nucltop&amp;blast_rank=80&amp;RID=K3RYFBUB014","OQ554238.1")</f>
        <v>OQ554238.1</v>
      </c>
      <c r="N85" s="41">
        <v>36.200000000000003</v>
      </c>
      <c r="O85" s="41">
        <v>36.200000000000003</v>
      </c>
      <c r="P85" s="53">
        <v>0.95</v>
      </c>
      <c r="Q85" s="41">
        <v>25</v>
      </c>
      <c r="R85" s="41">
        <v>100</v>
      </c>
      <c r="S85" s="41">
        <v>16386</v>
      </c>
      <c r="U85" s="38" t="s">
        <v>5615</v>
      </c>
      <c r="V85" s="38" t="s">
        <v>5546</v>
      </c>
      <c r="W85" s="38" t="str">
        <f>HYPERLINK("https://www.ncbi.nlm.nih.gov/nucleotide/OL693865.1?report=genbank&amp;log$=nucltop&amp;blast_rank=80&amp;RID=K3S1J64G014","OL693865.1")</f>
        <v>OL693865.1</v>
      </c>
      <c r="X85" s="38">
        <v>40.1</v>
      </c>
      <c r="Y85" s="38">
        <v>40.1</v>
      </c>
      <c r="Z85" s="55">
        <v>1</v>
      </c>
      <c r="AA85" s="38">
        <v>4.7</v>
      </c>
      <c r="AB85" s="38">
        <v>92.86</v>
      </c>
      <c r="AC85" s="38">
        <v>16530</v>
      </c>
    </row>
    <row r="86" spans="1:29" x14ac:dyDescent="0.15">
      <c r="A86" s="41" t="s">
        <v>5753</v>
      </c>
      <c r="B86" s="41" t="s">
        <v>5754</v>
      </c>
      <c r="C86" s="41" t="s">
        <v>6412</v>
      </c>
      <c r="D86" s="41">
        <v>36.200000000000003</v>
      </c>
      <c r="E86" s="41">
        <v>36.200000000000003</v>
      </c>
      <c r="F86" s="53">
        <v>0.82</v>
      </c>
      <c r="G86" s="41">
        <v>25</v>
      </c>
      <c r="H86" s="41">
        <v>100</v>
      </c>
      <c r="I86" s="41">
        <v>17344</v>
      </c>
      <c r="K86" s="41" t="s">
        <v>5755</v>
      </c>
      <c r="L86" s="41" t="s">
        <v>5574</v>
      </c>
      <c r="M86" s="41" t="str">
        <f>HYPERLINK("https://www.ncbi.nlm.nih.gov/nucleotide/OQ554064.1?report=genbank&amp;log$=nucltop&amp;blast_rank=81&amp;RID=K3RYFBUB014","OQ554064.1")</f>
        <v>OQ554064.1</v>
      </c>
      <c r="N86" s="41">
        <v>36.200000000000003</v>
      </c>
      <c r="O86" s="41">
        <v>36.200000000000003</v>
      </c>
      <c r="P86" s="53">
        <v>0.95</v>
      </c>
      <c r="Q86" s="41">
        <v>25</v>
      </c>
      <c r="R86" s="41">
        <v>100</v>
      </c>
      <c r="S86" s="41">
        <v>16386</v>
      </c>
      <c r="U86" s="38" t="s">
        <v>5612</v>
      </c>
      <c r="V86" s="38" t="s">
        <v>5613</v>
      </c>
      <c r="W86" s="38" t="str">
        <f>HYPERLINK("https://www.ncbi.nlm.nih.gov/nucleotide/OL688781.1?report=genbank&amp;log$=nucltop&amp;blast_rank=81&amp;RID=K3S1J64G014","OL688781.1")</f>
        <v>OL688781.1</v>
      </c>
      <c r="X86" s="38">
        <v>40.1</v>
      </c>
      <c r="Y86" s="38">
        <v>40.1</v>
      </c>
      <c r="Z86" s="55">
        <v>1</v>
      </c>
      <c r="AA86" s="38">
        <v>4.7</v>
      </c>
      <c r="AB86" s="38">
        <v>92.86</v>
      </c>
      <c r="AC86" s="38">
        <v>16526</v>
      </c>
    </row>
    <row r="87" spans="1:29" x14ac:dyDescent="0.15">
      <c r="A87" s="41" t="s">
        <v>5756</v>
      </c>
      <c r="B87" s="41" t="s">
        <v>2185</v>
      </c>
      <c r="C87" s="41" t="s">
        <v>6413</v>
      </c>
      <c r="D87" s="41">
        <v>36.200000000000003</v>
      </c>
      <c r="E87" s="41">
        <v>36.200000000000003</v>
      </c>
      <c r="F87" s="53">
        <v>0.82</v>
      </c>
      <c r="G87" s="41">
        <v>25</v>
      </c>
      <c r="H87" s="41">
        <v>100</v>
      </c>
      <c r="I87" s="41">
        <v>795</v>
      </c>
      <c r="K87" s="41" t="s">
        <v>5757</v>
      </c>
      <c r="L87" s="41" t="s">
        <v>5574</v>
      </c>
      <c r="M87" s="41" t="str">
        <f>HYPERLINK("https://www.ncbi.nlm.nih.gov/nucleotide/OQ554101.1?report=genbank&amp;log$=nucltop&amp;blast_rank=82&amp;RID=K3RYFBUB014","OQ554101.1")</f>
        <v>OQ554101.1</v>
      </c>
      <c r="N87" s="41">
        <v>36.200000000000003</v>
      </c>
      <c r="O87" s="41">
        <v>36.200000000000003</v>
      </c>
      <c r="P87" s="53">
        <v>0.95</v>
      </c>
      <c r="Q87" s="41">
        <v>25</v>
      </c>
      <c r="R87" s="41">
        <v>100</v>
      </c>
      <c r="S87" s="41">
        <v>16386</v>
      </c>
      <c r="U87" s="38" t="s">
        <v>5758</v>
      </c>
      <c r="V87" s="38" t="s">
        <v>5759</v>
      </c>
      <c r="W87" s="38" t="str">
        <f>HYPERLINK("https://www.ncbi.nlm.nih.gov/nucleotide/OK945944.1?report=genbank&amp;log$=nucltop&amp;blast_rank=82&amp;RID=K3S1J64G014","OK945944.1")</f>
        <v>OK945944.1</v>
      </c>
      <c r="X87" s="38">
        <v>40.1</v>
      </c>
      <c r="Y87" s="38">
        <v>40.1</v>
      </c>
      <c r="Z87" s="55">
        <v>1</v>
      </c>
      <c r="AA87" s="38">
        <v>4.7</v>
      </c>
      <c r="AB87" s="38">
        <v>92.86</v>
      </c>
      <c r="AC87" s="38">
        <v>16530</v>
      </c>
    </row>
    <row r="88" spans="1:29" x14ac:dyDescent="0.15">
      <c r="A88" s="41" t="s">
        <v>5760</v>
      </c>
      <c r="B88" s="41" t="s">
        <v>5761</v>
      </c>
      <c r="C88" s="41" t="s">
        <v>6414</v>
      </c>
      <c r="D88" s="41">
        <v>36.200000000000003</v>
      </c>
      <c r="E88" s="41">
        <v>36.200000000000003</v>
      </c>
      <c r="F88" s="53">
        <v>0.82</v>
      </c>
      <c r="G88" s="41">
        <v>25</v>
      </c>
      <c r="H88" s="41">
        <v>100</v>
      </c>
      <c r="I88" s="41">
        <v>13721</v>
      </c>
      <c r="K88" s="41" t="s">
        <v>5762</v>
      </c>
      <c r="L88" s="41" t="s">
        <v>5574</v>
      </c>
      <c r="M88" s="41" t="str">
        <f>HYPERLINK("https://www.ncbi.nlm.nih.gov/nucleotide/OQ554169.1?report=genbank&amp;log$=nucltop&amp;blast_rank=83&amp;RID=K3RYFBUB014","OQ554169.1")</f>
        <v>OQ554169.1</v>
      </c>
      <c r="N88" s="41">
        <v>36.200000000000003</v>
      </c>
      <c r="O88" s="41">
        <v>36.200000000000003</v>
      </c>
      <c r="P88" s="53">
        <v>0.95</v>
      </c>
      <c r="Q88" s="41">
        <v>25</v>
      </c>
      <c r="R88" s="41">
        <v>100</v>
      </c>
      <c r="S88" s="41">
        <v>16386</v>
      </c>
      <c r="U88" s="38" t="s">
        <v>5763</v>
      </c>
      <c r="V88" s="38" t="s">
        <v>5764</v>
      </c>
      <c r="W88" s="38" t="str">
        <f>HYPERLINK("https://www.ncbi.nlm.nih.gov/nucleotide/NC_068673.1?report=genbank&amp;log$=nucltop&amp;blast_rank=83&amp;RID=K3S1J64G014","NC_068673.1")</f>
        <v>NC_068673.1</v>
      </c>
      <c r="X88" s="38">
        <v>40.1</v>
      </c>
      <c r="Y88" s="38">
        <v>40.1</v>
      </c>
      <c r="Z88" s="55">
        <v>1</v>
      </c>
      <c r="AA88" s="38">
        <v>4.7</v>
      </c>
      <c r="AB88" s="38">
        <v>92.86</v>
      </c>
      <c r="AC88" s="38">
        <v>16530</v>
      </c>
    </row>
    <row r="89" spans="1:29" x14ac:dyDescent="0.15">
      <c r="A89" s="41" t="s">
        <v>5765</v>
      </c>
      <c r="B89" s="41" t="s">
        <v>5766</v>
      </c>
      <c r="C89" s="41" t="s">
        <v>6415</v>
      </c>
      <c r="D89" s="41">
        <v>36.200000000000003</v>
      </c>
      <c r="E89" s="41">
        <v>36.200000000000003</v>
      </c>
      <c r="F89" s="53">
        <v>0.82</v>
      </c>
      <c r="G89" s="41">
        <v>25</v>
      </c>
      <c r="H89" s="41">
        <v>100</v>
      </c>
      <c r="I89" s="41">
        <v>16687</v>
      </c>
      <c r="K89" s="41" t="s">
        <v>5767</v>
      </c>
      <c r="L89" s="41" t="s">
        <v>5574</v>
      </c>
      <c r="M89" s="41" t="str">
        <f>HYPERLINK("https://www.ncbi.nlm.nih.gov/nucleotide/OQ554251.1?report=genbank&amp;log$=nucltop&amp;blast_rank=84&amp;RID=K3RYFBUB014","OQ554251.1")</f>
        <v>OQ554251.1</v>
      </c>
      <c r="N89" s="41">
        <v>36.200000000000003</v>
      </c>
      <c r="O89" s="41">
        <v>36.200000000000003</v>
      </c>
      <c r="P89" s="53">
        <v>0.95</v>
      </c>
      <c r="Q89" s="41">
        <v>25</v>
      </c>
      <c r="R89" s="41">
        <v>100</v>
      </c>
      <c r="S89" s="41">
        <v>16386</v>
      </c>
      <c r="U89" s="38" t="s">
        <v>5538</v>
      </c>
      <c r="V89" s="38" t="s">
        <v>5539</v>
      </c>
      <c r="W89" s="38" t="str">
        <f>HYPERLINK("https://www.ncbi.nlm.nih.gov/nucleotide/OL404940.1?report=genbank&amp;log$=nucltop&amp;blast_rank=84&amp;RID=K3S1J64G014","OL404940.1")</f>
        <v>OL404940.1</v>
      </c>
      <c r="X89" s="38">
        <v>40.1</v>
      </c>
      <c r="Y89" s="38">
        <v>40.1</v>
      </c>
      <c r="Z89" s="55">
        <v>1</v>
      </c>
      <c r="AA89" s="38">
        <v>4.7</v>
      </c>
      <c r="AB89" s="38">
        <v>92.86</v>
      </c>
      <c r="AC89" s="38">
        <v>16515</v>
      </c>
    </row>
    <row r="90" spans="1:29" x14ac:dyDescent="0.15">
      <c r="A90" s="41" t="s">
        <v>5768</v>
      </c>
      <c r="B90" s="41" t="s">
        <v>5769</v>
      </c>
      <c r="C90" s="41" t="s">
        <v>6416</v>
      </c>
      <c r="D90" s="41">
        <v>34.200000000000003</v>
      </c>
      <c r="E90" s="41">
        <v>34.200000000000003</v>
      </c>
      <c r="F90" s="53">
        <v>0.77</v>
      </c>
      <c r="G90" s="41">
        <v>97</v>
      </c>
      <c r="H90" s="41">
        <v>100</v>
      </c>
      <c r="I90" s="41">
        <v>16964</v>
      </c>
      <c r="K90" s="41" t="s">
        <v>5770</v>
      </c>
      <c r="L90" s="41" t="s">
        <v>5574</v>
      </c>
      <c r="M90" s="41" t="str">
        <f>HYPERLINK("https://www.ncbi.nlm.nih.gov/nucleotide/OQ554220.1?report=genbank&amp;log$=nucltop&amp;blast_rank=85&amp;RID=K3RYFBUB014","OQ554220.1")</f>
        <v>OQ554220.1</v>
      </c>
      <c r="N90" s="41">
        <v>36.200000000000003</v>
      </c>
      <c r="O90" s="41">
        <v>36.200000000000003</v>
      </c>
      <c r="P90" s="53">
        <v>0.95</v>
      </c>
      <c r="Q90" s="41">
        <v>25</v>
      </c>
      <c r="R90" s="41">
        <v>100</v>
      </c>
      <c r="S90" s="41">
        <v>16386</v>
      </c>
      <c r="U90" s="38" t="s">
        <v>5771</v>
      </c>
      <c r="V90" s="38" t="s">
        <v>2042</v>
      </c>
      <c r="W90" s="38" t="str">
        <f>HYPERLINK("https://www.ncbi.nlm.nih.gov/nucleotide/AP006787.1?report=genbank&amp;log$=nucltop&amp;blast_rank=85&amp;RID=K3S1J64G014","AP006787.1")</f>
        <v>AP006787.1</v>
      </c>
      <c r="X90" s="38">
        <v>40.1</v>
      </c>
      <c r="Y90" s="38">
        <v>40.1</v>
      </c>
      <c r="Z90" s="55">
        <v>1</v>
      </c>
      <c r="AA90" s="38">
        <v>4.7</v>
      </c>
      <c r="AB90" s="38">
        <v>92.86</v>
      </c>
      <c r="AC90" s="38">
        <v>15662</v>
      </c>
    </row>
    <row r="91" spans="1:29" x14ac:dyDescent="0.15">
      <c r="A91" s="41" t="s">
        <v>5772</v>
      </c>
      <c r="B91" s="41" t="s">
        <v>5773</v>
      </c>
      <c r="C91" s="41" t="s">
        <v>6417</v>
      </c>
      <c r="D91" s="41">
        <v>34.200000000000003</v>
      </c>
      <c r="E91" s="41">
        <v>34.200000000000003</v>
      </c>
      <c r="F91" s="53">
        <v>0.77</v>
      </c>
      <c r="G91" s="41">
        <v>97</v>
      </c>
      <c r="H91" s="41">
        <v>100</v>
      </c>
      <c r="I91" s="41">
        <v>16465</v>
      </c>
      <c r="K91" s="41" t="s">
        <v>5774</v>
      </c>
      <c r="L91" s="41" t="s">
        <v>5574</v>
      </c>
      <c r="M91" s="41" t="str">
        <f>HYPERLINK("https://www.ncbi.nlm.nih.gov/nucleotide/OQ554162.1?report=genbank&amp;log$=nucltop&amp;blast_rank=86&amp;RID=K3RYFBUB014","OQ554162.1")</f>
        <v>OQ554162.1</v>
      </c>
      <c r="N91" s="41">
        <v>36.200000000000003</v>
      </c>
      <c r="O91" s="41">
        <v>36.200000000000003</v>
      </c>
      <c r="P91" s="53">
        <v>0.95</v>
      </c>
      <c r="Q91" s="41">
        <v>25</v>
      </c>
      <c r="R91" s="41">
        <v>100</v>
      </c>
      <c r="S91" s="41">
        <v>16386</v>
      </c>
      <c r="U91" s="38" t="s">
        <v>5775</v>
      </c>
      <c r="V91" s="38" t="s">
        <v>5543</v>
      </c>
      <c r="W91" s="38" t="str">
        <f>HYPERLINK("https://www.ncbi.nlm.nih.gov/nucleotide/NC_066911.1?report=genbank&amp;log$=nucltop&amp;blast_rank=86&amp;RID=K3S1J64G014","NC_066911.1")</f>
        <v>NC_066911.1</v>
      </c>
      <c r="X91" s="38">
        <v>40.1</v>
      </c>
      <c r="Y91" s="38">
        <v>40.1</v>
      </c>
      <c r="Z91" s="55">
        <v>1</v>
      </c>
      <c r="AA91" s="38">
        <v>4.7</v>
      </c>
      <c r="AB91" s="38">
        <v>92.86</v>
      </c>
      <c r="AC91" s="38">
        <v>16512</v>
      </c>
    </row>
    <row r="92" spans="1:29" x14ac:dyDescent="0.15">
      <c r="A92" s="41" t="s">
        <v>5776</v>
      </c>
      <c r="B92" s="41" t="s">
        <v>5777</v>
      </c>
      <c r="C92" s="41" t="s">
        <v>6418</v>
      </c>
      <c r="D92" s="41">
        <v>34.200000000000003</v>
      </c>
      <c r="E92" s="41">
        <v>34.200000000000003</v>
      </c>
      <c r="F92" s="53">
        <v>0.77</v>
      </c>
      <c r="G92" s="41">
        <v>97</v>
      </c>
      <c r="H92" s="41">
        <v>100</v>
      </c>
      <c r="I92" s="41">
        <v>4668</v>
      </c>
      <c r="K92" s="41" t="s">
        <v>5778</v>
      </c>
      <c r="L92" s="41" t="s">
        <v>5574</v>
      </c>
      <c r="M92" s="41" t="str">
        <f>HYPERLINK("https://www.ncbi.nlm.nih.gov/nucleotide/OQ554021.1?report=genbank&amp;log$=nucltop&amp;blast_rank=87&amp;RID=K3RYFBUB014","OQ554021.1")</f>
        <v>OQ554021.1</v>
      </c>
      <c r="N92" s="41">
        <v>36.200000000000003</v>
      </c>
      <c r="O92" s="41">
        <v>36.200000000000003</v>
      </c>
      <c r="P92" s="53">
        <v>0.95</v>
      </c>
      <c r="Q92" s="41">
        <v>25</v>
      </c>
      <c r="R92" s="41">
        <v>100</v>
      </c>
      <c r="S92" s="41">
        <v>16386</v>
      </c>
      <c r="U92" s="38" t="s">
        <v>5779</v>
      </c>
      <c r="V92" s="38" t="s">
        <v>2000</v>
      </c>
      <c r="W92" s="38" t="str">
        <f>HYPERLINK("https://www.ncbi.nlm.nih.gov/nucleotide/NC_072132.1?report=genbank&amp;log$=nucltop&amp;blast_rank=87&amp;RID=K3S1J64G014","NC_072132.1")</f>
        <v>NC_072132.1</v>
      </c>
      <c r="X92" s="38">
        <v>40.1</v>
      </c>
      <c r="Y92" s="38">
        <v>40.1</v>
      </c>
      <c r="Z92" s="55">
        <v>0.86</v>
      </c>
      <c r="AA92" s="38">
        <v>4.7</v>
      </c>
      <c r="AB92" s="38">
        <v>95.83</v>
      </c>
      <c r="AC92" s="38">
        <v>16863</v>
      </c>
    </row>
    <row r="93" spans="1:29" x14ac:dyDescent="0.15">
      <c r="A93" s="41" t="s">
        <v>5780</v>
      </c>
      <c r="B93" s="41" t="s">
        <v>5781</v>
      </c>
      <c r="C93" s="41" t="s">
        <v>6419</v>
      </c>
      <c r="D93" s="41">
        <v>34.200000000000003</v>
      </c>
      <c r="E93" s="41">
        <v>34.200000000000003</v>
      </c>
      <c r="F93" s="53">
        <v>0.77</v>
      </c>
      <c r="G93" s="41">
        <v>97</v>
      </c>
      <c r="H93" s="41">
        <v>100</v>
      </c>
      <c r="I93" s="41">
        <v>16542</v>
      </c>
      <c r="K93" s="41" t="s">
        <v>5782</v>
      </c>
      <c r="L93" s="41" t="s">
        <v>5574</v>
      </c>
      <c r="M93" s="41" t="str">
        <f>HYPERLINK("https://www.ncbi.nlm.nih.gov/nucleotide/OQ554150.1?report=genbank&amp;log$=nucltop&amp;blast_rank=88&amp;RID=K3RYFBUB014","OQ554150.1")</f>
        <v>OQ554150.1</v>
      </c>
      <c r="N93" s="41">
        <v>36.200000000000003</v>
      </c>
      <c r="O93" s="41">
        <v>36.200000000000003</v>
      </c>
      <c r="P93" s="53">
        <v>0.95</v>
      </c>
      <c r="Q93" s="41">
        <v>25</v>
      </c>
      <c r="R93" s="41">
        <v>100</v>
      </c>
      <c r="S93" s="41">
        <v>16386</v>
      </c>
      <c r="U93" s="38" t="s">
        <v>4564</v>
      </c>
      <c r="V93" s="38" t="s">
        <v>1992</v>
      </c>
      <c r="W93" s="38" t="str">
        <f>HYPERLINK("https://www.ncbi.nlm.nih.gov/nucleotide/PV710555.1?report=genbank&amp;log$=nucltop&amp;blast_rank=88&amp;RID=K3S1J64G014","PV710555.1")</f>
        <v>PV710555.1</v>
      </c>
      <c r="X93" s="38">
        <v>40.1</v>
      </c>
      <c r="Y93" s="38">
        <v>40.1</v>
      </c>
      <c r="Z93" s="55">
        <v>0.86</v>
      </c>
      <c r="AA93" s="38">
        <v>4.7</v>
      </c>
      <c r="AB93" s="38">
        <v>95.83</v>
      </c>
      <c r="AC93" s="38">
        <v>16513</v>
      </c>
    </row>
    <row r="94" spans="1:29" x14ac:dyDescent="0.15">
      <c r="A94" s="41" t="s">
        <v>5783</v>
      </c>
      <c r="B94" s="41" t="s">
        <v>5784</v>
      </c>
      <c r="C94" s="41" t="s">
        <v>6420</v>
      </c>
      <c r="D94" s="41">
        <v>34.200000000000003</v>
      </c>
      <c r="E94" s="41">
        <v>34.200000000000003</v>
      </c>
      <c r="F94" s="53">
        <v>0.77</v>
      </c>
      <c r="G94" s="41">
        <v>97</v>
      </c>
      <c r="H94" s="41">
        <v>100</v>
      </c>
      <c r="I94" s="41">
        <v>17020</v>
      </c>
      <c r="K94" s="41" t="s">
        <v>5785</v>
      </c>
      <c r="L94" s="41" t="s">
        <v>5574</v>
      </c>
      <c r="M94" s="41" t="str">
        <f>HYPERLINK("https://www.ncbi.nlm.nih.gov/nucleotide/OQ554031.1?report=genbank&amp;log$=nucltop&amp;blast_rank=89&amp;RID=K3RYFBUB014","OQ554031.1")</f>
        <v>OQ554031.1</v>
      </c>
      <c r="N94" s="41">
        <v>36.200000000000003</v>
      </c>
      <c r="O94" s="41">
        <v>36.200000000000003</v>
      </c>
      <c r="P94" s="53">
        <v>0.95</v>
      </c>
      <c r="Q94" s="41">
        <v>25</v>
      </c>
      <c r="R94" s="41">
        <v>100</v>
      </c>
      <c r="S94" s="41">
        <v>16386</v>
      </c>
      <c r="U94" s="38" t="s">
        <v>5786</v>
      </c>
      <c r="V94" s="38" t="s">
        <v>3684</v>
      </c>
      <c r="W94" s="38" t="str">
        <f>HYPERLINK("https://www.ncbi.nlm.nih.gov/nucleotide/OZ078588.2?report=genbank&amp;log$=nucltop&amp;blast_rank=89&amp;RID=K3S1J64G014","OZ078588.2")</f>
        <v>OZ078588.2</v>
      </c>
      <c r="X94" s="38">
        <v>40.1</v>
      </c>
      <c r="Y94" s="38">
        <v>40.1</v>
      </c>
      <c r="Z94" s="55">
        <v>0.71</v>
      </c>
      <c r="AA94" s="38">
        <v>4.7</v>
      </c>
      <c r="AB94" s="38">
        <v>100</v>
      </c>
      <c r="AC94" s="38">
        <v>14317773</v>
      </c>
    </row>
    <row r="95" spans="1:29" x14ac:dyDescent="0.15">
      <c r="A95" s="41" t="s">
        <v>5787</v>
      </c>
      <c r="B95" s="41" t="s">
        <v>5788</v>
      </c>
      <c r="C95" s="41" t="s">
        <v>6421</v>
      </c>
      <c r="D95" s="41">
        <v>34.200000000000003</v>
      </c>
      <c r="E95" s="41">
        <v>34.200000000000003</v>
      </c>
      <c r="F95" s="53">
        <v>0.77</v>
      </c>
      <c r="G95" s="41">
        <v>97</v>
      </c>
      <c r="H95" s="41">
        <v>100</v>
      </c>
      <c r="I95" s="41">
        <v>16455</v>
      </c>
      <c r="K95" s="41" t="s">
        <v>5789</v>
      </c>
      <c r="L95" s="41" t="s">
        <v>5574</v>
      </c>
      <c r="M95" s="41" t="str">
        <f>HYPERLINK("https://www.ncbi.nlm.nih.gov/nucleotide/OQ554117.1?report=genbank&amp;log$=nucltop&amp;blast_rank=90&amp;RID=K3RYFBUB014","OQ554117.1")</f>
        <v>OQ554117.1</v>
      </c>
      <c r="N95" s="41">
        <v>36.200000000000003</v>
      </c>
      <c r="O95" s="41">
        <v>36.200000000000003</v>
      </c>
      <c r="P95" s="53">
        <v>0.95</v>
      </c>
      <c r="Q95" s="41">
        <v>25</v>
      </c>
      <c r="R95" s="41">
        <v>100</v>
      </c>
      <c r="S95" s="41">
        <v>16386</v>
      </c>
      <c r="U95" s="38" t="s">
        <v>5790</v>
      </c>
      <c r="V95" s="38" t="s">
        <v>290</v>
      </c>
      <c r="W95" s="38" t="str">
        <f>HYPERLINK("https://www.ncbi.nlm.nih.gov/nucleotide/PX311187.1?report=genbank&amp;log$=nucltop&amp;blast_rank=90&amp;RID=K3S1J64G014","PX311187.1")</f>
        <v>PX311187.1</v>
      </c>
      <c r="X95" s="38">
        <v>40.1</v>
      </c>
      <c r="Y95" s="38">
        <v>40.1</v>
      </c>
      <c r="Z95" s="55">
        <v>1</v>
      </c>
      <c r="AA95" s="38">
        <v>4.7</v>
      </c>
      <c r="AB95" s="38">
        <v>92.86</v>
      </c>
      <c r="AC95" s="38">
        <v>975</v>
      </c>
    </row>
    <row r="96" spans="1:29" x14ac:dyDescent="0.15">
      <c r="A96" s="41" t="s">
        <v>5791</v>
      </c>
      <c r="B96" s="41" t="s">
        <v>5792</v>
      </c>
      <c r="C96" s="41" t="s">
        <v>6422</v>
      </c>
      <c r="D96" s="41">
        <v>34.200000000000003</v>
      </c>
      <c r="E96" s="41">
        <v>34.200000000000003</v>
      </c>
      <c r="F96" s="53">
        <v>0.77</v>
      </c>
      <c r="G96" s="41">
        <v>97</v>
      </c>
      <c r="H96" s="41">
        <v>100</v>
      </c>
      <c r="I96" s="41">
        <v>17067</v>
      </c>
      <c r="K96" s="41" t="s">
        <v>5793</v>
      </c>
      <c r="L96" s="41" t="s">
        <v>5574</v>
      </c>
      <c r="M96" s="41" t="str">
        <f>HYPERLINK("https://www.ncbi.nlm.nih.gov/nucleotide/OQ554219.1?report=genbank&amp;log$=nucltop&amp;blast_rank=91&amp;RID=K3RYFBUB014","OQ554219.1")</f>
        <v>OQ554219.1</v>
      </c>
      <c r="N96" s="41">
        <v>36.200000000000003</v>
      </c>
      <c r="O96" s="41">
        <v>36.200000000000003</v>
      </c>
      <c r="P96" s="53">
        <v>0.95</v>
      </c>
      <c r="Q96" s="41">
        <v>25</v>
      </c>
      <c r="R96" s="41">
        <v>100</v>
      </c>
      <c r="S96" s="41">
        <v>16386</v>
      </c>
      <c r="U96" s="38" t="s">
        <v>5794</v>
      </c>
      <c r="V96" s="38" t="s">
        <v>2008</v>
      </c>
      <c r="W96" s="38" t="str">
        <f>HYPERLINK("https://www.ncbi.nlm.nih.gov/nucleotide/AB915408.1?report=genbank&amp;log$=nucltop&amp;blast_rank=91&amp;RID=K3S1J64G014","AB915408.1")</f>
        <v>AB915408.1</v>
      </c>
      <c r="X96" s="38">
        <v>40.1</v>
      </c>
      <c r="Y96" s="38">
        <v>40.1</v>
      </c>
      <c r="Z96" s="55">
        <v>1</v>
      </c>
      <c r="AA96" s="38">
        <v>4.7</v>
      </c>
      <c r="AB96" s="38">
        <v>92.86</v>
      </c>
      <c r="AC96" s="38">
        <v>795</v>
      </c>
    </row>
    <row r="97" spans="1:29" x14ac:dyDescent="0.15">
      <c r="A97" s="57" t="s">
        <v>5795</v>
      </c>
      <c r="B97" s="57" t="s">
        <v>69</v>
      </c>
      <c r="C97" s="41" t="s">
        <v>6423</v>
      </c>
      <c r="D97" s="41">
        <v>34.200000000000003</v>
      </c>
      <c r="E97" s="41">
        <v>34.200000000000003</v>
      </c>
      <c r="F97" s="53">
        <v>0.95</v>
      </c>
      <c r="G97" s="41">
        <v>97</v>
      </c>
      <c r="H97" s="41">
        <v>95.24</v>
      </c>
      <c r="I97" s="41">
        <v>975</v>
      </c>
      <c r="K97" s="41" t="s">
        <v>5796</v>
      </c>
      <c r="L97" s="41" t="s">
        <v>5574</v>
      </c>
      <c r="M97" s="41" t="str">
        <f>HYPERLINK("https://www.ncbi.nlm.nih.gov/nucleotide/MW316256.1?report=genbank&amp;log$=nucltop&amp;blast_rank=92&amp;RID=K3RYFBUB014","MW316256.1")</f>
        <v>MW316256.1</v>
      </c>
      <c r="N97" s="41">
        <v>36.200000000000003</v>
      </c>
      <c r="O97" s="41">
        <v>36.200000000000003</v>
      </c>
      <c r="P97" s="53">
        <v>0.95</v>
      </c>
      <c r="Q97" s="41">
        <v>25</v>
      </c>
      <c r="R97" s="41">
        <v>100</v>
      </c>
      <c r="S97" s="41">
        <v>16386</v>
      </c>
      <c r="U97" s="38" t="s">
        <v>5797</v>
      </c>
      <c r="V97" s="38" t="s">
        <v>2018</v>
      </c>
      <c r="W97" s="38" t="str">
        <f>HYPERLINK("https://www.ncbi.nlm.nih.gov/nucleotide/EF521344.1?report=genbank&amp;log$=nucltop&amp;blast_rank=92&amp;RID=K3S1J64G014","EF521344.1")</f>
        <v>EF521344.1</v>
      </c>
      <c r="X97" s="38">
        <v>40.1</v>
      </c>
      <c r="Y97" s="38">
        <v>40.1</v>
      </c>
      <c r="Z97" s="55">
        <v>1</v>
      </c>
      <c r="AA97" s="38">
        <v>4.7</v>
      </c>
      <c r="AB97" s="38">
        <v>92.86</v>
      </c>
      <c r="AC97" s="38">
        <v>488</v>
      </c>
    </row>
    <row r="98" spans="1:29" x14ac:dyDescent="0.15">
      <c r="A98" s="41" t="s">
        <v>5791</v>
      </c>
      <c r="B98" s="41" t="s">
        <v>5792</v>
      </c>
      <c r="C98" s="41" t="s">
        <v>6424</v>
      </c>
      <c r="D98" s="41">
        <v>34.200000000000003</v>
      </c>
      <c r="E98" s="41">
        <v>34.200000000000003</v>
      </c>
      <c r="F98" s="53">
        <v>0.77</v>
      </c>
      <c r="G98" s="41">
        <v>97</v>
      </c>
      <c r="H98" s="41">
        <v>100</v>
      </c>
      <c r="I98" s="41">
        <v>17068</v>
      </c>
      <c r="K98" s="41" t="s">
        <v>5798</v>
      </c>
      <c r="L98" s="41" t="s">
        <v>5574</v>
      </c>
      <c r="M98" s="41" t="str">
        <f>HYPERLINK("https://www.ncbi.nlm.nih.gov/nucleotide/MW316222.1?report=genbank&amp;log$=nucltop&amp;blast_rank=93&amp;RID=K3RYFBUB014","MW316222.1")</f>
        <v>MW316222.1</v>
      </c>
      <c r="N98" s="41">
        <v>36.200000000000003</v>
      </c>
      <c r="O98" s="41">
        <v>36.200000000000003</v>
      </c>
      <c r="P98" s="53">
        <v>0.95</v>
      </c>
      <c r="Q98" s="41">
        <v>25</v>
      </c>
      <c r="R98" s="41">
        <v>100</v>
      </c>
      <c r="S98" s="41">
        <v>16383</v>
      </c>
      <c r="U98" s="38" t="s">
        <v>5799</v>
      </c>
      <c r="V98" s="38" t="s">
        <v>5800</v>
      </c>
      <c r="W98" s="38" t="str">
        <f>HYPERLINK("https://www.ncbi.nlm.nih.gov/nucleotide/PX070029.1?report=genbank&amp;log$=nucltop&amp;blast_rank=93&amp;RID=K3S1J64G014","PX070029.1")</f>
        <v>PX070029.1</v>
      </c>
      <c r="X98" s="38">
        <v>40.1</v>
      </c>
      <c r="Y98" s="38">
        <v>40.1</v>
      </c>
      <c r="Z98" s="55">
        <v>0.86</v>
      </c>
      <c r="AA98" s="38">
        <v>4.7</v>
      </c>
      <c r="AB98" s="38">
        <v>95.83</v>
      </c>
      <c r="AC98" s="38">
        <v>16432</v>
      </c>
    </row>
    <row r="99" spans="1:29" x14ac:dyDescent="0.15">
      <c r="A99" s="41" t="s">
        <v>5801</v>
      </c>
      <c r="B99" s="41" t="s">
        <v>4169</v>
      </c>
      <c r="C99" s="41" t="s">
        <v>6425</v>
      </c>
      <c r="D99" s="41">
        <v>34.200000000000003</v>
      </c>
      <c r="E99" s="41">
        <v>34.200000000000003</v>
      </c>
      <c r="F99" s="53">
        <v>0.77</v>
      </c>
      <c r="G99" s="41">
        <v>97</v>
      </c>
      <c r="H99" s="41">
        <v>100</v>
      </c>
      <c r="I99" s="41">
        <v>4932</v>
      </c>
      <c r="K99" s="41" t="s">
        <v>5802</v>
      </c>
      <c r="L99" s="41" t="s">
        <v>5574</v>
      </c>
      <c r="M99" s="41" t="str">
        <f>HYPERLINK("https://www.ncbi.nlm.nih.gov/nucleotide/OQ554043.1?report=genbank&amp;log$=nucltop&amp;blast_rank=94&amp;RID=K3RYFBUB014","OQ554043.1")</f>
        <v>OQ554043.1</v>
      </c>
      <c r="N99" s="41">
        <v>36.200000000000003</v>
      </c>
      <c r="O99" s="41">
        <v>36.200000000000003</v>
      </c>
      <c r="P99" s="53">
        <v>0.95</v>
      </c>
      <c r="Q99" s="41">
        <v>25</v>
      </c>
      <c r="R99" s="41">
        <v>100</v>
      </c>
      <c r="S99" s="41">
        <v>16387</v>
      </c>
      <c r="U99" s="38" t="s">
        <v>5803</v>
      </c>
      <c r="V99" s="38" t="s">
        <v>5804</v>
      </c>
      <c r="W99" s="38" t="str">
        <f>HYPERLINK("https://www.ncbi.nlm.nih.gov/nucleotide/MT635668.1?report=genbank&amp;log$=nucltop&amp;blast_rank=94&amp;RID=K3S1J64G014","MT635668.1")</f>
        <v>MT635668.1</v>
      </c>
      <c r="X99" s="38">
        <v>40.1</v>
      </c>
      <c r="Y99" s="38">
        <v>40.1</v>
      </c>
      <c r="Z99" s="55">
        <v>0.86</v>
      </c>
      <c r="AA99" s="38">
        <v>4.7</v>
      </c>
      <c r="AB99" s="38">
        <v>95.83</v>
      </c>
      <c r="AC99" s="38">
        <v>903</v>
      </c>
    </row>
    <row r="100" spans="1:29" x14ac:dyDescent="0.15">
      <c r="A100" s="41" t="s">
        <v>5805</v>
      </c>
      <c r="B100" s="41" t="s">
        <v>5806</v>
      </c>
      <c r="C100" s="41" t="s">
        <v>6426</v>
      </c>
      <c r="D100" s="41">
        <v>34.200000000000003</v>
      </c>
      <c r="E100" s="41">
        <v>34.200000000000003</v>
      </c>
      <c r="F100" s="53">
        <v>0.77</v>
      </c>
      <c r="G100" s="41">
        <v>97</v>
      </c>
      <c r="H100" s="41">
        <v>100</v>
      </c>
      <c r="I100" s="41">
        <v>1675552</v>
      </c>
      <c r="K100" s="41" t="s">
        <v>5807</v>
      </c>
      <c r="L100" s="41" t="s">
        <v>5574</v>
      </c>
      <c r="M100" s="41" t="str">
        <f>HYPERLINK("https://www.ncbi.nlm.nih.gov/nucleotide/OQ554268.1?report=genbank&amp;log$=nucltop&amp;blast_rank=95&amp;RID=K3RYFBUB014","OQ554268.1")</f>
        <v>OQ554268.1</v>
      </c>
      <c r="N100" s="41">
        <v>36.200000000000003</v>
      </c>
      <c r="O100" s="41">
        <v>36.200000000000003</v>
      </c>
      <c r="P100" s="53">
        <v>0.95</v>
      </c>
      <c r="Q100" s="41">
        <v>25</v>
      </c>
      <c r="R100" s="41">
        <v>100</v>
      </c>
      <c r="S100" s="41">
        <v>16386</v>
      </c>
      <c r="U100" s="38" t="s">
        <v>5808</v>
      </c>
      <c r="V100" s="38" t="s">
        <v>5722</v>
      </c>
      <c r="W100" s="38" t="str">
        <f>HYPERLINK("https://www.ncbi.nlm.nih.gov/nucleotide/KX762050.1?report=genbank&amp;log$=nucltop&amp;blast_rank=95&amp;RID=K3S1J64G014","KX762050.1")</f>
        <v>KX762050.1</v>
      </c>
      <c r="X100" s="38">
        <v>40.1</v>
      </c>
      <c r="Y100" s="38">
        <v>40.1</v>
      </c>
      <c r="Z100" s="55">
        <v>1</v>
      </c>
      <c r="AA100" s="38">
        <v>4.7</v>
      </c>
      <c r="AB100" s="38">
        <v>92.86</v>
      </c>
      <c r="AC100" s="38">
        <v>16518</v>
      </c>
    </row>
    <row r="101" spans="1:29" x14ac:dyDescent="0.15">
      <c r="A101" s="41" t="s">
        <v>5809</v>
      </c>
      <c r="B101" s="41" t="s">
        <v>5810</v>
      </c>
      <c r="C101" s="41" t="s">
        <v>6427</v>
      </c>
      <c r="D101" s="41">
        <v>34.200000000000003</v>
      </c>
      <c r="E101" s="41">
        <v>34.200000000000003</v>
      </c>
      <c r="F101" s="53">
        <v>0.95</v>
      </c>
      <c r="G101" s="41">
        <v>97</v>
      </c>
      <c r="H101" s="41">
        <v>95.24</v>
      </c>
      <c r="I101" s="41">
        <v>16405</v>
      </c>
      <c r="K101" s="41" t="s">
        <v>5811</v>
      </c>
      <c r="L101" s="41" t="s">
        <v>5574</v>
      </c>
      <c r="M101" s="41" t="str">
        <f>HYPERLINK("https://www.ncbi.nlm.nih.gov/nucleotide/OQ554109.1?report=genbank&amp;log$=nucltop&amp;blast_rank=96&amp;RID=K3RYFBUB014","OQ554109.1")</f>
        <v>OQ554109.1</v>
      </c>
      <c r="N101" s="41">
        <v>36.200000000000003</v>
      </c>
      <c r="O101" s="41">
        <v>36.200000000000003</v>
      </c>
      <c r="P101" s="53">
        <v>0.95</v>
      </c>
      <c r="Q101" s="41">
        <v>25</v>
      </c>
      <c r="R101" s="41">
        <v>100</v>
      </c>
      <c r="S101" s="41">
        <v>16386</v>
      </c>
      <c r="U101" s="38" t="s">
        <v>5812</v>
      </c>
      <c r="V101" s="38" t="s">
        <v>1998</v>
      </c>
      <c r="W101" s="38" t="str">
        <f>HYPERLINK("https://www.ncbi.nlm.nih.gov/nucleotide/AB915406.1?report=genbank&amp;log$=nucltop&amp;blast_rank=96&amp;RID=K3S1J64G014","AB915406.1")</f>
        <v>AB915406.1</v>
      </c>
      <c r="X101" s="38">
        <v>40.1</v>
      </c>
      <c r="Y101" s="38">
        <v>40.1</v>
      </c>
      <c r="Z101" s="55">
        <v>1</v>
      </c>
      <c r="AA101" s="38">
        <v>4.7</v>
      </c>
      <c r="AB101" s="38">
        <v>92.86</v>
      </c>
      <c r="AC101" s="38">
        <v>795</v>
      </c>
    </row>
    <row r="102" spans="1:29" x14ac:dyDescent="0.15">
      <c r="A102" s="41" t="s">
        <v>5813</v>
      </c>
      <c r="B102" s="41" t="s">
        <v>5814</v>
      </c>
      <c r="C102" s="41" t="s">
        <v>6428</v>
      </c>
      <c r="D102" s="41">
        <v>34.200000000000003</v>
      </c>
      <c r="E102" s="41">
        <v>34.200000000000003</v>
      </c>
      <c r="F102" s="53">
        <v>0.95</v>
      </c>
      <c r="G102" s="41">
        <v>97</v>
      </c>
      <c r="H102" s="41">
        <v>95.24</v>
      </c>
      <c r="I102" s="41">
        <v>17062</v>
      </c>
      <c r="K102" s="41" t="s">
        <v>5815</v>
      </c>
      <c r="L102" s="41" t="s">
        <v>5574</v>
      </c>
      <c r="M102" s="41" t="str">
        <f>HYPERLINK("https://www.ncbi.nlm.nih.gov/nucleotide/MW316285.1?report=genbank&amp;log$=nucltop&amp;blast_rank=97&amp;RID=K3RYFBUB014","MW316285.1")</f>
        <v>MW316285.1</v>
      </c>
      <c r="N102" s="41">
        <v>36.200000000000003</v>
      </c>
      <c r="O102" s="41">
        <v>36.200000000000003</v>
      </c>
      <c r="P102" s="53">
        <v>0.95</v>
      </c>
      <c r="Q102" s="41">
        <v>25</v>
      </c>
      <c r="R102" s="41">
        <v>100</v>
      </c>
      <c r="S102" s="41">
        <v>16385</v>
      </c>
      <c r="U102" s="38" t="s">
        <v>5647</v>
      </c>
      <c r="V102" s="38" t="s">
        <v>5648</v>
      </c>
      <c r="W102" s="38" t="str">
        <f>HYPERLINK("https://www.ncbi.nlm.nih.gov/nucleotide/MT897993.1?report=genbank&amp;log$=nucltop&amp;blast_rank=97&amp;RID=K3S1J64G014","MT897993.1")</f>
        <v>MT897993.1</v>
      </c>
      <c r="X102" s="38">
        <v>40.1</v>
      </c>
      <c r="Y102" s="38">
        <v>40.1</v>
      </c>
      <c r="Z102" s="55">
        <v>0.86</v>
      </c>
      <c r="AA102" s="38">
        <v>4.7</v>
      </c>
      <c r="AB102" s="38">
        <v>95.83</v>
      </c>
      <c r="AC102" s="38">
        <v>16525</v>
      </c>
    </row>
    <row r="103" spans="1:29" x14ac:dyDescent="0.15">
      <c r="A103" s="41" t="s">
        <v>5816</v>
      </c>
      <c r="B103" s="41" t="s">
        <v>5817</v>
      </c>
      <c r="C103" s="41" t="s">
        <v>6429</v>
      </c>
      <c r="D103" s="41">
        <v>34.200000000000003</v>
      </c>
      <c r="E103" s="41">
        <v>34.200000000000003</v>
      </c>
      <c r="F103" s="53">
        <v>0.77</v>
      </c>
      <c r="G103" s="41">
        <v>97</v>
      </c>
      <c r="H103" s="41">
        <v>100</v>
      </c>
      <c r="I103" s="41">
        <v>16895</v>
      </c>
      <c r="K103" s="41" t="s">
        <v>5818</v>
      </c>
      <c r="L103" s="41" t="s">
        <v>5574</v>
      </c>
      <c r="M103" s="41" t="str">
        <f>HYPERLINK("https://www.ncbi.nlm.nih.gov/nucleotide/MW316286.1?report=genbank&amp;log$=nucltop&amp;blast_rank=98&amp;RID=K3RYFBUB014","MW316286.1")</f>
        <v>MW316286.1</v>
      </c>
      <c r="N103" s="41">
        <v>36.200000000000003</v>
      </c>
      <c r="O103" s="41">
        <v>36.200000000000003</v>
      </c>
      <c r="P103" s="53">
        <v>0.95</v>
      </c>
      <c r="Q103" s="41">
        <v>25</v>
      </c>
      <c r="R103" s="41">
        <v>100</v>
      </c>
      <c r="S103" s="41">
        <v>16386</v>
      </c>
      <c r="U103" s="38" t="s">
        <v>5819</v>
      </c>
      <c r="V103" s="38" t="s">
        <v>5738</v>
      </c>
      <c r="W103" s="38" t="str">
        <f>HYPERLINK("https://www.ncbi.nlm.nih.gov/nucleotide/NC_022477.1?report=genbank&amp;log$=nucltop&amp;blast_rank=98&amp;RID=K3S1J64G014","NC_022477.1")</f>
        <v>NC_022477.1</v>
      </c>
      <c r="X103" s="38">
        <v>40.1</v>
      </c>
      <c r="Y103" s="38">
        <v>40.1</v>
      </c>
      <c r="Z103" s="55">
        <v>0.86</v>
      </c>
      <c r="AA103" s="38">
        <v>4.7</v>
      </c>
      <c r="AB103" s="38">
        <v>95.83</v>
      </c>
      <c r="AC103" s="38">
        <v>16661</v>
      </c>
    </row>
    <row r="104" spans="1:29" x14ac:dyDescent="0.15">
      <c r="A104" s="41" t="s">
        <v>5820</v>
      </c>
      <c r="B104" s="41" t="s">
        <v>5045</v>
      </c>
      <c r="C104" s="41" t="s">
        <v>6430</v>
      </c>
      <c r="D104" s="41">
        <v>34.200000000000003</v>
      </c>
      <c r="E104" s="41">
        <v>34.200000000000003</v>
      </c>
      <c r="F104" s="53">
        <v>0.77</v>
      </c>
      <c r="G104" s="41">
        <v>97</v>
      </c>
      <c r="H104" s="41">
        <v>100</v>
      </c>
      <c r="I104" s="41">
        <v>12095249</v>
      </c>
      <c r="K104" s="41" t="s">
        <v>5821</v>
      </c>
      <c r="L104" s="41" t="s">
        <v>5574</v>
      </c>
      <c r="M104" s="41" t="str">
        <f>HYPERLINK("https://www.ncbi.nlm.nih.gov/nucleotide/OQ554154.1?report=genbank&amp;log$=nucltop&amp;blast_rank=99&amp;RID=K3RYFBUB014","OQ554154.1")</f>
        <v>OQ554154.1</v>
      </c>
      <c r="N104" s="41">
        <v>36.200000000000003</v>
      </c>
      <c r="O104" s="41">
        <v>36.200000000000003</v>
      </c>
      <c r="P104" s="53">
        <v>0.95</v>
      </c>
      <c r="Q104" s="41">
        <v>25</v>
      </c>
      <c r="R104" s="41">
        <v>100</v>
      </c>
      <c r="S104" s="41">
        <v>16386</v>
      </c>
      <c r="U104" s="38" t="s">
        <v>5822</v>
      </c>
      <c r="V104" s="38" t="s">
        <v>2030</v>
      </c>
      <c r="W104" s="38" t="str">
        <f>HYPERLINK("https://www.ncbi.nlm.nih.gov/nucleotide/NC_056963.1?report=genbank&amp;log$=nucltop&amp;blast_rank=99&amp;RID=K3S1J64G014","NC_056963.1")</f>
        <v>NC_056963.1</v>
      </c>
      <c r="X104" s="38">
        <v>40.1</v>
      </c>
      <c r="Y104" s="38">
        <v>40.1</v>
      </c>
      <c r="Z104" s="55">
        <v>0.86</v>
      </c>
      <c r="AA104" s="38">
        <v>4.7</v>
      </c>
      <c r="AB104" s="38">
        <v>95.83</v>
      </c>
      <c r="AC104" s="38">
        <v>16488</v>
      </c>
    </row>
    <row r="105" spans="1:29" x14ac:dyDescent="0.15">
      <c r="A105" s="41" t="s">
        <v>5823</v>
      </c>
      <c r="B105" s="41" t="s">
        <v>5824</v>
      </c>
      <c r="C105" s="41" t="s">
        <v>6431</v>
      </c>
      <c r="D105" s="41">
        <v>34.200000000000003</v>
      </c>
      <c r="E105" s="41">
        <v>34.200000000000003</v>
      </c>
      <c r="F105" s="53">
        <v>0.77</v>
      </c>
      <c r="G105" s="41">
        <v>97</v>
      </c>
      <c r="H105" s="41">
        <v>100</v>
      </c>
      <c r="I105" s="41">
        <v>2056</v>
      </c>
      <c r="K105" s="41" t="s">
        <v>5825</v>
      </c>
      <c r="L105" s="41" t="s">
        <v>5574</v>
      </c>
      <c r="M105" s="41" t="str">
        <f>HYPERLINK("https://www.ncbi.nlm.nih.gov/nucleotide/OQ554248.1?report=genbank&amp;log$=nucltop&amp;blast_rank=100&amp;RID=K3RYFBUB014","OQ554248.1")</f>
        <v>OQ554248.1</v>
      </c>
      <c r="N105" s="41">
        <v>36.200000000000003</v>
      </c>
      <c r="O105" s="41">
        <v>36.200000000000003</v>
      </c>
      <c r="P105" s="53">
        <v>0.95</v>
      </c>
      <c r="Q105" s="41">
        <v>25</v>
      </c>
      <c r="R105" s="41">
        <v>100</v>
      </c>
      <c r="S105" s="41">
        <v>16386</v>
      </c>
      <c r="U105" s="38" t="s">
        <v>5612</v>
      </c>
      <c r="V105" s="38" t="s">
        <v>5613</v>
      </c>
      <c r="W105" s="38" t="str">
        <f>HYPERLINK("https://www.ncbi.nlm.nih.gov/nucleotide/OL688779.1?report=genbank&amp;log$=nucltop&amp;blast_rank=100&amp;RID=K3S1J64G014","OL688779.1")</f>
        <v>OL688779.1</v>
      </c>
      <c r="X105" s="38">
        <v>40.1</v>
      </c>
      <c r="Y105" s="38">
        <v>40.1</v>
      </c>
      <c r="Z105" s="55">
        <v>1</v>
      </c>
      <c r="AA105" s="38">
        <v>4.7</v>
      </c>
      <c r="AB105" s="38">
        <v>92.86</v>
      </c>
      <c r="AC105" s="38">
        <v>16536</v>
      </c>
    </row>
    <row r="106" spans="1:29" x14ac:dyDescent="0.15">
      <c r="A106" s="41" t="s">
        <v>5826</v>
      </c>
      <c r="B106" s="41" t="s">
        <v>5827</v>
      </c>
      <c r="C106" s="41" t="s">
        <v>6432</v>
      </c>
      <c r="D106" s="41">
        <v>34.200000000000003</v>
      </c>
      <c r="E106" s="41">
        <v>34.200000000000003</v>
      </c>
      <c r="F106" s="53">
        <v>0.77</v>
      </c>
      <c r="G106" s="41">
        <v>97</v>
      </c>
      <c r="H106" s="41">
        <v>100</v>
      </c>
      <c r="I106" s="41">
        <v>12953</v>
      </c>
      <c r="K106" s="41" t="s">
        <v>5828</v>
      </c>
      <c r="L106" s="41" t="s">
        <v>5574</v>
      </c>
      <c r="M106" s="41" t="str">
        <f>HYPERLINK("https://www.ncbi.nlm.nih.gov/nucleotide/MW316175.1?report=genbank&amp;log$=nucltop&amp;blast_rank=101&amp;RID=K3RYFBUB014","MW316175.1")</f>
        <v>MW316175.1</v>
      </c>
      <c r="N106" s="41">
        <v>36.200000000000003</v>
      </c>
      <c r="O106" s="41">
        <v>36.200000000000003</v>
      </c>
      <c r="P106" s="53">
        <v>0.95</v>
      </c>
      <c r="Q106" s="41">
        <v>25</v>
      </c>
      <c r="R106" s="41">
        <v>100</v>
      </c>
      <c r="S106" s="41">
        <v>16386</v>
      </c>
      <c r="U106" s="38" t="s">
        <v>4602</v>
      </c>
      <c r="V106" s="38" t="s">
        <v>1992</v>
      </c>
      <c r="W106" s="38" t="str">
        <f>HYPERLINK("https://www.ncbi.nlm.nih.gov/nucleotide/PV710545.1?report=genbank&amp;log$=nucltop&amp;blast_rank=101&amp;RID=K3S1J64G014","PV710545.1")</f>
        <v>PV710545.1</v>
      </c>
      <c r="X106" s="38">
        <v>40.1</v>
      </c>
      <c r="Y106" s="38">
        <v>40.1</v>
      </c>
      <c r="Z106" s="55">
        <v>0.86</v>
      </c>
      <c r="AA106" s="38">
        <v>4.7</v>
      </c>
      <c r="AB106" s="38">
        <v>95.83</v>
      </c>
      <c r="AC106" s="38">
        <v>16513</v>
      </c>
    </row>
    <row r="107" spans="1:29" x14ac:dyDescent="0.15">
      <c r="A107" s="41" t="s">
        <v>5829</v>
      </c>
      <c r="B107" s="41" t="s">
        <v>5830</v>
      </c>
      <c r="C107" s="41" t="s">
        <v>6433</v>
      </c>
      <c r="D107" s="41">
        <v>34.200000000000003</v>
      </c>
      <c r="E107" s="41">
        <v>34.200000000000003</v>
      </c>
      <c r="F107" s="53">
        <v>0.77</v>
      </c>
      <c r="G107" s="41">
        <v>97</v>
      </c>
      <c r="H107" s="41">
        <v>100</v>
      </c>
      <c r="I107" s="41">
        <v>7367</v>
      </c>
      <c r="K107" s="41" t="s">
        <v>5831</v>
      </c>
      <c r="L107" s="41" t="s">
        <v>5574</v>
      </c>
      <c r="M107" s="41" t="str">
        <f>HYPERLINK("https://www.ncbi.nlm.nih.gov/nucleotide/MW316238.1?report=genbank&amp;log$=nucltop&amp;blast_rank=102&amp;RID=K3RYFBUB014","MW316238.1")</f>
        <v>MW316238.1</v>
      </c>
      <c r="N107" s="41">
        <v>36.200000000000003</v>
      </c>
      <c r="O107" s="41">
        <v>36.200000000000003</v>
      </c>
      <c r="P107" s="53">
        <v>0.95</v>
      </c>
      <c r="Q107" s="41">
        <v>25</v>
      </c>
      <c r="R107" s="41">
        <v>100</v>
      </c>
      <c r="S107" s="41">
        <v>16382</v>
      </c>
      <c r="U107" s="38" t="s">
        <v>5832</v>
      </c>
      <c r="V107" s="38" t="s">
        <v>2053</v>
      </c>
      <c r="W107" s="38" t="str">
        <f>HYPERLINK("https://www.ncbi.nlm.nih.gov/nucleotide/KY563344.1?report=genbank&amp;log$=nucltop&amp;blast_rank=102&amp;RID=K3S1J64G014","KY563344.1")</f>
        <v>KY563344.1</v>
      </c>
      <c r="X107" s="38">
        <v>40.1</v>
      </c>
      <c r="Y107" s="38">
        <v>40.1</v>
      </c>
      <c r="Z107" s="55">
        <v>1</v>
      </c>
      <c r="AA107" s="38">
        <v>4.7</v>
      </c>
      <c r="AB107" s="38">
        <v>92.86</v>
      </c>
      <c r="AC107" s="38">
        <v>16519</v>
      </c>
    </row>
    <row r="108" spans="1:29" x14ac:dyDescent="0.15">
      <c r="A108" s="41" t="s">
        <v>5833</v>
      </c>
      <c r="B108" s="41" t="s">
        <v>5834</v>
      </c>
      <c r="C108" s="41" t="s">
        <v>6434</v>
      </c>
      <c r="D108" s="41">
        <v>34.200000000000003</v>
      </c>
      <c r="E108" s="41">
        <v>34.200000000000003</v>
      </c>
      <c r="F108" s="53">
        <v>0.77</v>
      </c>
      <c r="G108" s="41">
        <v>97</v>
      </c>
      <c r="H108" s="41">
        <v>100</v>
      </c>
      <c r="I108" s="41">
        <v>16624</v>
      </c>
      <c r="K108" s="41" t="s">
        <v>5835</v>
      </c>
      <c r="L108" s="41" t="s">
        <v>5574</v>
      </c>
      <c r="M108" s="41" t="str">
        <f>HYPERLINK("https://www.ncbi.nlm.nih.gov/nucleotide/OQ554192.1?report=genbank&amp;log$=nucltop&amp;blast_rank=103&amp;RID=K3RYFBUB014","OQ554192.1")</f>
        <v>OQ554192.1</v>
      </c>
      <c r="N108" s="41">
        <v>36.200000000000003</v>
      </c>
      <c r="O108" s="41">
        <v>36.200000000000003</v>
      </c>
      <c r="P108" s="53">
        <v>0.95</v>
      </c>
      <c r="Q108" s="41">
        <v>25</v>
      </c>
      <c r="R108" s="41">
        <v>100</v>
      </c>
      <c r="S108" s="41">
        <v>16386</v>
      </c>
      <c r="U108" s="38" t="s">
        <v>5758</v>
      </c>
      <c r="V108" s="38" t="s">
        <v>5759</v>
      </c>
      <c r="W108" s="38" t="str">
        <f>HYPERLINK("https://www.ncbi.nlm.nih.gov/nucleotide/NC_066916.1?report=genbank&amp;log$=nucltop&amp;blast_rank=103&amp;RID=K3S1J64G014","NC_066916.1")</f>
        <v>NC_066916.1</v>
      </c>
      <c r="X108" s="38">
        <v>40.1</v>
      </c>
      <c r="Y108" s="38">
        <v>40.1</v>
      </c>
      <c r="Z108" s="55">
        <v>1</v>
      </c>
      <c r="AA108" s="38">
        <v>4.7</v>
      </c>
      <c r="AB108" s="38">
        <v>92.86</v>
      </c>
      <c r="AC108" s="38">
        <v>16529</v>
      </c>
    </row>
    <row r="109" spans="1:29" x14ac:dyDescent="0.15">
      <c r="A109" s="41" t="s">
        <v>5836</v>
      </c>
      <c r="B109" s="41" t="s">
        <v>3223</v>
      </c>
      <c r="C109" s="41" t="s">
        <v>6435</v>
      </c>
      <c r="D109" s="41">
        <v>34.200000000000003</v>
      </c>
      <c r="E109" s="41">
        <v>34.200000000000003</v>
      </c>
      <c r="F109" s="53">
        <v>0.77</v>
      </c>
      <c r="G109" s="41">
        <v>97</v>
      </c>
      <c r="H109" s="41">
        <v>100</v>
      </c>
      <c r="I109" s="41">
        <v>34685711</v>
      </c>
      <c r="K109" s="41" t="s">
        <v>5837</v>
      </c>
      <c r="L109" s="41" t="s">
        <v>5574</v>
      </c>
      <c r="M109" s="41" t="str">
        <f>HYPERLINK("https://www.ncbi.nlm.nih.gov/nucleotide/MW316209.1?report=genbank&amp;log$=nucltop&amp;blast_rank=104&amp;RID=K3RYFBUB014","MW316209.1")</f>
        <v>MW316209.1</v>
      </c>
      <c r="N109" s="41">
        <v>36.200000000000003</v>
      </c>
      <c r="O109" s="41">
        <v>36.200000000000003</v>
      </c>
      <c r="P109" s="53">
        <v>0.95</v>
      </c>
      <c r="Q109" s="41">
        <v>25</v>
      </c>
      <c r="R109" s="41">
        <v>100</v>
      </c>
      <c r="S109" s="41">
        <v>16384</v>
      </c>
      <c r="U109" s="38" t="s">
        <v>5838</v>
      </c>
      <c r="V109" s="38" t="s">
        <v>3284</v>
      </c>
      <c r="W109" s="38" t="str">
        <f>HYPERLINK("https://www.ncbi.nlm.nih.gov/nucleotide/NC_023470.1?report=genbank&amp;log$=nucltop&amp;blast_rank=104&amp;RID=K3S1J64G014","NC_023470.1")</f>
        <v>NC_023470.1</v>
      </c>
      <c r="X109" s="38">
        <v>40.1</v>
      </c>
      <c r="Y109" s="38">
        <v>40.1</v>
      </c>
      <c r="Z109" s="55">
        <v>0.86</v>
      </c>
      <c r="AA109" s="38">
        <v>4.7</v>
      </c>
      <c r="AB109" s="38">
        <v>95.83</v>
      </c>
      <c r="AC109" s="38">
        <v>16577</v>
      </c>
    </row>
    <row r="110" spans="1:29" x14ac:dyDescent="0.15">
      <c r="A110" s="41" t="s">
        <v>5839</v>
      </c>
      <c r="B110" s="41" t="s">
        <v>5840</v>
      </c>
      <c r="C110" s="41" t="s">
        <v>6436</v>
      </c>
      <c r="D110" s="41">
        <v>34.200000000000003</v>
      </c>
      <c r="E110" s="41">
        <v>34.200000000000003</v>
      </c>
      <c r="F110" s="53">
        <v>0.95</v>
      </c>
      <c r="G110" s="41">
        <v>97</v>
      </c>
      <c r="H110" s="41">
        <v>95.24</v>
      </c>
      <c r="I110" s="41">
        <v>16512</v>
      </c>
      <c r="K110" s="41" t="s">
        <v>5841</v>
      </c>
      <c r="L110" s="41" t="s">
        <v>5574</v>
      </c>
      <c r="M110" s="41" t="str">
        <f>HYPERLINK("https://www.ncbi.nlm.nih.gov/nucleotide/OQ554041.1?report=genbank&amp;log$=nucltop&amp;blast_rank=105&amp;RID=K3RYFBUB014","OQ554041.1")</f>
        <v>OQ554041.1</v>
      </c>
      <c r="N110" s="41">
        <v>36.200000000000003</v>
      </c>
      <c r="O110" s="41">
        <v>36.200000000000003</v>
      </c>
      <c r="P110" s="53">
        <v>0.95</v>
      </c>
      <c r="Q110" s="41">
        <v>25</v>
      </c>
      <c r="R110" s="41">
        <v>100</v>
      </c>
      <c r="S110" s="41">
        <v>16386</v>
      </c>
      <c r="U110" s="38" t="s">
        <v>5538</v>
      </c>
      <c r="V110" s="38" t="s">
        <v>5539</v>
      </c>
      <c r="W110" s="38" t="str">
        <f>HYPERLINK("https://www.ncbi.nlm.nih.gov/nucleotide/NC_066912.1?report=genbank&amp;log$=nucltop&amp;blast_rank=105&amp;RID=K3S1J64G014","NC_066912.1")</f>
        <v>NC_066912.1</v>
      </c>
      <c r="X110" s="38">
        <v>40.1</v>
      </c>
      <c r="Y110" s="38">
        <v>40.1</v>
      </c>
      <c r="Z110" s="55">
        <v>1</v>
      </c>
      <c r="AA110" s="38">
        <v>4.7</v>
      </c>
      <c r="AB110" s="38">
        <v>92.86</v>
      </c>
      <c r="AC110" s="38">
        <v>16518</v>
      </c>
    </row>
    <row r="111" spans="1:29" x14ac:dyDescent="0.15">
      <c r="A111" s="41" t="s">
        <v>5842</v>
      </c>
      <c r="B111" s="41" t="s">
        <v>5843</v>
      </c>
      <c r="C111" s="41" t="s">
        <v>6437</v>
      </c>
      <c r="D111" s="41">
        <v>34.200000000000003</v>
      </c>
      <c r="E111" s="41">
        <v>34.200000000000003</v>
      </c>
      <c r="F111" s="53">
        <v>0.77</v>
      </c>
      <c r="G111" s="41">
        <v>97</v>
      </c>
      <c r="H111" s="41">
        <v>100</v>
      </c>
      <c r="I111" s="41">
        <v>4324</v>
      </c>
      <c r="K111" s="41" t="s">
        <v>5844</v>
      </c>
      <c r="L111" s="41" t="s">
        <v>5574</v>
      </c>
      <c r="M111" s="41" t="str">
        <f>HYPERLINK("https://www.ncbi.nlm.nih.gov/nucleotide/MW316277.1?report=genbank&amp;log$=nucltop&amp;blast_rank=106&amp;RID=K3RYFBUB014","MW316277.1")</f>
        <v>MW316277.1</v>
      </c>
      <c r="N111" s="41">
        <v>36.200000000000003</v>
      </c>
      <c r="O111" s="41">
        <v>36.200000000000003</v>
      </c>
      <c r="P111" s="53">
        <v>0.95</v>
      </c>
      <c r="Q111" s="41">
        <v>25</v>
      </c>
      <c r="R111" s="41">
        <v>100</v>
      </c>
      <c r="S111" s="41">
        <v>16386</v>
      </c>
      <c r="U111" s="38" t="s">
        <v>5845</v>
      </c>
      <c r="V111" s="38" t="s">
        <v>2006</v>
      </c>
      <c r="W111" s="38" t="str">
        <f>HYPERLINK("https://www.ncbi.nlm.nih.gov/nucleotide/NC_004395.1?report=genbank&amp;log$=nucltop&amp;blast_rank=106&amp;RID=K3S1J64G014","NC_004395.1")</f>
        <v>NC_004395.1</v>
      </c>
      <c r="X111" s="38">
        <v>40.1</v>
      </c>
      <c r="Y111" s="38">
        <v>40.1</v>
      </c>
      <c r="Z111" s="55">
        <v>0.86</v>
      </c>
      <c r="AA111" s="38">
        <v>4.7</v>
      </c>
      <c r="AB111" s="38">
        <v>95.83</v>
      </c>
      <c r="AC111" s="38">
        <v>16526</v>
      </c>
    </row>
    <row r="112" spans="1:29" x14ac:dyDescent="0.15">
      <c r="A112" s="41" t="s">
        <v>5846</v>
      </c>
      <c r="B112" s="41" t="s">
        <v>5784</v>
      </c>
      <c r="C112" s="41" t="s">
        <v>6438</v>
      </c>
      <c r="D112" s="41">
        <v>34.200000000000003</v>
      </c>
      <c r="E112" s="41">
        <v>34.200000000000003</v>
      </c>
      <c r="F112" s="53">
        <v>0.77</v>
      </c>
      <c r="G112" s="41">
        <v>97</v>
      </c>
      <c r="H112" s="41">
        <v>100</v>
      </c>
      <c r="I112" s="41">
        <v>17020</v>
      </c>
      <c r="K112" s="41" t="s">
        <v>5847</v>
      </c>
      <c r="L112" s="41" t="s">
        <v>5574</v>
      </c>
      <c r="M112" s="41" t="str">
        <f>HYPERLINK("https://www.ncbi.nlm.nih.gov/nucleotide/MW316186.1?report=genbank&amp;log$=nucltop&amp;blast_rank=107&amp;RID=K3RYFBUB014","MW316186.1")</f>
        <v>MW316186.1</v>
      </c>
      <c r="N112" s="41">
        <v>36.200000000000003</v>
      </c>
      <c r="O112" s="41">
        <v>36.200000000000003</v>
      </c>
      <c r="P112" s="53">
        <v>0.95</v>
      </c>
      <c r="Q112" s="41">
        <v>25</v>
      </c>
      <c r="R112" s="41">
        <v>100</v>
      </c>
      <c r="S112" s="41">
        <v>16386</v>
      </c>
      <c r="U112" s="38" t="s">
        <v>5848</v>
      </c>
      <c r="V112" s="38" t="s">
        <v>2021</v>
      </c>
      <c r="W112" s="38" t="str">
        <f>HYPERLINK("https://www.ncbi.nlm.nih.gov/nucleotide/OR582691.1?report=genbank&amp;log$=nucltop&amp;blast_rank=107&amp;RID=K3S1J64G014","OR582691.1")</f>
        <v>OR582691.1</v>
      </c>
      <c r="X112" s="38">
        <v>40.1</v>
      </c>
      <c r="Y112" s="38">
        <v>40.1</v>
      </c>
      <c r="Z112" s="55">
        <v>1</v>
      </c>
      <c r="AA112" s="38">
        <v>4.7</v>
      </c>
      <c r="AB112" s="38">
        <v>92.86</v>
      </c>
      <c r="AC112" s="38">
        <v>16837</v>
      </c>
    </row>
    <row r="113" spans="1:29" x14ac:dyDescent="0.15">
      <c r="A113" s="41" t="s">
        <v>5849</v>
      </c>
      <c r="B113" s="41" t="s">
        <v>5850</v>
      </c>
      <c r="C113" s="41" t="s">
        <v>6439</v>
      </c>
      <c r="D113" s="41">
        <v>34.200000000000003</v>
      </c>
      <c r="E113" s="41">
        <v>34.200000000000003</v>
      </c>
      <c r="F113" s="53">
        <v>0.77</v>
      </c>
      <c r="G113" s="41">
        <v>97</v>
      </c>
      <c r="H113" s="41">
        <v>100</v>
      </c>
      <c r="I113" s="41">
        <v>4324237</v>
      </c>
      <c r="K113" s="41" t="s">
        <v>5851</v>
      </c>
      <c r="L113" s="41" t="s">
        <v>5574</v>
      </c>
      <c r="M113" s="41" t="str">
        <f>HYPERLINK("https://www.ncbi.nlm.nih.gov/nucleotide/OQ553986.1?report=genbank&amp;log$=nucltop&amp;blast_rank=108&amp;RID=K3RYFBUB014","OQ553986.1")</f>
        <v>OQ553986.1</v>
      </c>
      <c r="N113" s="41">
        <v>36.200000000000003</v>
      </c>
      <c r="O113" s="41">
        <v>36.200000000000003</v>
      </c>
      <c r="P113" s="53">
        <v>0.95</v>
      </c>
      <c r="Q113" s="41">
        <v>25</v>
      </c>
      <c r="R113" s="41">
        <v>100</v>
      </c>
      <c r="S113" s="41">
        <v>16386</v>
      </c>
      <c r="U113" s="38" t="s">
        <v>5852</v>
      </c>
      <c r="V113" s="38" t="s">
        <v>2016</v>
      </c>
      <c r="W113" s="38" t="str">
        <f>HYPERLINK("https://www.ncbi.nlm.nih.gov/nucleotide/MW732163.1?report=genbank&amp;log$=nucltop&amp;blast_rank=108&amp;RID=K3S1J64G014","MW732163.1")</f>
        <v>MW732163.1</v>
      </c>
      <c r="X113" s="38">
        <v>40.1</v>
      </c>
      <c r="Y113" s="38">
        <v>40.1</v>
      </c>
      <c r="Z113" s="55">
        <v>1</v>
      </c>
      <c r="AA113" s="38">
        <v>4.7</v>
      </c>
      <c r="AB113" s="38">
        <v>92.86</v>
      </c>
      <c r="AC113" s="38">
        <v>16510</v>
      </c>
    </row>
    <row r="114" spans="1:29" x14ac:dyDescent="0.15">
      <c r="A114" s="41" t="s">
        <v>5791</v>
      </c>
      <c r="B114" s="41" t="s">
        <v>5792</v>
      </c>
      <c r="C114" s="41" t="s">
        <v>6440</v>
      </c>
      <c r="D114" s="41">
        <v>34.200000000000003</v>
      </c>
      <c r="E114" s="41">
        <v>34.200000000000003</v>
      </c>
      <c r="F114" s="53">
        <v>0.77</v>
      </c>
      <c r="G114" s="41">
        <v>97</v>
      </c>
      <c r="H114" s="41">
        <v>100</v>
      </c>
      <c r="I114" s="41">
        <v>17068</v>
      </c>
      <c r="K114" s="41" t="s">
        <v>5853</v>
      </c>
      <c r="L114" s="41" t="s">
        <v>5574</v>
      </c>
      <c r="M114" s="41" t="str">
        <f>HYPERLINK("https://www.ncbi.nlm.nih.gov/nucleotide/OQ554038.1?report=genbank&amp;log$=nucltop&amp;blast_rank=109&amp;RID=K3RYFBUB014","OQ554038.1")</f>
        <v>OQ554038.1</v>
      </c>
      <c r="N114" s="41">
        <v>36.200000000000003</v>
      </c>
      <c r="O114" s="41">
        <v>36.200000000000003</v>
      </c>
      <c r="P114" s="53">
        <v>0.95</v>
      </c>
      <c r="Q114" s="41">
        <v>25</v>
      </c>
      <c r="R114" s="41">
        <v>100</v>
      </c>
      <c r="S114" s="41">
        <v>16387</v>
      </c>
      <c r="U114" s="38" t="s">
        <v>5854</v>
      </c>
      <c r="V114" s="38" t="s">
        <v>5855</v>
      </c>
      <c r="W114" s="38" t="str">
        <f>HYPERLINK("https://www.ncbi.nlm.nih.gov/nucleotide/OP035065.1?report=genbank&amp;log$=nucltop&amp;blast_rank=109&amp;RID=K3S1J64G014","OP035065.1")</f>
        <v>OP035065.1</v>
      </c>
      <c r="X114" s="38">
        <v>40.1</v>
      </c>
      <c r="Y114" s="38">
        <v>40.1</v>
      </c>
      <c r="Z114" s="55">
        <v>0.86</v>
      </c>
      <c r="AA114" s="38">
        <v>4.7</v>
      </c>
      <c r="AB114" s="38">
        <v>95.83</v>
      </c>
      <c r="AC114" s="38">
        <v>16560</v>
      </c>
    </row>
    <row r="115" spans="1:29" x14ac:dyDescent="0.15">
      <c r="A115" s="41" t="s">
        <v>5856</v>
      </c>
      <c r="B115" s="41" t="s">
        <v>5857</v>
      </c>
      <c r="C115" s="41" t="s">
        <v>6441</v>
      </c>
      <c r="D115" s="41">
        <v>34.200000000000003</v>
      </c>
      <c r="E115" s="41">
        <v>34.200000000000003</v>
      </c>
      <c r="F115" s="53">
        <v>0.95</v>
      </c>
      <c r="G115" s="41">
        <v>97</v>
      </c>
      <c r="H115" s="41">
        <v>95.24</v>
      </c>
      <c r="I115" s="41">
        <v>16607</v>
      </c>
      <c r="K115" s="41" t="s">
        <v>5858</v>
      </c>
      <c r="L115" s="41" t="s">
        <v>5574</v>
      </c>
      <c r="M115" s="41" t="str">
        <f>HYPERLINK("https://www.ncbi.nlm.nih.gov/nucleotide/OQ554007.1?report=genbank&amp;log$=nucltop&amp;blast_rank=110&amp;RID=K3RYFBUB014","OQ554007.1")</f>
        <v>OQ554007.1</v>
      </c>
      <c r="N115" s="41">
        <v>36.200000000000003</v>
      </c>
      <c r="O115" s="41">
        <v>36.200000000000003</v>
      </c>
      <c r="P115" s="53">
        <v>0.95</v>
      </c>
      <c r="Q115" s="41">
        <v>25</v>
      </c>
      <c r="R115" s="41">
        <v>100</v>
      </c>
      <c r="S115" s="41">
        <v>16386</v>
      </c>
      <c r="U115" s="38" t="s">
        <v>5859</v>
      </c>
      <c r="V115" s="38" t="s">
        <v>5860</v>
      </c>
      <c r="W115" s="38" t="str">
        <f>HYPERLINK("https://www.ncbi.nlm.nih.gov/nucleotide/PV624589.1?report=genbank&amp;log$=nucltop&amp;blast_rank=110&amp;RID=K3S1J64G014","PV624589.1")</f>
        <v>PV624589.1</v>
      </c>
      <c r="X115" s="38">
        <v>40.1</v>
      </c>
      <c r="Y115" s="38">
        <v>40.1</v>
      </c>
      <c r="Z115" s="55">
        <v>1</v>
      </c>
      <c r="AA115" s="38">
        <v>4.7</v>
      </c>
      <c r="AB115" s="38">
        <v>92.86</v>
      </c>
      <c r="AC115" s="38">
        <v>16534</v>
      </c>
    </row>
    <row r="116" spans="1:29" x14ac:dyDescent="0.15">
      <c r="A116" s="41" t="s">
        <v>5861</v>
      </c>
      <c r="B116" s="41" t="s">
        <v>5788</v>
      </c>
      <c r="C116" s="41" t="s">
        <v>6442</v>
      </c>
      <c r="D116" s="41">
        <v>34.200000000000003</v>
      </c>
      <c r="E116" s="41">
        <v>34.200000000000003</v>
      </c>
      <c r="F116" s="53">
        <v>0.77</v>
      </c>
      <c r="G116" s="41">
        <v>97</v>
      </c>
      <c r="H116" s="41">
        <v>100</v>
      </c>
      <c r="I116" s="41">
        <v>16400</v>
      </c>
      <c r="K116" s="41" t="s">
        <v>5862</v>
      </c>
      <c r="L116" s="41" t="s">
        <v>5574</v>
      </c>
      <c r="M116" s="41" t="str">
        <f>HYPERLINK("https://www.ncbi.nlm.nih.gov/nucleotide/OQ554091.1?report=genbank&amp;log$=nucltop&amp;blast_rank=111&amp;RID=K3RYFBUB014","OQ554091.1")</f>
        <v>OQ554091.1</v>
      </c>
      <c r="N116" s="41">
        <v>36.200000000000003</v>
      </c>
      <c r="O116" s="41">
        <v>36.200000000000003</v>
      </c>
      <c r="P116" s="53">
        <v>0.95</v>
      </c>
      <c r="Q116" s="41">
        <v>25</v>
      </c>
      <c r="R116" s="41">
        <v>100</v>
      </c>
      <c r="S116" s="41">
        <v>16386</v>
      </c>
      <c r="U116" s="38" t="s">
        <v>5863</v>
      </c>
      <c r="V116" s="38" t="s">
        <v>5764</v>
      </c>
      <c r="W116" s="38" t="str">
        <f>HYPERLINK("https://www.ncbi.nlm.nih.gov/nucleotide/MW856888.1?report=genbank&amp;log$=nucltop&amp;blast_rank=111&amp;RID=K3S1J64G014","MW856888.1")</f>
        <v>MW856888.1</v>
      </c>
      <c r="X116" s="38">
        <v>40.1</v>
      </c>
      <c r="Y116" s="38">
        <v>40.1</v>
      </c>
      <c r="Z116" s="55">
        <v>1</v>
      </c>
      <c r="AA116" s="38">
        <v>4.7</v>
      </c>
      <c r="AB116" s="38">
        <v>92.86</v>
      </c>
      <c r="AC116" s="38">
        <v>16531</v>
      </c>
    </row>
    <row r="117" spans="1:29" x14ac:dyDescent="0.15">
      <c r="A117" s="41" t="s">
        <v>5864</v>
      </c>
      <c r="B117" s="41" t="s">
        <v>5865</v>
      </c>
      <c r="C117" s="41" t="s">
        <v>6443</v>
      </c>
      <c r="D117" s="41">
        <v>34.200000000000003</v>
      </c>
      <c r="E117" s="41">
        <v>34.200000000000003</v>
      </c>
      <c r="F117" s="53">
        <v>0.95</v>
      </c>
      <c r="G117" s="41">
        <v>97</v>
      </c>
      <c r="H117" s="41">
        <v>95.24</v>
      </c>
      <c r="I117" s="41">
        <v>16590</v>
      </c>
      <c r="K117" s="41" t="s">
        <v>5866</v>
      </c>
      <c r="L117" s="41" t="s">
        <v>5574</v>
      </c>
      <c r="M117" s="41" t="str">
        <f>HYPERLINK("https://www.ncbi.nlm.nih.gov/nucleotide/MW316283.1?report=genbank&amp;log$=nucltop&amp;blast_rank=112&amp;RID=K3RYFBUB014","MW316283.1")</f>
        <v>MW316283.1</v>
      </c>
      <c r="N117" s="41">
        <v>36.200000000000003</v>
      </c>
      <c r="O117" s="41">
        <v>36.200000000000003</v>
      </c>
      <c r="P117" s="53">
        <v>0.95</v>
      </c>
      <c r="Q117" s="41">
        <v>25</v>
      </c>
      <c r="R117" s="41">
        <v>100</v>
      </c>
      <c r="S117" s="41">
        <v>16385</v>
      </c>
      <c r="U117" s="38" t="s">
        <v>5867</v>
      </c>
      <c r="V117" s="38" t="s">
        <v>2002</v>
      </c>
      <c r="W117" s="38" t="str">
        <f>HYPERLINK("https://www.ncbi.nlm.nih.gov/nucleotide/OR209333.1?report=genbank&amp;log$=nucltop&amp;blast_rank=112&amp;RID=K3S1J64G014","OR209333.1")</f>
        <v>OR209333.1</v>
      </c>
      <c r="X117" s="38">
        <v>40.1</v>
      </c>
      <c r="Y117" s="38">
        <v>40.1</v>
      </c>
      <c r="Z117" s="55">
        <v>0.86</v>
      </c>
      <c r="AA117" s="38">
        <v>4.7</v>
      </c>
      <c r="AB117" s="38">
        <v>95.83</v>
      </c>
      <c r="AC117" s="38">
        <v>16861</v>
      </c>
    </row>
    <row r="118" spans="1:29" x14ac:dyDescent="0.15">
      <c r="A118" s="41" t="s">
        <v>5868</v>
      </c>
      <c r="B118" s="41" t="s">
        <v>5869</v>
      </c>
      <c r="C118" s="41" t="s">
        <v>6444</v>
      </c>
      <c r="D118" s="41">
        <v>34.200000000000003</v>
      </c>
      <c r="E118" s="41">
        <v>34.200000000000003</v>
      </c>
      <c r="F118" s="53">
        <v>0.77</v>
      </c>
      <c r="G118" s="41">
        <v>97</v>
      </c>
      <c r="H118" s="41">
        <v>100</v>
      </c>
      <c r="I118" s="41">
        <v>1073</v>
      </c>
      <c r="K118" s="41" t="s">
        <v>5870</v>
      </c>
      <c r="L118" s="41" t="s">
        <v>5574</v>
      </c>
      <c r="M118" s="41" t="str">
        <f>HYPERLINK("https://www.ncbi.nlm.nih.gov/nucleotide/OQ554165.1?report=genbank&amp;log$=nucltop&amp;blast_rank=113&amp;RID=K3RYFBUB014","OQ554165.1")</f>
        <v>OQ554165.1</v>
      </c>
      <c r="N118" s="41">
        <v>36.200000000000003</v>
      </c>
      <c r="O118" s="41">
        <v>36.200000000000003</v>
      </c>
      <c r="P118" s="53">
        <v>0.95</v>
      </c>
      <c r="Q118" s="41">
        <v>25</v>
      </c>
      <c r="R118" s="41">
        <v>100</v>
      </c>
      <c r="S118" s="41">
        <v>16386</v>
      </c>
      <c r="U118" s="38" t="s">
        <v>5871</v>
      </c>
      <c r="V118" s="38" t="s">
        <v>2010</v>
      </c>
      <c r="W118" s="38" t="str">
        <f>HYPERLINK("https://www.ncbi.nlm.nih.gov/nucleotide/NC_082789.1?report=genbank&amp;log$=nucltop&amp;blast_rank=113&amp;RID=K3S1J64G014","NC_082789.1")</f>
        <v>NC_082789.1</v>
      </c>
      <c r="X118" s="38">
        <v>40.1</v>
      </c>
      <c r="Y118" s="38">
        <v>40.1</v>
      </c>
      <c r="Z118" s="55">
        <v>1</v>
      </c>
      <c r="AA118" s="38">
        <v>4.7</v>
      </c>
      <c r="AB118" s="38">
        <v>92.86</v>
      </c>
      <c r="AC118" s="38">
        <v>16734</v>
      </c>
    </row>
    <row r="119" spans="1:29" x14ac:dyDescent="0.15">
      <c r="A119" s="41" t="s">
        <v>5872</v>
      </c>
      <c r="B119" s="41" t="s">
        <v>5873</v>
      </c>
      <c r="C119" s="41" t="s">
        <v>6445</v>
      </c>
      <c r="D119" s="41">
        <v>34.200000000000003</v>
      </c>
      <c r="E119" s="41">
        <v>34.200000000000003</v>
      </c>
      <c r="F119" s="53">
        <v>0.77</v>
      </c>
      <c r="G119" s="41">
        <v>97</v>
      </c>
      <c r="H119" s="41">
        <v>100</v>
      </c>
      <c r="I119" s="41">
        <v>16686</v>
      </c>
      <c r="K119" s="41" t="s">
        <v>5874</v>
      </c>
      <c r="L119" s="41" t="s">
        <v>5574</v>
      </c>
      <c r="M119" s="41" t="str">
        <f>HYPERLINK("https://www.ncbi.nlm.nih.gov/nucleotide/OQ553985.1?report=genbank&amp;log$=nucltop&amp;blast_rank=114&amp;RID=K3RYFBUB014","OQ553985.1")</f>
        <v>OQ553985.1</v>
      </c>
      <c r="N119" s="41">
        <v>36.200000000000003</v>
      </c>
      <c r="O119" s="41">
        <v>36.200000000000003</v>
      </c>
      <c r="P119" s="53">
        <v>0.95</v>
      </c>
      <c r="Q119" s="41">
        <v>25</v>
      </c>
      <c r="R119" s="41">
        <v>100</v>
      </c>
      <c r="S119" s="41">
        <v>16386</v>
      </c>
      <c r="U119" s="38" t="s">
        <v>5875</v>
      </c>
      <c r="V119" s="38" t="s">
        <v>2024</v>
      </c>
      <c r="W119" s="38" t="str">
        <f>HYPERLINK("https://www.ncbi.nlm.nih.gov/nucleotide/NC_066926.1?report=genbank&amp;log$=nucltop&amp;blast_rank=114&amp;RID=K3S1J64G014","NC_066926.1")</f>
        <v>NC_066926.1</v>
      </c>
      <c r="X119" s="38">
        <v>40.1</v>
      </c>
      <c r="Y119" s="38">
        <v>40.1</v>
      </c>
      <c r="Z119" s="55">
        <v>0.86</v>
      </c>
      <c r="AA119" s="38">
        <v>4.7</v>
      </c>
      <c r="AB119" s="38">
        <v>95.83</v>
      </c>
      <c r="AC119" s="38">
        <v>16536</v>
      </c>
    </row>
    <row r="120" spans="1:29" x14ac:dyDescent="0.15">
      <c r="A120" s="41" t="s">
        <v>5876</v>
      </c>
      <c r="B120" s="41" t="s">
        <v>5877</v>
      </c>
      <c r="C120" s="41" t="s">
        <v>6446</v>
      </c>
      <c r="D120" s="41">
        <v>34.200000000000003</v>
      </c>
      <c r="E120" s="41">
        <v>34.200000000000003</v>
      </c>
      <c r="F120" s="53">
        <v>0.77</v>
      </c>
      <c r="G120" s="41">
        <v>97</v>
      </c>
      <c r="H120" s="41">
        <v>100</v>
      </c>
      <c r="I120" s="41">
        <v>4945</v>
      </c>
      <c r="K120" s="41" t="s">
        <v>5878</v>
      </c>
      <c r="L120" s="41" t="s">
        <v>5574</v>
      </c>
      <c r="M120" s="41" t="str">
        <f>HYPERLINK("https://www.ncbi.nlm.nih.gov/nucleotide/OQ554003.1?report=genbank&amp;log$=nucltop&amp;blast_rank=115&amp;RID=K3RYFBUB014","OQ554003.1")</f>
        <v>OQ554003.1</v>
      </c>
      <c r="N120" s="41">
        <v>36.200000000000003</v>
      </c>
      <c r="O120" s="41">
        <v>36.200000000000003</v>
      </c>
      <c r="P120" s="53">
        <v>0.95</v>
      </c>
      <c r="Q120" s="41">
        <v>25</v>
      </c>
      <c r="R120" s="41">
        <v>100</v>
      </c>
      <c r="S120" s="41">
        <v>16386</v>
      </c>
      <c r="U120" s="38" t="s">
        <v>5879</v>
      </c>
      <c r="V120" s="38" t="s">
        <v>5880</v>
      </c>
      <c r="W120" s="38" t="str">
        <f>HYPERLINK("https://www.ncbi.nlm.nih.gov/nucleotide/NC_036146.1?report=genbank&amp;log$=nucltop&amp;blast_rank=115&amp;RID=K3S1J64G014","NC_036146.1")</f>
        <v>NC_036146.1</v>
      </c>
      <c r="X120" s="38">
        <v>40.1</v>
      </c>
      <c r="Y120" s="38">
        <v>40.1</v>
      </c>
      <c r="Z120" s="55">
        <v>1</v>
      </c>
      <c r="AA120" s="38">
        <v>4.7</v>
      </c>
      <c r="AB120" s="38">
        <v>92.86</v>
      </c>
      <c r="AC120" s="38">
        <v>16523</v>
      </c>
    </row>
    <row r="121" spans="1:29" x14ac:dyDescent="0.15">
      <c r="A121" s="41" t="s">
        <v>5881</v>
      </c>
      <c r="B121" s="41" t="s">
        <v>5882</v>
      </c>
      <c r="C121" s="41" t="s">
        <v>6447</v>
      </c>
      <c r="D121" s="41">
        <v>34.200000000000003</v>
      </c>
      <c r="E121" s="41">
        <v>34.200000000000003</v>
      </c>
      <c r="F121" s="53">
        <v>0.77</v>
      </c>
      <c r="G121" s="41">
        <v>97</v>
      </c>
      <c r="H121" s="41">
        <v>100</v>
      </c>
      <c r="I121" s="41">
        <v>2689</v>
      </c>
      <c r="K121" s="41" t="s">
        <v>5883</v>
      </c>
      <c r="L121" s="41" t="s">
        <v>5574</v>
      </c>
      <c r="M121" s="41" t="str">
        <f>HYPERLINK("https://www.ncbi.nlm.nih.gov/nucleotide/OQ554097.1?report=genbank&amp;log$=nucltop&amp;blast_rank=116&amp;RID=K3RYFBUB014","OQ554097.1")</f>
        <v>OQ554097.1</v>
      </c>
      <c r="N121" s="41">
        <v>36.200000000000003</v>
      </c>
      <c r="O121" s="41">
        <v>36.200000000000003</v>
      </c>
      <c r="P121" s="53">
        <v>0.95</v>
      </c>
      <c r="Q121" s="41">
        <v>25</v>
      </c>
      <c r="R121" s="41">
        <v>100</v>
      </c>
      <c r="S121" s="41">
        <v>16386</v>
      </c>
      <c r="U121" s="38" t="s">
        <v>5884</v>
      </c>
      <c r="V121" s="38" t="s">
        <v>5885</v>
      </c>
      <c r="W121" s="38" t="str">
        <f>HYPERLINK("https://www.ncbi.nlm.nih.gov/nucleotide/NC_066915.1?report=genbank&amp;log$=nucltop&amp;blast_rank=116&amp;RID=K3S1J64G014","NC_066915.1")</f>
        <v>NC_066915.1</v>
      </c>
      <c r="X121" s="38">
        <v>40.1</v>
      </c>
      <c r="Y121" s="38">
        <v>40.1</v>
      </c>
      <c r="Z121" s="55">
        <v>1</v>
      </c>
      <c r="AA121" s="38">
        <v>4.7</v>
      </c>
      <c r="AB121" s="38">
        <v>92.86</v>
      </c>
      <c r="AC121" s="38">
        <v>16561</v>
      </c>
    </row>
    <row r="122" spans="1:29" x14ac:dyDescent="0.15">
      <c r="A122" s="41" t="s">
        <v>5886</v>
      </c>
      <c r="B122" s="41" t="s">
        <v>5887</v>
      </c>
      <c r="C122" s="41" t="s">
        <v>6448</v>
      </c>
      <c r="D122" s="41">
        <v>34.200000000000003</v>
      </c>
      <c r="E122" s="41">
        <v>34.200000000000003</v>
      </c>
      <c r="F122" s="53">
        <v>0.77</v>
      </c>
      <c r="G122" s="41">
        <v>97</v>
      </c>
      <c r="H122" s="41">
        <v>100</v>
      </c>
      <c r="I122" s="41">
        <v>2910</v>
      </c>
      <c r="K122" s="41" t="s">
        <v>5888</v>
      </c>
      <c r="L122" s="41" t="s">
        <v>5574</v>
      </c>
      <c r="M122" s="41" t="str">
        <f>HYPERLINK("https://www.ncbi.nlm.nih.gov/nucleotide/OQ554167.1?report=genbank&amp;log$=nucltop&amp;blast_rank=117&amp;RID=K3RYFBUB014","OQ554167.1")</f>
        <v>OQ554167.1</v>
      </c>
      <c r="N122" s="41">
        <v>36.200000000000003</v>
      </c>
      <c r="O122" s="41">
        <v>36.200000000000003</v>
      </c>
      <c r="P122" s="53">
        <v>0.95</v>
      </c>
      <c r="Q122" s="41">
        <v>25</v>
      </c>
      <c r="R122" s="41">
        <v>100</v>
      </c>
      <c r="S122" s="41">
        <v>16386</v>
      </c>
      <c r="U122" s="38" t="s">
        <v>5889</v>
      </c>
      <c r="V122" s="38" t="s">
        <v>5718</v>
      </c>
      <c r="W122" s="38" t="str">
        <f>HYPERLINK("https://www.ncbi.nlm.nih.gov/nucleotide/PV455037.1?report=genbank&amp;log$=nucltop&amp;blast_rank=117&amp;RID=K3S1J64G014","PV455037.1")</f>
        <v>PV455037.1</v>
      </c>
      <c r="X122" s="38">
        <v>40.1</v>
      </c>
      <c r="Y122" s="38">
        <v>40.1</v>
      </c>
      <c r="Z122" s="55">
        <v>0.86</v>
      </c>
      <c r="AA122" s="38">
        <v>4.7</v>
      </c>
      <c r="AB122" s="38">
        <v>95.83</v>
      </c>
      <c r="AC122" s="38">
        <v>16492</v>
      </c>
    </row>
    <row r="123" spans="1:29" x14ac:dyDescent="0.15">
      <c r="A123" s="41" t="s">
        <v>5890</v>
      </c>
      <c r="B123" s="41" t="s">
        <v>5817</v>
      </c>
      <c r="C123" s="41" t="s">
        <v>6449</v>
      </c>
      <c r="D123" s="41">
        <v>34.200000000000003</v>
      </c>
      <c r="E123" s="41">
        <v>34.200000000000003</v>
      </c>
      <c r="F123" s="53">
        <v>0.77</v>
      </c>
      <c r="G123" s="41">
        <v>97</v>
      </c>
      <c r="H123" s="41">
        <v>100</v>
      </c>
      <c r="I123" s="41">
        <v>16896</v>
      </c>
      <c r="K123" s="41" t="s">
        <v>5891</v>
      </c>
      <c r="L123" s="41" t="s">
        <v>5574</v>
      </c>
      <c r="M123" s="41" t="str">
        <f>HYPERLINK("https://www.ncbi.nlm.nih.gov/nucleotide/MW316213.1?report=genbank&amp;log$=nucltop&amp;blast_rank=118&amp;RID=K3RYFBUB014","MW316213.1")</f>
        <v>MW316213.1</v>
      </c>
      <c r="N123" s="41">
        <v>36.200000000000003</v>
      </c>
      <c r="O123" s="41">
        <v>36.200000000000003</v>
      </c>
      <c r="P123" s="53">
        <v>0.95</v>
      </c>
      <c r="Q123" s="41">
        <v>25</v>
      </c>
      <c r="R123" s="41">
        <v>100</v>
      </c>
      <c r="S123" s="41">
        <v>16385</v>
      </c>
      <c r="U123" s="38" t="s">
        <v>5725</v>
      </c>
      <c r="V123" s="38" t="s">
        <v>5726</v>
      </c>
      <c r="W123" s="38" t="str">
        <f>HYPERLINK("https://www.ncbi.nlm.nih.gov/nucleotide/NC_066924.1?report=genbank&amp;log$=nucltop&amp;blast_rank=118&amp;RID=K3S1J64G014","NC_066924.1")</f>
        <v>NC_066924.1</v>
      </c>
      <c r="X123" s="38">
        <v>40.1</v>
      </c>
      <c r="Y123" s="38">
        <v>40.1</v>
      </c>
      <c r="Z123" s="55">
        <v>0.86</v>
      </c>
      <c r="AA123" s="38">
        <v>4.7</v>
      </c>
      <c r="AB123" s="38">
        <v>95.83</v>
      </c>
      <c r="AC123" s="38">
        <v>16603</v>
      </c>
    </row>
    <row r="124" spans="1:29" x14ac:dyDescent="0.15">
      <c r="A124" s="41" t="s">
        <v>5892</v>
      </c>
      <c r="B124" s="41" t="s">
        <v>5893</v>
      </c>
      <c r="C124" s="41" t="s">
        <v>6450</v>
      </c>
      <c r="D124" s="41">
        <v>34.200000000000003</v>
      </c>
      <c r="E124" s="41">
        <v>34.200000000000003</v>
      </c>
      <c r="F124" s="53">
        <v>0.95</v>
      </c>
      <c r="G124" s="41">
        <v>97</v>
      </c>
      <c r="H124" s="41">
        <v>95.24</v>
      </c>
      <c r="I124" s="41">
        <v>17061</v>
      </c>
      <c r="K124" s="41" t="s">
        <v>5894</v>
      </c>
      <c r="L124" s="41" t="s">
        <v>5574</v>
      </c>
      <c r="M124" s="41" t="str">
        <f>HYPERLINK("https://www.ncbi.nlm.nih.gov/nucleotide/MW316233.1?report=genbank&amp;log$=nucltop&amp;blast_rank=119&amp;RID=K3RYFBUB014","MW316233.1")</f>
        <v>MW316233.1</v>
      </c>
      <c r="N124" s="41">
        <v>36.200000000000003</v>
      </c>
      <c r="O124" s="41">
        <v>36.200000000000003</v>
      </c>
      <c r="P124" s="53">
        <v>0.95</v>
      </c>
      <c r="Q124" s="41">
        <v>25</v>
      </c>
      <c r="R124" s="41">
        <v>100</v>
      </c>
      <c r="S124" s="41">
        <v>16378</v>
      </c>
      <c r="U124" s="38" t="s">
        <v>5895</v>
      </c>
      <c r="V124" s="38" t="s">
        <v>2942</v>
      </c>
      <c r="W124" s="38" t="str">
        <f>HYPERLINK("https://www.ncbi.nlm.nih.gov/nucleotide/NC_025242.1?report=genbank&amp;log$=nucltop&amp;blast_rank=119&amp;RID=K3S1J64G014","NC_025242.1")</f>
        <v>NC_025242.1</v>
      </c>
      <c r="X124" s="38">
        <v>40.1</v>
      </c>
      <c r="Y124" s="38">
        <v>40.1</v>
      </c>
      <c r="Z124" s="55">
        <v>1</v>
      </c>
      <c r="AA124" s="38">
        <v>4.7</v>
      </c>
      <c r="AB124" s="38">
        <v>92.86</v>
      </c>
      <c r="AC124" s="38">
        <v>16534</v>
      </c>
    </row>
    <row r="125" spans="1:29" x14ac:dyDescent="0.15">
      <c r="A125" s="41" t="s">
        <v>5896</v>
      </c>
      <c r="B125" s="41" t="s">
        <v>3223</v>
      </c>
      <c r="C125" s="41" t="s">
        <v>6451</v>
      </c>
      <c r="D125" s="41">
        <v>34.200000000000003</v>
      </c>
      <c r="E125" s="41">
        <v>34.200000000000003</v>
      </c>
      <c r="F125" s="53">
        <v>0.77</v>
      </c>
      <c r="G125" s="41">
        <v>97</v>
      </c>
      <c r="H125" s="41">
        <v>100</v>
      </c>
      <c r="I125" s="41">
        <v>36669180</v>
      </c>
      <c r="K125" s="41" t="s">
        <v>5897</v>
      </c>
      <c r="L125" s="41" t="s">
        <v>5574</v>
      </c>
      <c r="M125" s="41" t="str">
        <f>HYPERLINK("https://www.ncbi.nlm.nih.gov/nucleotide/OQ554040.1?report=genbank&amp;log$=nucltop&amp;blast_rank=120&amp;RID=K3RYFBUB014","OQ554040.1")</f>
        <v>OQ554040.1</v>
      </c>
      <c r="N125" s="41">
        <v>36.200000000000003</v>
      </c>
      <c r="O125" s="41">
        <v>36.200000000000003</v>
      </c>
      <c r="P125" s="53">
        <v>0.95</v>
      </c>
      <c r="Q125" s="41">
        <v>25</v>
      </c>
      <c r="R125" s="41">
        <v>100</v>
      </c>
      <c r="S125" s="41">
        <v>16386</v>
      </c>
      <c r="U125" s="38" t="s">
        <v>5898</v>
      </c>
      <c r="V125" s="38" t="s">
        <v>5899</v>
      </c>
      <c r="W125" s="38" t="str">
        <f>HYPERLINK("https://www.ncbi.nlm.nih.gov/nucleotide/OM256460.1?report=genbank&amp;log$=nucltop&amp;blast_rank=120&amp;RID=K3S1J64G014","OM256460.1")</f>
        <v>OM256460.1</v>
      </c>
      <c r="X125" s="38">
        <v>40.1</v>
      </c>
      <c r="Y125" s="38">
        <v>40.1</v>
      </c>
      <c r="Z125" s="55">
        <v>1</v>
      </c>
      <c r="AA125" s="38">
        <v>4.7</v>
      </c>
      <c r="AB125" s="38">
        <v>92.86</v>
      </c>
      <c r="AC125" s="38">
        <v>16518</v>
      </c>
    </row>
    <row r="126" spans="1:29" x14ac:dyDescent="0.15">
      <c r="A126" s="41" t="s">
        <v>5900</v>
      </c>
      <c r="B126" s="41" t="s">
        <v>5901</v>
      </c>
      <c r="C126" s="41" t="s">
        <v>6452</v>
      </c>
      <c r="D126" s="41">
        <v>34.200000000000003</v>
      </c>
      <c r="E126" s="41">
        <v>34.200000000000003</v>
      </c>
      <c r="F126" s="53">
        <v>0.77</v>
      </c>
      <c r="G126" s="41">
        <v>97</v>
      </c>
      <c r="H126" s="41">
        <v>100</v>
      </c>
      <c r="I126" s="41">
        <v>16553</v>
      </c>
      <c r="K126" s="41" t="s">
        <v>5902</v>
      </c>
      <c r="L126" s="41" t="s">
        <v>5574</v>
      </c>
      <c r="M126" s="41" t="str">
        <f>HYPERLINK("https://www.ncbi.nlm.nih.gov/nucleotide/MW316176.1?report=genbank&amp;log$=nucltop&amp;blast_rank=121&amp;RID=K3RYFBUB014","MW316176.1")</f>
        <v>MW316176.1</v>
      </c>
      <c r="N126" s="41">
        <v>36.200000000000003</v>
      </c>
      <c r="O126" s="41">
        <v>36.200000000000003</v>
      </c>
      <c r="P126" s="53">
        <v>0.95</v>
      </c>
      <c r="Q126" s="41">
        <v>25</v>
      </c>
      <c r="R126" s="41">
        <v>100</v>
      </c>
      <c r="S126" s="41">
        <v>16384</v>
      </c>
      <c r="U126" s="38" t="s">
        <v>5758</v>
      </c>
      <c r="V126" s="38" t="s">
        <v>5759</v>
      </c>
      <c r="W126" s="38" t="str">
        <f>HYPERLINK("https://www.ncbi.nlm.nih.gov/nucleotide/OK945945.1?report=genbank&amp;log$=nucltop&amp;blast_rank=121&amp;RID=K3S1J64G014","OK945945.1")</f>
        <v>OK945945.1</v>
      </c>
      <c r="X126" s="38">
        <v>40.1</v>
      </c>
      <c r="Y126" s="38">
        <v>40.1</v>
      </c>
      <c r="Z126" s="55">
        <v>1</v>
      </c>
      <c r="AA126" s="38">
        <v>4.7</v>
      </c>
      <c r="AB126" s="38">
        <v>92.86</v>
      </c>
      <c r="AC126" s="38">
        <v>16530</v>
      </c>
    </row>
    <row r="127" spans="1:29" x14ac:dyDescent="0.15">
      <c r="A127" s="41" t="s">
        <v>5903</v>
      </c>
      <c r="B127" s="41" t="s">
        <v>5904</v>
      </c>
      <c r="C127" s="41" t="s">
        <v>6453</v>
      </c>
      <c r="D127" s="41">
        <v>34.200000000000003</v>
      </c>
      <c r="E127" s="41">
        <v>34.200000000000003</v>
      </c>
      <c r="F127" s="53">
        <v>0.77</v>
      </c>
      <c r="G127" s="41">
        <v>97</v>
      </c>
      <c r="H127" s="41">
        <v>100</v>
      </c>
      <c r="I127" s="41">
        <v>16568</v>
      </c>
      <c r="K127" s="41" t="s">
        <v>5905</v>
      </c>
      <c r="L127" s="41" t="s">
        <v>5574</v>
      </c>
      <c r="M127" s="41" t="str">
        <f>HYPERLINK("https://www.ncbi.nlm.nih.gov/nucleotide/OQ554056.1?report=genbank&amp;log$=nucltop&amp;blast_rank=122&amp;RID=K3RYFBUB014","OQ554056.1")</f>
        <v>OQ554056.1</v>
      </c>
      <c r="N127" s="41">
        <v>36.200000000000003</v>
      </c>
      <c r="O127" s="41">
        <v>36.200000000000003</v>
      </c>
      <c r="P127" s="53">
        <v>0.95</v>
      </c>
      <c r="Q127" s="41">
        <v>25</v>
      </c>
      <c r="R127" s="41">
        <v>100</v>
      </c>
      <c r="S127" s="41">
        <v>16387</v>
      </c>
      <c r="U127" s="38" t="s">
        <v>5906</v>
      </c>
      <c r="V127" s="38" t="s">
        <v>3815</v>
      </c>
      <c r="W127" s="38" t="str">
        <f>HYPERLINK("https://www.ncbi.nlm.nih.gov/nucleotide/OZ078343.2?report=genbank&amp;log$=nucltop&amp;blast_rank=122&amp;RID=K3S1J64G014","OZ078343.2")</f>
        <v>OZ078343.2</v>
      </c>
      <c r="X127" s="38">
        <v>40.1</v>
      </c>
      <c r="Y127" s="38">
        <v>40.1</v>
      </c>
      <c r="Z127" s="55">
        <v>0.71</v>
      </c>
      <c r="AA127" s="38">
        <v>4.7</v>
      </c>
      <c r="AB127" s="38">
        <v>100</v>
      </c>
      <c r="AC127" s="38">
        <v>13998349</v>
      </c>
    </row>
    <row r="128" spans="1:29" x14ac:dyDescent="0.15">
      <c r="A128" s="41" t="s">
        <v>5907</v>
      </c>
      <c r="B128" s="41" t="s">
        <v>5908</v>
      </c>
      <c r="C128" s="41" t="s">
        <v>6454</v>
      </c>
      <c r="D128" s="41">
        <v>34.200000000000003</v>
      </c>
      <c r="E128" s="41">
        <v>34.200000000000003</v>
      </c>
      <c r="F128" s="53">
        <v>0.95</v>
      </c>
      <c r="G128" s="41">
        <v>97</v>
      </c>
      <c r="H128" s="41">
        <v>95.24</v>
      </c>
      <c r="I128" s="41">
        <v>16595</v>
      </c>
      <c r="K128" s="41" t="s">
        <v>5909</v>
      </c>
      <c r="L128" s="41" t="s">
        <v>5574</v>
      </c>
      <c r="M128" s="41" t="str">
        <f>HYPERLINK("https://www.ncbi.nlm.nih.gov/nucleotide/OQ554059.1?report=genbank&amp;log$=nucltop&amp;blast_rank=123&amp;RID=K3RYFBUB014","OQ554059.1")</f>
        <v>OQ554059.1</v>
      </c>
      <c r="N128" s="41">
        <v>36.200000000000003</v>
      </c>
      <c r="O128" s="41">
        <v>36.200000000000003</v>
      </c>
      <c r="P128" s="53">
        <v>0.95</v>
      </c>
      <c r="Q128" s="41">
        <v>25</v>
      </c>
      <c r="R128" s="41">
        <v>100</v>
      </c>
      <c r="S128" s="41">
        <v>16386</v>
      </c>
      <c r="U128" s="38" t="s">
        <v>5910</v>
      </c>
      <c r="V128" s="38" t="s">
        <v>3684</v>
      </c>
      <c r="W128" s="38" t="str">
        <f>HYPERLINK("https://www.ncbi.nlm.nih.gov/nucleotide/OZ078422.1?report=genbank&amp;log$=nucltop&amp;blast_rank=123&amp;RID=K3S1J64G014","OZ078422.1")</f>
        <v>OZ078422.1</v>
      </c>
      <c r="X128" s="38">
        <v>40.1</v>
      </c>
      <c r="Y128" s="38">
        <v>40.1</v>
      </c>
      <c r="Z128" s="55">
        <v>0.71</v>
      </c>
      <c r="AA128" s="38">
        <v>4.7</v>
      </c>
      <c r="AB128" s="38">
        <v>100</v>
      </c>
      <c r="AC128" s="38">
        <v>14317773</v>
      </c>
    </row>
    <row r="129" spans="1:29" x14ac:dyDescent="0.15">
      <c r="A129" s="41" t="s">
        <v>5911</v>
      </c>
      <c r="B129" s="41" t="s">
        <v>5788</v>
      </c>
      <c r="C129" s="41" t="s">
        <v>6455</v>
      </c>
      <c r="D129" s="41">
        <v>34.200000000000003</v>
      </c>
      <c r="E129" s="41">
        <v>34.200000000000003</v>
      </c>
      <c r="F129" s="53">
        <v>0.77</v>
      </c>
      <c r="G129" s="41">
        <v>97</v>
      </c>
      <c r="H129" s="41">
        <v>100</v>
      </c>
      <c r="I129" s="41">
        <v>16401</v>
      </c>
      <c r="K129" s="41" t="s">
        <v>5912</v>
      </c>
      <c r="L129" s="41" t="s">
        <v>5574</v>
      </c>
      <c r="M129" s="41" t="str">
        <f>HYPERLINK("https://www.ncbi.nlm.nih.gov/nucleotide/MW316235.1?report=genbank&amp;log$=nucltop&amp;blast_rank=124&amp;RID=K3RYFBUB014","MW316235.1")</f>
        <v>MW316235.1</v>
      </c>
      <c r="N129" s="41">
        <v>36.200000000000003</v>
      </c>
      <c r="O129" s="41">
        <v>36.200000000000003</v>
      </c>
      <c r="P129" s="53">
        <v>0.95</v>
      </c>
      <c r="Q129" s="41">
        <v>25</v>
      </c>
      <c r="R129" s="41">
        <v>100</v>
      </c>
      <c r="S129" s="41">
        <v>16382</v>
      </c>
      <c r="U129" s="38" t="s">
        <v>5913</v>
      </c>
      <c r="V129" s="38" t="s">
        <v>5860</v>
      </c>
      <c r="W129" s="38" t="str">
        <f>HYPERLINK("https://www.ncbi.nlm.nih.gov/nucleotide/PV624590.1?report=genbank&amp;log$=nucltop&amp;blast_rank=124&amp;RID=K3S1J64G014","PV624590.1")</f>
        <v>PV624590.1</v>
      </c>
      <c r="X129" s="38">
        <v>40.1</v>
      </c>
      <c r="Y129" s="38">
        <v>40.1</v>
      </c>
      <c r="Z129" s="55">
        <v>1</v>
      </c>
      <c r="AA129" s="38">
        <v>4.7</v>
      </c>
      <c r="AB129" s="38">
        <v>92.86</v>
      </c>
      <c r="AC129" s="38">
        <v>16531</v>
      </c>
    </row>
    <row r="130" spans="1:29" x14ac:dyDescent="0.15">
      <c r="A130" s="41" t="s">
        <v>5914</v>
      </c>
      <c r="B130" s="41" t="s">
        <v>5777</v>
      </c>
      <c r="C130" s="41" t="s">
        <v>6456</v>
      </c>
      <c r="D130" s="41">
        <v>34.200000000000003</v>
      </c>
      <c r="E130" s="41">
        <v>34.200000000000003</v>
      </c>
      <c r="F130" s="53">
        <v>0.77</v>
      </c>
      <c r="G130" s="41">
        <v>97</v>
      </c>
      <c r="H130" s="41">
        <v>100</v>
      </c>
      <c r="I130" s="41">
        <v>4775</v>
      </c>
      <c r="K130" s="41" t="s">
        <v>5915</v>
      </c>
      <c r="L130" s="41" t="s">
        <v>5574</v>
      </c>
      <c r="M130" s="41" t="str">
        <f>HYPERLINK("https://www.ncbi.nlm.nih.gov/nucleotide/OQ554063.1?report=genbank&amp;log$=nucltop&amp;blast_rank=125&amp;RID=K3RYFBUB014","OQ554063.1")</f>
        <v>OQ554063.1</v>
      </c>
      <c r="N130" s="41">
        <v>36.200000000000003</v>
      </c>
      <c r="O130" s="41">
        <v>36.200000000000003</v>
      </c>
      <c r="P130" s="53">
        <v>0.95</v>
      </c>
      <c r="Q130" s="41">
        <v>25</v>
      </c>
      <c r="R130" s="41">
        <v>100</v>
      </c>
      <c r="S130" s="41">
        <v>16387</v>
      </c>
      <c r="U130" s="38" t="s">
        <v>5916</v>
      </c>
      <c r="V130" s="38" t="s">
        <v>5917</v>
      </c>
      <c r="W130" s="38" t="str">
        <f>HYPERLINK("https://www.ncbi.nlm.nih.gov/nucleotide/PV276240.1?report=genbank&amp;log$=nucltop&amp;blast_rank=125&amp;RID=K3S1J64G014","PV276240.1")</f>
        <v>PV276240.1</v>
      </c>
      <c r="X130" s="38">
        <v>40.1</v>
      </c>
      <c r="Y130" s="38">
        <v>40.1</v>
      </c>
      <c r="Z130" s="55">
        <v>0.86</v>
      </c>
      <c r="AA130" s="38">
        <v>4.7</v>
      </c>
      <c r="AB130" s="38">
        <v>95.83</v>
      </c>
      <c r="AC130" s="38">
        <v>16579</v>
      </c>
    </row>
    <row r="131" spans="1:29" x14ac:dyDescent="0.15">
      <c r="A131" s="57" t="s">
        <v>5918</v>
      </c>
      <c r="B131" s="57" t="s">
        <v>69</v>
      </c>
      <c r="C131" s="41" t="s">
        <v>6457</v>
      </c>
      <c r="D131" s="41">
        <v>34.200000000000003</v>
      </c>
      <c r="E131" s="41">
        <v>34.200000000000003</v>
      </c>
      <c r="F131" s="53">
        <v>0.95</v>
      </c>
      <c r="G131" s="41">
        <v>97</v>
      </c>
      <c r="H131" s="41">
        <v>95.24</v>
      </c>
      <c r="I131" s="41">
        <v>975</v>
      </c>
      <c r="K131" s="41" t="s">
        <v>5919</v>
      </c>
      <c r="L131" s="41" t="s">
        <v>5574</v>
      </c>
      <c r="M131" s="41" t="str">
        <f>HYPERLINK("https://www.ncbi.nlm.nih.gov/nucleotide/OQ554012.1?report=genbank&amp;log$=nucltop&amp;blast_rank=126&amp;RID=K3RYFBUB014","OQ554012.1")</f>
        <v>OQ554012.1</v>
      </c>
      <c r="N131" s="41">
        <v>36.200000000000003</v>
      </c>
      <c r="O131" s="41">
        <v>36.200000000000003</v>
      </c>
      <c r="P131" s="53">
        <v>0.95</v>
      </c>
      <c r="Q131" s="41">
        <v>25</v>
      </c>
      <c r="R131" s="41">
        <v>100</v>
      </c>
      <c r="S131" s="41">
        <v>16387</v>
      </c>
      <c r="U131" s="38" t="s">
        <v>5920</v>
      </c>
      <c r="V131" s="38" t="s">
        <v>5921</v>
      </c>
      <c r="W131" s="38" t="str">
        <f>HYPERLINK("https://www.ncbi.nlm.nih.gov/nucleotide/OL825620.1?report=genbank&amp;log$=nucltop&amp;blast_rank=126&amp;RID=K3S1J64G014","OL825620.1")</f>
        <v>OL825620.1</v>
      </c>
      <c r="X131" s="38">
        <v>40.1</v>
      </c>
      <c r="Y131" s="38">
        <v>40.1</v>
      </c>
      <c r="Z131" s="55">
        <v>1</v>
      </c>
      <c r="AA131" s="38">
        <v>4.7</v>
      </c>
      <c r="AB131" s="38">
        <v>92.86</v>
      </c>
      <c r="AC131" s="38">
        <v>16530</v>
      </c>
    </row>
    <row r="132" spans="1:29" x14ac:dyDescent="0.15">
      <c r="A132" s="57" t="s">
        <v>5922</v>
      </c>
      <c r="B132" s="57" t="s">
        <v>69</v>
      </c>
      <c r="C132" s="41" t="s">
        <v>6458</v>
      </c>
      <c r="D132" s="41">
        <v>34.200000000000003</v>
      </c>
      <c r="E132" s="41">
        <v>34.200000000000003</v>
      </c>
      <c r="F132" s="53">
        <v>0.95</v>
      </c>
      <c r="G132" s="41">
        <v>97</v>
      </c>
      <c r="H132" s="41">
        <v>95.24</v>
      </c>
      <c r="I132" s="41">
        <v>975</v>
      </c>
      <c r="K132" s="41" t="s">
        <v>5923</v>
      </c>
      <c r="L132" s="41" t="s">
        <v>5574</v>
      </c>
      <c r="M132" s="41" t="str">
        <f>HYPERLINK("https://www.ncbi.nlm.nih.gov/nucleotide/MW316223.1?report=genbank&amp;log$=nucltop&amp;blast_rank=127&amp;RID=K3RYFBUB014","MW316223.1")</f>
        <v>MW316223.1</v>
      </c>
      <c r="N132" s="41">
        <v>36.200000000000003</v>
      </c>
      <c r="O132" s="41">
        <v>36.200000000000003</v>
      </c>
      <c r="P132" s="53">
        <v>0.95</v>
      </c>
      <c r="Q132" s="41">
        <v>25</v>
      </c>
      <c r="R132" s="41">
        <v>100</v>
      </c>
      <c r="S132" s="41">
        <v>16386</v>
      </c>
      <c r="U132" s="38" t="s">
        <v>5924</v>
      </c>
      <c r="V132" s="38" t="s">
        <v>5925</v>
      </c>
      <c r="W132" s="38" t="str">
        <f>HYPERLINK("https://www.ncbi.nlm.nih.gov/nucleotide/NC_082785.1?report=genbank&amp;log$=nucltop&amp;blast_rank=127&amp;RID=K3S1J64G014","NC_082785.1")</f>
        <v>NC_082785.1</v>
      </c>
      <c r="X132" s="38">
        <v>40.1</v>
      </c>
      <c r="Y132" s="38">
        <v>40.1</v>
      </c>
      <c r="Z132" s="55">
        <v>1</v>
      </c>
      <c r="AA132" s="38">
        <v>4.7</v>
      </c>
      <c r="AB132" s="38">
        <v>92.86</v>
      </c>
      <c r="AC132" s="38">
        <v>16849</v>
      </c>
    </row>
    <row r="133" spans="1:29" x14ac:dyDescent="0.15">
      <c r="A133" s="41" t="s">
        <v>5926</v>
      </c>
      <c r="B133" s="41" t="s">
        <v>5927</v>
      </c>
      <c r="C133" s="41" t="s">
        <v>6459</v>
      </c>
      <c r="D133" s="41">
        <v>34.200000000000003</v>
      </c>
      <c r="E133" s="41">
        <v>34.200000000000003</v>
      </c>
      <c r="F133" s="53">
        <v>0.77</v>
      </c>
      <c r="G133" s="41">
        <v>97</v>
      </c>
      <c r="H133" s="41">
        <v>100</v>
      </c>
      <c r="I133" s="41">
        <v>9131798</v>
      </c>
      <c r="K133" s="41" t="s">
        <v>5928</v>
      </c>
      <c r="L133" s="41" t="s">
        <v>5574</v>
      </c>
      <c r="M133" s="41" t="str">
        <f>HYPERLINK("https://www.ncbi.nlm.nih.gov/nucleotide/MW316282.1?report=genbank&amp;log$=nucltop&amp;blast_rank=128&amp;RID=K3RYFBUB014","MW316282.1")</f>
        <v>MW316282.1</v>
      </c>
      <c r="N133" s="41">
        <v>36.200000000000003</v>
      </c>
      <c r="O133" s="41">
        <v>36.200000000000003</v>
      </c>
      <c r="P133" s="53">
        <v>0.95</v>
      </c>
      <c r="Q133" s="41">
        <v>25</v>
      </c>
      <c r="R133" s="41">
        <v>100</v>
      </c>
      <c r="S133" s="41">
        <v>16385</v>
      </c>
      <c r="U133" s="38" t="s">
        <v>5929</v>
      </c>
      <c r="V133" s="38" t="s">
        <v>316</v>
      </c>
      <c r="W133" s="38" t="str">
        <f>HYPERLINK("https://www.ncbi.nlm.nih.gov/nucleotide/PX311209.1?report=genbank&amp;log$=nucltop&amp;blast_rank=128&amp;RID=K3S1J64G014","PX311209.1")</f>
        <v>PX311209.1</v>
      </c>
      <c r="X133" s="38">
        <v>38.200000000000003</v>
      </c>
      <c r="Y133" s="38">
        <v>38.200000000000003</v>
      </c>
      <c r="Z133" s="55">
        <v>0.82</v>
      </c>
      <c r="AA133" s="38">
        <v>19</v>
      </c>
      <c r="AB133" s="38">
        <v>95.65</v>
      </c>
      <c r="AC133" s="38">
        <v>975</v>
      </c>
    </row>
    <row r="134" spans="1:29" x14ac:dyDescent="0.15">
      <c r="A134" s="41" t="s">
        <v>5930</v>
      </c>
      <c r="B134" s="41" t="s">
        <v>5931</v>
      </c>
      <c r="C134" s="41" t="s">
        <v>6460</v>
      </c>
      <c r="D134" s="41">
        <v>34.200000000000003</v>
      </c>
      <c r="E134" s="41">
        <v>34.200000000000003</v>
      </c>
      <c r="F134" s="53">
        <v>0.95</v>
      </c>
      <c r="G134" s="41">
        <v>97</v>
      </c>
      <c r="H134" s="41">
        <v>95.24</v>
      </c>
      <c r="I134" s="41">
        <v>17039</v>
      </c>
      <c r="K134" s="41" t="s">
        <v>5932</v>
      </c>
      <c r="L134" s="41" t="s">
        <v>5574</v>
      </c>
      <c r="M134" s="41" t="str">
        <f>HYPERLINK("https://www.ncbi.nlm.nih.gov/nucleotide/OQ554058.1?report=genbank&amp;log$=nucltop&amp;blast_rank=129&amp;RID=K3RYFBUB014","OQ554058.1")</f>
        <v>OQ554058.1</v>
      </c>
      <c r="N134" s="41">
        <v>36.200000000000003</v>
      </c>
      <c r="O134" s="41">
        <v>36.200000000000003</v>
      </c>
      <c r="P134" s="53">
        <v>0.95</v>
      </c>
      <c r="Q134" s="41">
        <v>25</v>
      </c>
      <c r="R134" s="41">
        <v>100</v>
      </c>
      <c r="S134" s="41">
        <v>16386</v>
      </c>
      <c r="U134" s="38" t="s">
        <v>5933</v>
      </c>
      <c r="V134" s="38" t="s">
        <v>4398</v>
      </c>
      <c r="W134" s="38" t="str">
        <f>HYPERLINK("https://www.ncbi.nlm.nih.gov/nucleotide/OZ181340.1?report=genbank&amp;log$=nucltop&amp;blast_rank=129&amp;RID=K3S1J64G014","OZ181340.1")</f>
        <v>OZ181340.1</v>
      </c>
      <c r="X134" s="38">
        <v>38.200000000000003</v>
      </c>
      <c r="Y134" s="38">
        <v>38.200000000000003</v>
      </c>
      <c r="Z134" s="55">
        <v>0.68</v>
      </c>
      <c r="AA134" s="38">
        <v>19</v>
      </c>
      <c r="AB134" s="38">
        <v>100</v>
      </c>
      <c r="AC134" s="38">
        <v>44881204</v>
      </c>
    </row>
    <row r="135" spans="1:29" x14ac:dyDescent="0.15">
      <c r="A135" s="41" t="s">
        <v>5934</v>
      </c>
      <c r="B135" s="41" t="s">
        <v>5843</v>
      </c>
      <c r="C135" s="41" t="s">
        <v>6461</v>
      </c>
      <c r="D135" s="41">
        <v>34.200000000000003</v>
      </c>
      <c r="E135" s="41">
        <v>34.200000000000003</v>
      </c>
      <c r="F135" s="53">
        <v>0.77</v>
      </c>
      <c r="G135" s="41">
        <v>97</v>
      </c>
      <c r="H135" s="41">
        <v>100</v>
      </c>
      <c r="I135" s="41">
        <v>4415</v>
      </c>
      <c r="K135" s="41" t="s">
        <v>5935</v>
      </c>
      <c r="L135" s="41" t="s">
        <v>5574</v>
      </c>
      <c r="M135" s="41" t="str">
        <f>HYPERLINK("https://www.ncbi.nlm.nih.gov/nucleotide/OQ554242.1?report=genbank&amp;log$=nucltop&amp;blast_rank=130&amp;RID=K3RYFBUB014","OQ554242.1")</f>
        <v>OQ554242.1</v>
      </c>
      <c r="N135" s="41">
        <v>36.200000000000003</v>
      </c>
      <c r="O135" s="41">
        <v>36.200000000000003</v>
      </c>
      <c r="P135" s="53">
        <v>0.95</v>
      </c>
      <c r="Q135" s="41">
        <v>25</v>
      </c>
      <c r="R135" s="41">
        <v>100</v>
      </c>
      <c r="S135" s="41">
        <v>16386</v>
      </c>
      <c r="U135" s="38" t="s">
        <v>5936</v>
      </c>
      <c r="V135" s="38" t="s">
        <v>5937</v>
      </c>
      <c r="W135" s="38" t="str">
        <f>HYPERLINK("https://www.ncbi.nlm.nih.gov/nucleotide/AP027050.1?report=genbank&amp;log$=nucltop&amp;blast_rank=130&amp;RID=K3S1J64G014","AP027050.1")</f>
        <v>AP027050.1</v>
      </c>
      <c r="X135" s="38">
        <v>38.200000000000003</v>
      </c>
      <c r="Y135" s="38">
        <v>38.200000000000003</v>
      </c>
      <c r="Z135" s="55">
        <v>0.68</v>
      </c>
      <c r="AA135" s="38">
        <v>19</v>
      </c>
      <c r="AB135" s="38">
        <v>100</v>
      </c>
      <c r="AC135" s="38">
        <v>2181675</v>
      </c>
    </row>
    <row r="136" spans="1:29" x14ac:dyDescent="0.15">
      <c r="A136" s="41" t="s">
        <v>5938</v>
      </c>
      <c r="B136" s="41" t="s">
        <v>5939</v>
      </c>
      <c r="C136" s="41" t="s">
        <v>6462</v>
      </c>
      <c r="D136" s="41">
        <v>34.200000000000003</v>
      </c>
      <c r="E136" s="41">
        <v>34.200000000000003</v>
      </c>
      <c r="F136" s="53">
        <v>0.95</v>
      </c>
      <c r="G136" s="41">
        <v>97</v>
      </c>
      <c r="H136" s="41">
        <v>95.24</v>
      </c>
      <c r="I136" s="41">
        <v>17061</v>
      </c>
      <c r="K136" s="41" t="s">
        <v>5940</v>
      </c>
      <c r="L136" s="41" t="s">
        <v>5574</v>
      </c>
      <c r="M136" s="41" t="str">
        <f>HYPERLINK("https://www.ncbi.nlm.nih.gov/nucleotide/MW316210.1?report=genbank&amp;log$=nucltop&amp;blast_rank=131&amp;RID=K3RYFBUB014","MW316210.1")</f>
        <v>MW316210.1</v>
      </c>
      <c r="N136" s="41">
        <v>36.200000000000003</v>
      </c>
      <c r="O136" s="41">
        <v>36.200000000000003</v>
      </c>
      <c r="P136" s="53">
        <v>0.95</v>
      </c>
      <c r="Q136" s="41">
        <v>25</v>
      </c>
      <c r="R136" s="41">
        <v>100</v>
      </c>
      <c r="S136" s="41">
        <v>16382</v>
      </c>
      <c r="U136" s="38" t="s">
        <v>5941</v>
      </c>
      <c r="V136" s="38" t="s">
        <v>275</v>
      </c>
      <c r="W136" s="38" t="str">
        <f>HYPERLINK("https://www.ncbi.nlm.nih.gov/nucleotide/PX311220.1?report=genbank&amp;log$=nucltop&amp;blast_rank=131&amp;RID=K3S1J64G014","PX311220.1")</f>
        <v>PX311220.1</v>
      </c>
      <c r="X136" s="38">
        <v>38.200000000000003</v>
      </c>
      <c r="Y136" s="38">
        <v>38.200000000000003</v>
      </c>
      <c r="Z136" s="55">
        <v>0.82</v>
      </c>
      <c r="AA136" s="38">
        <v>19</v>
      </c>
      <c r="AB136" s="38">
        <v>95.65</v>
      </c>
      <c r="AC136" s="38">
        <v>975</v>
      </c>
    </row>
    <row r="137" spans="1:29" x14ac:dyDescent="0.15">
      <c r="A137" s="41" t="s">
        <v>5942</v>
      </c>
      <c r="B137" s="41" t="s">
        <v>5943</v>
      </c>
      <c r="C137" s="41" t="s">
        <v>6463</v>
      </c>
      <c r="D137" s="41">
        <v>34.200000000000003</v>
      </c>
      <c r="E137" s="41">
        <v>34.200000000000003</v>
      </c>
      <c r="F137" s="53">
        <v>0.77</v>
      </c>
      <c r="G137" s="41">
        <v>97</v>
      </c>
      <c r="H137" s="41">
        <v>100</v>
      </c>
      <c r="I137" s="41">
        <v>12950</v>
      </c>
      <c r="K137" s="41" t="s">
        <v>5944</v>
      </c>
      <c r="L137" s="41" t="s">
        <v>5574</v>
      </c>
      <c r="M137" s="41" t="str">
        <f>HYPERLINK("https://www.ncbi.nlm.nih.gov/nucleotide/OQ554152.1?report=genbank&amp;log$=nucltop&amp;blast_rank=132&amp;RID=K3RYFBUB014","OQ554152.1")</f>
        <v>OQ554152.1</v>
      </c>
      <c r="N137" s="41">
        <v>36.200000000000003</v>
      </c>
      <c r="O137" s="41">
        <v>36.200000000000003</v>
      </c>
      <c r="P137" s="53">
        <v>0.95</v>
      </c>
      <c r="Q137" s="41">
        <v>25</v>
      </c>
      <c r="R137" s="41">
        <v>100</v>
      </c>
      <c r="S137" s="41">
        <v>16386</v>
      </c>
      <c r="U137" s="38" t="s">
        <v>5945</v>
      </c>
      <c r="V137" s="38" t="s">
        <v>275</v>
      </c>
      <c r="W137" s="38" t="str">
        <f>HYPERLINK("https://www.ncbi.nlm.nih.gov/nucleotide/PX311113.1?report=genbank&amp;log$=nucltop&amp;blast_rank=132&amp;RID=K3S1J64G014","PX311113.1")</f>
        <v>PX311113.1</v>
      </c>
      <c r="X137" s="38">
        <v>38.200000000000003</v>
      </c>
      <c r="Y137" s="38">
        <v>38.200000000000003</v>
      </c>
      <c r="Z137" s="55">
        <v>0.82</v>
      </c>
      <c r="AA137" s="38">
        <v>19</v>
      </c>
      <c r="AB137" s="38">
        <v>95.65</v>
      </c>
      <c r="AC137" s="38">
        <v>975</v>
      </c>
    </row>
    <row r="138" spans="1:29" x14ac:dyDescent="0.15">
      <c r="A138" s="41" t="s">
        <v>5946</v>
      </c>
      <c r="B138" s="41" t="s">
        <v>2940</v>
      </c>
      <c r="C138" s="41" t="s">
        <v>6464</v>
      </c>
      <c r="D138" s="41">
        <v>34.200000000000003</v>
      </c>
      <c r="E138" s="41">
        <v>34.200000000000003</v>
      </c>
      <c r="F138" s="53">
        <v>0.77</v>
      </c>
      <c r="G138" s="41">
        <v>97</v>
      </c>
      <c r="H138" s="41">
        <v>100</v>
      </c>
      <c r="I138" s="41">
        <v>16501</v>
      </c>
      <c r="K138" s="41" t="s">
        <v>5947</v>
      </c>
      <c r="L138" s="41" t="s">
        <v>5574</v>
      </c>
      <c r="M138" s="41" t="str">
        <f>HYPERLINK("https://www.ncbi.nlm.nih.gov/nucleotide/MW316259.1?report=genbank&amp;log$=nucltop&amp;blast_rank=133&amp;RID=K3RYFBUB014","MW316259.1")</f>
        <v>MW316259.1</v>
      </c>
      <c r="N138" s="41">
        <v>36.200000000000003</v>
      </c>
      <c r="O138" s="41">
        <v>36.200000000000003</v>
      </c>
      <c r="P138" s="53">
        <v>0.95</v>
      </c>
      <c r="Q138" s="41">
        <v>25</v>
      </c>
      <c r="R138" s="41">
        <v>100</v>
      </c>
      <c r="S138" s="41">
        <v>16346</v>
      </c>
      <c r="U138" s="38" t="s">
        <v>5948</v>
      </c>
      <c r="V138" s="38" t="s">
        <v>5949</v>
      </c>
      <c r="W138" s="38" t="str">
        <f>HYPERLINK("https://www.ncbi.nlm.nih.gov/nucleotide/XR_008848927.1?report=genbank&amp;log$=nucltop&amp;blast_rank=133&amp;RID=K3S1J64G014","XR_008848927.1")</f>
        <v>XR_008848927.1</v>
      </c>
      <c r="X138" s="38">
        <v>38.200000000000003</v>
      </c>
      <c r="Y138" s="38">
        <v>38.200000000000003</v>
      </c>
      <c r="Z138" s="55">
        <v>0.68</v>
      </c>
      <c r="AA138" s="38">
        <v>19</v>
      </c>
      <c r="AB138" s="38">
        <v>100</v>
      </c>
      <c r="AC138" s="38">
        <v>982</v>
      </c>
    </row>
    <row r="139" spans="1:29" x14ac:dyDescent="0.15">
      <c r="A139" s="41" t="s">
        <v>5950</v>
      </c>
      <c r="B139" s="41" t="s">
        <v>5951</v>
      </c>
      <c r="C139" s="41" t="s">
        <v>6465</v>
      </c>
      <c r="D139" s="41">
        <v>34.200000000000003</v>
      </c>
      <c r="E139" s="41">
        <v>34.200000000000003</v>
      </c>
      <c r="F139" s="53">
        <v>0.77</v>
      </c>
      <c r="G139" s="41">
        <v>97</v>
      </c>
      <c r="H139" s="41">
        <v>100</v>
      </c>
      <c r="I139" s="41">
        <v>4568</v>
      </c>
      <c r="K139" s="41" t="s">
        <v>5952</v>
      </c>
      <c r="L139" s="41" t="s">
        <v>5574</v>
      </c>
      <c r="M139" s="41" t="str">
        <f>HYPERLINK("https://www.ncbi.nlm.nih.gov/nucleotide/MW316246.1?report=genbank&amp;log$=nucltop&amp;blast_rank=134&amp;RID=K3RYFBUB014","MW316246.1")</f>
        <v>MW316246.1</v>
      </c>
      <c r="N139" s="41">
        <v>36.200000000000003</v>
      </c>
      <c r="O139" s="41">
        <v>36.200000000000003</v>
      </c>
      <c r="P139" s="53">
        <v>0.95</v>
      </c>
      <c r="Q139" s="41">
        <v>25</v>
      </c>
      <c r="R139" s="41">
        <v>100</v>
      </c>
      <c r="S139" s="41">
        <v>16382</v>
      </c>
      <c r="U139" s="38" t="s">
        <v>5953</v>
      </c>
      <c r="V139" s="38" t="s">
        <v>1996</v>
      </c>
      <c r="W139" s="38" t="str">
        <f>HYPERLINK("https://www.ncbi.nlm.nih.gov/nucleotide/NC_011173.1?report=genbank&amp;log$=nucltop&amp;blast_rank=134&amp;RID=K3S1J64G014","NC_011173.1")</f>
        <v>NC_011173.1</v>
      </c>
      <c r="X139" s="38">
        <v>38.200000000000003</v>
      </c>
      <c r="Y139" s="38">
        <v>38.200000000000003</v>
      </c>
      <c r="Z139" s="55">
        <v>0.82</v>
      </c>
      <c r="AA139" s="38">
        <v>19</v>
      </c>
      <c r="AB139" s="38">
        <v>95.65</v>
      </c>
      <c r="AC139" s="38">
        <v>16721</v>
      </c>
    </row>
    <row r="140" spans="1:29" x14ac:dyDescent="0.15">
      <c r="A140" s="41" t="s">
        <v>5954</v>
      </c>
      <c r="B140" s="41" t="s">
        <v>5955</v>
      </c>
      <c r="C140" s="41" t="s">
        <v>6466</v>
      </c>
      <c r="D140" s="41">
        <v>34.200000000000003</v>
      </c>
      <c r="E140" s="41">
        <v>34.200000000000003</v>
      </c>
      <c r="F140" s="53">
        <v>0.77</v>
      </c>
      <c r="G140" s="41">
        <v>97</v>
      </c>
      <c r="H140" s="41">
        <v>100</v>
      </c>
      <c r="I140" s="41">
        <v>2359</v>
      </c>
      <c r="K140" s="41" t="s">
        <v>5956</v>
      </c>
      <c r="L140" s="41" t="s">
        <v>5574</v>
      </c>
      <c r="M140" s="41" t="str">
        <f>HYPERLINK("https://www.ncbi.nlm.nih.gov/nucleotide/OQ554164.1?report=genbank&amp;log$=nucltop&amp;blast_rank=135&amp;RID=K3RYFBUB014","OQ554164.1")</f>
        <v>OQ554164.1</v>
      </c>
      <c r="N140" s="41">
        <v>36.200000000000003</v>
      </c>
      <c r="O140" s="41">
        <v>36.200000000000003</v>
      </c>
      <c r="P140" s="53">
        <v>0.95</v>
      </c>
      <c r="Q140" s="41">
        <v>25</v>
      </c>
      <c r="R140" s="41">
        <v>100</v>
      </c>
      <c r="S140" s="41">
        <v>16386</v>
      </c>
      <c r="U140" s="38" t="s">
        <v>5957</v>
      </c>
      <c r="V140" s="38" t="s">
        <v>5937</v>
      </c>
      <c r="W140" s="38" t="str">
        <f>HYPERLINK("https://www.ncbi.nlm.nih.gov/nucleotide/AP027053.1?report=genbank&amp;log$=nucltop&amp;blast_rank=135&amp;RID=K3S1J64G014","AP027053.1")</f>
        <v>AP027053.1</v>
      </c>
      <c r="X140" s="38">
        <v>38.200000000000003</v>
      </c>
      <c r="Y140" s="38">
        <v>38.200000000000003</v>
      </c>
      <c r="Z140" s="55">
        <v>0.68</v>
      </c>
      <c r="AA140" s="38">
        <v>19</v>
      </c>
      <c r="AB140" s="38">
        <v>100</v>
      </c>
      <c r="AC140" s="38">
        <v>2189521</v>
      </c>
    </row>
    <row r="141" spans="1:29" x14ac:dyDescent="0.15">
      <c r="A141" s="41" t="s">
        <v>5958</v>
      </c>
      <c r="B141" s="41" t="s">
        <v>5959</v>
      </c>
      <c r="C141" s="41" t="s">
        <v>6467</v>
      </c>
      <c r="D141" s="41">
        <v>34.200000000000003</v>
      </c>
      <c r="E141" s="41">
        <v>34.200000000000003</v>
      </c>
      <c r="F141" s="53">
        <v>0.77</v>
      </c>
      <c r="G141" s="41">
        <v>97</v>
      </c>
      <c r="H141" s="41">
        <v>100</v>
      </c>
      <c r="I141" s="41">
        <v>2219</v>
      </c>
      <c r="K141" s="41" t="s">
        <v>5960</v>
      </c>
      <c r="L141" s="41" t="s">
        <v>5574</v>
      </c>
      <c r="M141" s="41" t="str">
        <f>HYPERLINK("https://www.ncbi.nlm.nih.gov/nucleotide/MW316163.1?report=genbank&amp;log$=nucltop&amp;blast_rank=136&amp;RID=K3RYFBUB014","MW316163.1")</f>
        <v>MW316163.1</v>
      </c>
      <c r="N141" s="41">
        <v>36.200000000000003</v>
      </c>
      <c r="O141" s="41">
        <v>36.200000000000003</v>
      </c>
      <c r="P141" s="53">
        <v>0.95</v>
      </c>
      <c r="Q141" s="41">
        <v>25</v>
      </c>
      <c r="R141" s="41">
        <v>100</v>
      </c>
      <c r="S141" s="41">
        <v>16386</v>
      </c>
      <c r="U141" s="38" t="s">
        <v>5961</v>
      </c>
      <c r="V141" s="38" t="s">
        <v>5949</v>
      </c>
      <c r="W141" s="38" t="str">
        <f>HYPERLINK("https://www.ncbi.nlm.nih.gov/nucleotide/XR_008848928.1?report=genbank&amp;log$=nucltop&amp;blast_rank=136&amp;RID=K3S1J64G014","XR_008848928.1")</f>
        <v>XR_008848928.1</v>
      </c>
      <c r="X141" s="38">
        <v>38.200000000000003</v>
      </c>
      <c r="Y141" s="38">
        <v>38.200000000000003</v>
      </c>
      <c r="Z141" s="55">
        <v>0.68</v>
      </c>
      <c r="AA141" s="38">
        <v>19</v>
      </c>
      <c r="AB141" s="38">
        <v>100</v>
      </c>
      <c r="AC141" s="38">
        <v>2353</v>
      </c>
    </row>
    <row r="142" spans="1:29" x14ac:dyDescent="0.15">
      <c r="A142" s="41" t="s">
        <v>5962</v>
      </c>
      <c r="B142" s="41" t="s">
        <v>5963</v>
      </c>
      <c r="C142" s="41" t="s">
        <v>6468</v>
      </c>
      <c r="D142" s="41">
        <v>34.200000000000003</v>
      </c>
      <c r="E142" s="41">
        <v>34.200000000000003</v>
      </c>
      <c r="F142" s="53">
        <v>0.95</v>
      </c>
      <c r="G142" s="41">
        <v>97</v>
      </c>
      <c r="H142" s="41">
        <v>95.24</v>
      </c>
      <c r="I142" s="41">
        <v>17064</v>
      </c>
      <c r="K142" s="41" t="s">
        <v>5964</v>
      </c>
      <c r="L142" s="41" t="s">
        <v>5574</v>
      </c>
      <c r="M142" s="41" t="str">
        <f>HYPERLINK("https://www.ncbi.nlm.nih.gov/nucleotide/OQ554289.1?report=genbank&amp;log$=nucltop&amp;blast_rank=137&amp;RID=K3RYFBUB014","OQ554289.1")</f>
        <v>OQ554289.1</v>
      </c>
      <c r="N142" s="41">
        <v>36.200000000000003</v>
      </c>
      <c r="O142" s="41">
        <v>36.200000000000003</v>
      </c>
      <c r="P142" s="53">
        <v>0.95</v>
      </c>
      <c r="Q142" s="41">
        <v>25</v>
      </c>
      <c r="R142" s="41">
        <v>100</v>
      </c>
      <c r="S142" s="41">
        <v>16386</v>
      </c>
      <c r="U142" s="38" t="s">
        <v>5965</v>
      </c>
      <c r="V142" s="38" t="s">
        <v>5949</v>
      </c>
      <c r="W142" s="38" t="str">
        <f>HYPERLINK("https://www.ncbi.nlm.nih.gov/nucleotide/XR_008848929.1?report=genbank&amp;log$=nucltop&amp;blast_rank=137&amp;RID=K3S1J64G014","XR_008848929.1")</f>
        <v>XR_008848929.1</v>
      </c>
      <c r="X142" s="38">
        <v>38.200000000000003</v>
      </c>
      <c r="Y142" s="38">
        <v>38.200000000000003</v>
      </c>
      <c r="Z142" s="55">
        <v>0.68</v>
      </c>
      <c r="AA142" s="38">
        <v>19</v>
      </c>
      <c r="AB142" s="38">
        <v>100</v>
      </c>
      <c r="AC142" s="38">
        <v>875</v>
      </c>
    </row>
    <row r="143" spans="1:29" x14ac:dyDescent="0.15">
      <c r="A143" s="41" t="s">
        <v>5966</v>
      </c>
      <c r="B143" s="41" t="s">
        <v>5967</v>
      </c>
      <c r="C143" s="41" t="s">
        <v>6469</v>
      </c>
      <c r="D143" s="41">
        <v>34.200000000000003</v>
      </c>
      <c r="E143" s="41">
        <v>34.200000000000003</v>
      </c>
      <c r="F143" s="53">
        <v>0.95</v>
      </c>
      <c r="G143" s="41">
        <v>97</v>
      </c>
      <c r="H143" s="41">
        <v>95.24</v>
      </c>
      <c r="I143" s="41">
        <v>17060</v>
      </c>
      <c r="K143" s="41" t="s">
        <v>5968</v>
      </c>
      <c r="L143" s="41" t="s">
        <v>5574</v>
      </c>
      <c r="M143" s="41" t="str">
        <f>HYPERLINK("https://www.ncbi.nlm.nih.gov/nucleotide/OQ554130.1?report=genbank&amp;log$=nucltop&amp;blast_rank=138&amp;RID=K3RYFBUB014","OQ554130.1")</f>
        <v>OQ554130.1</v>
      </c>
      <c r="N143" s="41">
        <v>36.200000000000003</v>
      </c>
      <c r="O143" s="41">
        <v>36.200000000000003</v>
      </c>
      <c r="P143" s="53">
        <v>0.95</v>
      </c>
      <c r="Q143" s="41">
        <v>25</v>
      </c>
      <c r="R143" s="41">
        <v>100</v>
      </c>
      <c r="S143" s="41">
        <v>16386</v>
      </c>
      <c r="U143" s="38" t="s">
        <v>5969</v>
      </c>
      <c r="V143" s="38" t="s">
        <v>5949</v>
      </c>
      <c r="W143" s="38" t="str">
        <f>HYPERLINK("https://www.ncbi.nlm.nih.gov/nucleotide/XR_008848931.1?report=genbank&amp;log$=nucltop&amp;blast_rank=138&amp;RID=K3S1J64G014","XR_008848931.1")</f>
        <v>XR_008848931.1</v>
      </c>
      <c r="X143" s="38">
        <v>38.200000000000003</v>
      </c>
      <c r="Y143" s="38">
        <v>38.200000000000003</v>
      </c>
      <c r="Z143" s="55">
        <v>0.68</v>
      </c>
      <c r="AA143" s="38">
        <v>19</v>
      </c>
      <c r="AB143" s="38">
        <v>100</v>
      </c>
      <c r="AC143" s="38">
        <v>695</v>
      </c>
    </row>
    <row r="144" spans="1:29" x14ac:dyDescent="0.15">
      <c r="A144" s="41" t="s">
        <v>5970</v>
      </c>
      <c r="B144" s="41" t="s">
        <v>5814</v>
      </c>
      <c r="C144" s="41" t="s">
        <v>6470</v>
      </c>
      <c r="D144" s="41">
        <v>34.200000000000003</v>
      </c>
      <c r="E144" s="41">
        <v>34.200000000000003</v>
      </c>
      <c r="F144" s="53">
        <v>0.95</v>
      </c>
      <c r="G144" s="41">
        <v>97</v>
      </c>
      <c r="H144" s="41">
        <v>95.24</v>
      </c>
      <c r="I144" s="41">
        <v>17063</v>
      </c>
      <c r="K144" s="41" t="s">
        <v>5971</v>
      </c>
      <c r="L144" s="41" t="s">
        <v>5574</v>
      </c>
      <c r="M144" s="41" t="str">
        <f>HYPERLINK("https://www.ncbi.nlm.nih.gov/nucleotide/OQ554116.1?report=genbank&amp;log$=nucltop&amp;blast_rank=139&amp;RID=K3RYFBUB014","OQ554116.1")</f>
        <v>OQ554116.1</v>
      </c>
      <c r="N144" s="41">
        <v>36.200000000000003</v>
      </c>
      <c r="O144" s="41">
        <v>36.200000000000003</v>
      </c>
      <c r="P144" s="53">
        <v>0.95</v>
      </c>
      <c r="Q144" s="41">
        <v>25</v>
      </c>
      <c r="R144" s="41">
        <v>100</v>
      </c>
      <c r="S144" s="41">
        <v>16387</v>
      </c>
      <c r="U144" s="38" t="s">
        <v>5972</v>
      </c>
      <c r="V144" s="38" t="s">
        <v>5949</v>
      </c>
      <c r="W144" s="38" t="str">
        <f>HYPERLINK("https://www.ncbi.nlm.nih.gov/nucleotide/XR_008848932.1?report=genbank&amp;log$=nucltop&amp;blast_rank=139&amp;RID=K3S1J64G014","XR_008848932.1")</f>
        <v>XR_008848932.1</v>
      </c>
      <c r="X144" s="38">
        <v>38.200000000000003</v>
      </c>
      <c r="Y144" s="38">
        <v>38.200000000000003</v>
      </c>
      <c r="Z144" s="55">
        <v>0.68</v>
      </c>
      <c r="AA144" s="38">
        <v>19</v>
      </c>
      <c r="AB144" s="38">
        <v>100</v>
      </c>
      <c r="AC144" s="38">
        <v>615</v>
      </c>
    </row>
    <row r="145" spans="1:29" x14ac:dyDescent="0.15">
      <c r="A145" s="41" t="s">
        <v>5973</v>
      </c>
      <c r="B145" s="41" t="s">
        <v>5887</v>
      </c>
      <c r="C145" s="41" t="s">
        <v>6471</v>
      </c>
      <c r="D145" s="41">
        <v>34.200000000000003</v>
      </c>
      <c r="E145" s="41">
        <v>34.200000000000003</v>
      </c>
      <c r="F145" s="53">
        <v>0.77</v>
      </c>
      <c r="G145" s="41">
        <v>97</v>
      </c>
      <c r="H145" s="41">
        <v>100</v>
      </c>
      <c r="I145" s="41">
        <v>2072</v>
      </c>
      <c r="K145" s="41" t="s">
        <v>5974</v>
      </c>
      <c r="L145" s="41" t="s">
        <v>5574</v>
      </c>
      <c r="M145" s="41" t="str">
        <f>HYPERLINK("https://www.ncbi.nlm.nih.gov/nucleotide/OQ554306.1?report=genbank&amp;log$=nucltop&amp;blast_rank=140&amp;RID=K3RYFBUB014","OQ554306.1")</f>
        <v>OQ554306.1</v>
      </c>
      <c r="N145" s="41">
        <v>36.200000000000003</v>
      </c>
      <c r="O145" s="41">
        <v>36.200000000000003</v>
      </c>
      <c r="P145" s="53">
        <v>0.95</v>
      </c>
      <c r="Q145" s="41">
        <v>25</v>
      </c>
      <c r="R145" s="41">
        <v>100</v>
      </c>
      <c r="S145" s="41">
        <v>16386</v>
      </c>
      <c r="U145" s="38" t="s">
        <v>5975</v>
      </c>
      <c r="V145" s="38" t="s">
        <v>4775</v>
      </c>
      <c r="W145" s="38" t="str">
        <f>HYPERLINK("https://www.ncbi.nlm.nih.gov/nucleotide/XM_012867992.3?report=genbank&amp;log$=nucltop&amp;blast_rank=140&amp;RID=K3S1J64G014","XM_012867992.3")</f>
        <v>XM_012867992.3</v>
      </c>
      <c r="X145" s="38">
        <v>38.200000000000003</v>
      </c>
      <c r="Y145" s="38">
        <v>38.200000000000003</v>
      </c>
      <c r="Z145" s="55">
        <v>0.68</v>
      </c>
      <c r="AA145" s="38">
        <v>19</v>
      </c>
      <c r="AB145" s="38">
        <v>100</v>
      </c>
      <c r="AC145" s="38">
        <v>4504</v>
      </c>
    </row>
    <row r="146" spans="1:29" x14ac:dyDescent="0.15">
      <c r="A146" s="41" t="s">
        <v>5976</v>
      </c>
      <c r="B146" s="41" t="s">
        <v>5773</v>
      </c>
      <c r="C146" s="41" t="s">
        <v>6472</v>
      </c>
      <c r="D146" s="41">
        <v>34.200000000000003</v>
      </c>
      <c r="E146" s="41">
        <v>34.200000000000003</v>
      </c>
      <c r="F146" s="53">
        <v>0.77</v>
      </c>
      <c r="G146" s="41">
        <v>97</v>
      </c>
      <c r="H146" s="41">
        <v>100</v>
      </c>
      <c r="I146" s="41">
        <v>16465</v>
      </c>
      <c r="K146" s="41" t="s">
        <v>5977</v>
      </c>
      <c r="L146" s="41" t="s">
        <v>5574</v>
      </c>
      <c r="M146" s="41" t="str">
        <f>HYPERLINK("https://www.ncbi.nlm.nih.gov/nucleotide/OQ554075.1?report=genbank&amp;log$=nucltop&amp;blast_rank=141&amp;RID=K3RYFBUB014","OQ554075.1")</f>
        <v>OQ554075.1</v>
      </c>
      <c r="N146" s="41">
        <v>36.200000000000003</v>
      </c>
      <c r="O146" s="41">
        <v>36.200000000000003</v>
      </c>
      <c r="P146" s="53">
        <v>0.95</v>
      </c>
      <c r="Q146" s="41">
        <v>25</v>
      </c>
      <c r="R146" s="41">
        <v>100</v>
      </c>
      <c r="S146" s="41">
        <v>16387</v>
      </c>
      <c r="U146" s="38" t="s">
        <v>5978</v>
      </c>
      <c r="V146" s="38" t="s">
        <v>275</v>
      </c>
      <c r="W146" s="38" t="str">
        <f>HYPERLINK("https://www.ncbi.nlm.nih.gov/nucleotide/PX311119.1?report=genbank&amp;log$=nucltop&amp;blast_rank=141&amp;RID=K3S1J64G014","PX311119.1")</f>
        <v>PX311119.1</v>
      </c>
      <c r="X146" s="38">
        <v>38.200000000000003</v>
      </c>
      <c r="Y146" s="38">
        <v>38.200000000000003</v>
      </c>
      <c r="Z146" s="55">
        <v>0.82</v>
      </c>
      <c r="AA146" s="38">
        <v>19</v>
      </c>
      <c r="AB146" s="38">
        <v>95.65</v>
      </c>
      <c r="AC146" s="38">
        <v>975</v>
      </c>
    </row>
    <row r="147" spans="1:29" x14ac:dyDescent="0.15">
      <c r="A147" s="41" t="s">
        <v>5979</v>
      </c>
      <c r="B147" s="41" t="s">
        <v>4177</v>
      </c>
      <c r="C147" s="41" t="s">
        <v>6473</v>
      </c>
      <c r="D147" s="41">
        <v>34.200000000000003</v>
      </c>
      <c r="E147" s="41">
        <v>34.200000000000003</v>
      </c>
      <c r="F147" s="53">
        <v>0.77</v>
      </c>
      <c r="G147" s="41">
        <v>97</v>
      </c>
      <c r="H147" s="41">
        <v>100</v>
      </c>
      <c r="I147" s="41">
        <v>65790660</v>
      </c>
      <c r="K147" s="41" t="s">
        <v>5980</v>
      </c>
      <c r="L147" s="41" t="s">
        <v>5574</v>
      </c>
      <c r="M147" s="41" t="str">
        <f>HYPERLINK("https://www.ncbi.nlm.nih.gov/nucleotide/MW316274.1?report=genbank&amp;log$=nucltop&amp;blast_rank=142&amp;RID=K3RYFBUB014","MW316274.1")</f>
        <v>MW316274.1</v>
      </c>
      <c r="N147" s="41">
        <v>36.200000000000003</v>
      </c>
      <c r="O147" s="41">
        <v>36.200000000000003</v>
      </c>
      <c r="P147" s="53">
        <v>0.95</v>
      </c>
      <c r="Q147" s="41">
        <v>25</v>
      </c>
      <c r="R147" s="41">
        <v>100</v>
      </c>
      <c r="S147" s="41">
        <v>16385</v>
      </c>
      <c r="U147" s="38" t="s">
        <v>5981</v>
      </c>
      <c r="V147" s="38" t="s">
        <v>5937</v>
      </c>
      <c r="W147" s="38" t="str">
        <f>HYPERLINK("https://www.ncbi.nlm.nih.gov/nucleotide/FO203527.1?report=genbank&amp;log$=nucltop&amp;blast_rank=142&amp;RID=K3S1J64G014","FO203527.1")</f>
        <v>FO203527.1</v>
      </c>
      <c r="X147" s="38">
        <v>38.200000000000003</v>
      </c>
      <c r="Y147" s="38">
        <v>38.200000000000003</v>
      </c>
      <c r="Z147" s="55">
        <v>0.68</v>
      </c>
      <c r="AA147" s="38">
        <v>19</v>
      </c>
      <c r="AB147" s="38">
        <v>100</v>
      </c>
      <c r="AC147" s="38">
        <v>2212415</v>
      </c>
    </row>
    <row r="148" spans="1:29" x14ac:dyDescent="0.15">
      <c r="A148" s="41" t="s">
        <v>5962</v>
      </c>
      <c r="B148" s="41" t="s">
        <v>5963</v>
      </c>
      <c r="C148" s="41" t="s">
        <v>6474</v>
      </c>
      <c r="D148" s="41">
        <v>34.200000000000003</v>
      </c>
      <c r="E148" s="41">
        <v>34.200000000000003</v>
      </c>
      <c r="F148" s="53">
        <v>0.95</v>
      </c>
      <c r="G148" s="41">
        <v>97</v>
      </c>
      <c r="H148" s="41">
        <v>95.24</v>
      </c>
      <c r="I148" s="41">
        <v>17063</v>
      </c>
      <c r="K148" s="41" t="s">
        <v>5982</v>
      </c>
      <c r="L148" s="41" t="s">
        <v>5574</v>
      </c>
      <c r="M148" s="41" t="str">
        <f>HYPERLINK("https://www.ncbi.nlm.nih.gov/nucleotide/OQ554259.1?report=genbank&amp;log$=nucltop&amp;blast_rank=143&amp;RID=K3RYFBUB014","OQ554259.1")</f>
        <v>OQ554259.1</v>
      </c>
      <c r="N148" s="41">
        <v>36.200000000000003</v>
      </c>
      <c r="O148" s="41">
        <v>36.200000000000003</v>
      </c>
      <c r="P148" s="53">
        <v>0.95</v>
      </c>
      <c r="Q148" s="41">
        <v>25</v>
      </c>
      <c r="R148" s="41">
        <v>100</v>
      </c>
      <c r="S148" s="41">
        <v>16386</v>
      </c>
      <c r="U148" s="38" t="s">
        <v>5983</v>
      </c>
      <c r="V148" s="38" t="s">
        <v>5949</v>
      </c>
      <c r="W148" s="38" t="str">
        <f>HYPERLINK("https://www.ncbi.nlm.nih.gov/nucleotide/XR_008848930.1?report=genbank&amp;log$=nucltop&amp;blast_rank=143&amp;RID=K3S1J64G014","XR_008848930.1")</f>
        <v>XR_008848930.1</v>
      </c>
      <c r="X148" s="38">
        <v>38.200000000000003</v>
      </c>
      <c r="Y148" s="38">
        <v>38.200000000000003</v>
      </c>
      <c r="Z148" s="55">
        <v>0.68</v>
      </c>
      <c r="AA148" s="38">
        <v>19</v>
      </c>
      <c r="AB148" s="38">
        <v>100</v>
      </c>
      <c r="AC148" s="38">
        <v>1056</v>
      </c>
    </row>
    <row r="149" spans="1:29" x14ac:dyDescent="0.15">
      <c r="A149" s="41" t="s">
        <v>5984</v>
      </c>
      <c r="B149" s="41" t="s">
        <v>5857</v>
      </c>
      <c r="C149" s="41" t="s">
        <v>6475</v>
      </c>
      <c r="D149" s="41">
        <v>34.200000000000003</v>
      </c>
      <c r="E149" s="41">
        <v>34.200000000000003</v>
      </c>
      <c r="F149" s="53">
        <v>0.95</v>
      </c>
      <c r="G149" s="41">
        <v>97</v>
      </c>
      <c r="H149" s="41">
        <v>95.24</v>
      </c>
      <c r="I149" s="41">
        <v>16607</v>
      </c>
      <c r="K149" s="41" t="s">
        <v>5985</v>
      </c>
      <c r="L149" s="41" t="s">
        <v>5574</v>
      </c>
      <c r="M149" s="41" t="str">
        <f>HYPERLINK("https://www.ncbi.nlm.nih.gov/nucleotide/OQ554189.1?report=genbank&amp;log$=nucltop&amp;blast_rank=144&amp;RID=K3RYFBUB014","OQ554189.1")</f>
        <v>OQ554189.1</v>
      </c>
      <c r="N149" s="41">
        <v>36.200000000000003</v>
      </c>
      <c r="O149" s="41">
        <v>36.200000000000003</v>
      </c>
      <c r="P149" s="53">
        <v>0.95</v>
      </c>
      <c r="Q149" s="41">
        <v>25</v>
      </c>
      <c r="R149" s="41">
        <v>100</v>
      </c>
      <c r="S149" s="41">
        <v>16387</v>
      </c>
      <c r="U149" s="38" t="s">
        <v>5986</v>
      </c>
      <c r="V149" s="38" t="s">
        <v>5987</v>
      </c>
      <c r="W149" s="38" t="str">
        <f>HYPERLINK("https://www.ncbi.nlm.nih.gov/nucleotide/OP056905.1?report=genbank&amp;log$=nucltop&amp;blast_rank=144&amp;RID=K3S1J64G014","OP056905.1")</f>
        <v>OP056905.1</v>
      </c>
      <c r="X149" s="38">
        <v>38.200000000000003</v>
      </c>
      <c r="Y149" s="38">
        <v>38.200000000000003</v>
      </c>
      <c r="Z149" s="55">
        <v>0.82</v>
      </c>
      <c r="AA149" s="38">
        <v>19</v>
      </c>
      <c r="AB149" s="38">
        <v>95.65</v>
      </c>
      <c r="AC149" s="38">
        <v>16528</v>
      </c>
    </row>
    <row r="150" spans="1:29" x14ac:dyDescent="0.15">
      <c r="A150" s="41" t="s">
        <v>5988</v>
      </c>
      <c r="B150" s="41" t="s">
        <v>5893</v>
      </c>
      <c r="C150" s="41" t="s">
        <v>6476</v>
      </c>
      <c r="D150" s="41">
        <v>34.200000000000003</v>
      </c>
      <c r="E150" s="41">
        <v>34.200000000000003</v>
      </c>
      <c r="F150" s="53">
        <v>0.95</v>
      </c>
      <c r="G150" s="41">
        <v>97</v>
      </c>
      <c r="H150" s="41">
        <v>95.24</v>
      </c>
      <c r="I150" s="41">
        <v>16783</v>
      </c>
      <c r="K150" s="41" t="s">
        <v>5989</v>
      </c>
      <c r="L150" s="41" t="s">
        <v>5574</v>
      </c>
      <c r="M150" s="41" t="str">
        <f>HYPERLINK("https://www.ncbi.nlm.nih.gov/nucleotide/OQ554261.1?report=genbank&amp;log$=nucltop&amp;blast_rank=145&amp;RID=K3RYFBUB014","OQ554261.1")</f>
        <v>OQ554261.1</v>
      </c>
      <c r="N150" s="41">
        <v>36.200000000000003</v>
      </c>
      <c r="O150" s="41">
        <v>36.200000000000003</v>
      </c>
      <c r="P150" s="53">
        <v>0.95</v>
      </c>
      <c r="Q150" s="41">
        <v>25</v>
      </c>
      <c r="R150" s="41">
        <v>100</v>
      </c>
      <c r="S150" s="41">
        <v>16386</v>
      </c>
      <c r="U150" s="38" t="s">
        <v>5990</v>
      </c>
      <c r="V150" s="38" t="s">
        <v>275</v>
      </c>
      <c r="W150" s="38" t="str">
        <f>HYPERLINK("https://www.ncbi.nlm.nih.gov/nucleotide/PX311106.1?report=genbank&amp;log$=nucltop&amp;blast_rank=145&amp;RID=K3S1J64G014","PX311106.1")</f>
        <v>PX311106.1</v>
      </c>
      <c r="X150" s="38">
        <v>38.200000000000003</v>
      </c>
      <c r="Y150" s="38">
        <v>38.200000000000003</v>
      </c>
      <c r="Z150" s="55">
        <v>0.82</v>
      </c>
      <c r="AA150" s="38">
        <v>19</v>
      </c>
      <c r="AB150" s="38">
        <v>95.65</v>
      </c>
      <c r="AC150" s="38">
        <v>975</v>
      </c>
    </row>
    <row r="151" spans="1:29" x14ac:dyDescent="0.15">
      <c r="A151" s="41" t="s">
        <v>5991</v>
      </c>
      <c r="B151" s="41" t="s">
        <v>5992</v>
      </c>
      <c r="C151" s="41" t="s">
        <v>6477</v>
      </c>
      <c r="D151" s="41">
        <v>34.200000000000003</v>
      </c>
      <c r="E151" s="41">
        <v>34.200000000000003</v>
      </c>
      <c r="F151" s="53">
        <v>0.95</v>
      </c>
      <c r="G151" s="41">
        <v>97</v>
      </c>
      <c r="H151" s="41">
        <v>95.24</v>
      </c>
      <c r="I151" s="41">
        <v>17620</v>
      </c>
      <c r="K151" s="41" t="s">
        <v>5818</v>
      </c>
      <c r="L151" s="41" t="s">
        <v>5574</v>
      </c>
      <c r="M151" s="41" t="str">
        <f>HYPERLINK("https://www.ncbi.nlm.nih.gov/nucleotide/MW316288.1?report=genbank&amp;log$=nucltop&amp;blast_rank=146&amp;RID=K3RYFBUB014","MW316288.1")</f>
        <v>MW316288.1</v>
      </c>
      <c r="N151" s="41">
        <v>36.200000000000003</v>
      </c>
      <c r="O151" s="41">
        <v>36.200000000000003</v>
      </c>
      <c r="P151" s="53">
        <v>0.95</v>
      </c>
      <c r="Q151" s="41">
        <v>25</v>
      </c>
      <c r="R151" s="41">
        <v>100</v>
      </c>
      <c r="S151" s="41">
        <v>16377</v>
      </c>
      <c r="U151" s="38" t="s">
        <v>5993</v>
      </c>
      <c r="V151" s="38" t="s">
        <v>5949</v>
      </c>
      <c r="W151" s="38" t="str">
        <f>HYPERLINK("https://www.ncbi.nlm.nih.gov/nucleotide/XR_008848933.1?report=genbank&amp;log$=nucltop&amp;blast_rank=146&amp;RID=K3S1J64G014","XR_008848933.1")</f>
        <v>XR_008848933.1</v>
      </c>
      <c r="X151" s="38">
        <v>38.200000000000003</v>
      </c>
      <c r="Y151" s="38">
        <v>38.200000000000003</v>
      </c>
      <c r="Z151" s="55">
        <v>0.68</v>
      </c>
      <c r="AA151" s="38">
        <v>19</v>
      </c>
      <c r="AB151" s="38">
        <v>100</v>
      </c>
      <c r="AC151" s="38">
        <v>825</v>
      </c>
    </row>
    <row r="152" spans="1:29" x14ac:dyDescent="0.15">
      <c r="A152" s="57" t="s">
        <v>5994</v>
      </c>
      <c r="B152" s="57" t="s">
        <v>69</v>
      </c>
      <c r="C152" s="41" t="s">
        <v>6478</v>
      </c>
      <c r="D152" s="41">
        <v>34.200000000000003</v>
      </c>
      <c r="E152" s="41">
        <v>34.200000000000003</v>
      </c>
      <c r="F152" s="53">
        <v>0.95</v>
      </c>
      <c r="G152" s="41">
        <v>97</v>
      </c>
      <c r="H152" s="41">
        <v>95.24</v>
      </c>
      <c r="I152" s="41">
        <v>975</v>
      </c>
      <c r="K152" s="41" t="s">
        <v>5995</v>
      </c>
      <c r="L152" s="41" t="s">
        <v>5574</v>
      </c>
      <c r="M152" s="41" t="str">
        <f>HYPERLINK("https://www.ncbi.nlm.nih.gov/nucleotide/OQ554207.1?report=genbank&amp;log$=nucltop&amp;blast_rank=147&amp;RID=K3RYFBUB014","OQ554207.1")</f>
        <v>OQ554207.1</v>
      </c>
      <c r="N152" s="41">
        <v>36.200000000000003</v>
      </c>
      <c r="O152" s="41">
        <v>36.200000000000003</v>
      </c>
      <c r="P152" s="53">
        <v>0.95</v>
      </c>
      <c r="Q152" s="41">
        <v>25</v>
      </c>
      <c r="R152" s="41">
        <v>100</v>
      </c>
      <c r="S152" s="41">
        <v>16386</v>
      </c>
      <c r="U152" s="38" t="s">
        <v>5996</v>
      </c>
      <c r="V152" s="38" t="s">
        <v>4775</v>
      </c>
      <c r="W152" s="38" t="str">
        <f>HYPERLINK("https://www.ncbi.nlm.nih.gov/nucleotide/XM_021319233.2?report=genbank&amp;log$=nucltop&amp;blast_rank=147&amp;RID=K3S1J64G014","XM_021319233.2")</f>
        <v>XM_021319233.2</v>
      </c>
      <c r="X152" s="38">
        <v>38.200000000000003</v>
      </c>
      <c r="Y152" s="38">
        <v>38.200000000000003</v>
      </c>
      <c r="Z152" s="55">
        <v>0.68</v>
      </c>
      <c r="AA152" s="38">
        <v>19</v>
      </c>
      <c r="AB152" s="38">
        <v>100</v>
      </c>
      <c r="AC152" s="38">
        <v>4410</v>
      </c>
    </row>
    <row r="153" spans="1:29" x14ac:dyDescent="0.15">
      <c r="A153" s="41" t="s">
        <v>5997</v>
      </c>
      <c r="B153" s="41" t="s">
        <v>5998</v>
      </c>
      <c r="C153" s="41" t="s">
        <v>6479</v>
      </c>
      <c r="D153" s="41">
        <v>34.200000000000003</v>
      </c>
      <c r="E153" s="41">
        <v>34.200000000000003</v>
      </c>
      <c r="F153" s="53">
        <v>0.77</v>
      </c>
      <c r="G153" s="41">
        <v>97</v>
      </c>
      <c r="H153" s="41">
        <v>100</v>
      </c>
      <c r="I153" s="41">
        <v>12952</v>
      </c>
      <c r="K153" s="41" t="s">
        <v>5999</v>
      </c>
      <c r="L153" s="41" t="s">
        <v>5574</v>
      </c>
      <c r="M153" s="41" t="str">
        <f>HYPERLINK("https://www.ncbi.nlm.nih.gov/nucleotide/OQ554033.1?report=genbank&amp;log$=nucltop&amp;blast_rank=148&amp;RID=K3RYFBUB014","OQ554033.1")</f>
        <v>OQ554033.1</v>
      </c>
      <c r="N153" s="41">
        <v>36.200000000000003</v>
      </c>
      <c r="O153" s="41">
        <v>36.200000000000003</v>
      </c>
      <c r="P153" s="53">
        <v>0.95</v>
      </c>
      <c r="Q153" s="41">
        <v>25</v>
      </c>
      <c r="R153" s="41">
        <v>100</v>
      </c>
      <c r="S153" s="41">
        <v>16386</v>
      </c>
      <c r="U153" s="38" t="s">
        <v>6000</v>
      </c>
      <c r="V153" s="38" t="s">
        <v>2270</v>
      </c>
      <c r="W153" s="38" t="str">
        <f>HYPERLINK("https://www.ncbi.nlm.nih.gov/nucleotide/MW689259.1?report=genbank&amp;log$=nucltop&amp;blast_rank=148&amp;RID=K3S1J64G014","MW689259.1")</f>
        <v>MW689259.1</v>
      </c>
      <c r="X153" s="38">
        <v>36.200000000000003</v>
      </c>
      <c r="Y153" s="38">
        <v>36.200000000000003</v>
      </c>
      <c r="Z153" s="55">
        <v>0.93</v>
      </c>
      <c r="AA153" s="38">
        <v>74</v>
      </c>
      <c r="AB153" s="38">
        <v>92.31</v>
      </c>
      <c r="AC153" s="38">
        <v>16543</v>
      </c>
    </row>
    <row r="154" spans="1:29" x14ac:dyDescent="0.15">
      <c r="A154" s="41" t="s">
        <v>6001</v>
      </c>
      <c r="B154" s="41" t="s">
        <v>6002</v>
      </c>
      <c r="C154" s="41" t="s">
        <v>6480</v>
      </c>
      <c r="D154" s="41">
        <v>34.200000000000003</v>
      </c>
      <c r="E154" s="41">
        <v>34.200000000000003</v>
      </c>
      <c r="F154" s="53">
        <v>0.95</v>
      </c>
      <c r="G154" s="41">
        <v>97</v>
      </c>
      <c r="H154" s="41">
        <v>95.24</v>
      </c>
      <c r="I154" s="41">
        <v>30240975</v>
      </c>
      <c r="K154" s="41" t="s">
        <v>6003</v>
      </c>
      <c r="L154" s="41" t="s">
        <v>5574</v>
      </c>
      <c r="M154" s="41" t="str">
        <f>HYPERLINK("https://www.ncbi.nlm.nih.gov/nucleotide/OQ554028.1?report=genbank&amp;log$=nucltop&amp;blast_rank=149&amp;RID=K3RYFBUB014","OQ554028.1")</f>
        <v>OQ554028.1</v>
      </c>
      <c r="N154" s="41">
        <v>36.200000000000003</v>
      </c>
      <c r="O154" s="41">
        <v>36.200000000000003</v>
      </c>
      <c r="P154" s="53">
        <v>0.95</v>
      </c>
      <c r="Q154" s="41">
        <v>25</v>
      </c>
      <c r="R154" s="41">
        <v>100</v>
      </c>
      <c r="S154" s="41">
        <v>16386</v>
      </c>
      <c r="U154" s="38" t="s">
        <v>4772</v>
      </c>
      <c r="V154" s="38" t="s">
        <v>2133</v>
      </c>
      <c r="W154" s="38" t="str">
        <f>HYPERLINK("https://www.ncbi.nlm.nih.gov/nucleotide/NC_028089.1?report=genbank&amp;log$=nucltop&amp;blast_rank=149&amp;RID=K3S1J64G014","NC_028089.1")</f>
        <v>NC_028089.1</v>
      </c>
      <c r="X154" s="38">
        <v>36.200000000000003</v>
      </c>
      <c r="Y154" s="38">
        <v>36.200000000000003</v>
      </c>
      <c r="Z154" s="55">
        <v>0.93</v>
      </c>
      <c r="AA154" s="38">
        <v>74</v>
      </c>
      <c r="AB154" s="38">
        <v>92.31</v>
      </c>
      <c r="AC154" s="38">
        <v>16581</v>
      </c>
    </row>
    <row r="155" spans="1:29" x14ac:dyDescent="0.15">
      <c r="A155" s="41" t="s">
        <v>6004</v>
      </c>
      <c r="B155" s="41" t="s">
        <v>6005</v>
      </c>
      <c r="C155" s="41" t="s">
        <v>6481</v>
      </c>
      <c r="D155" s="41">
        <v>34.200000000000003</v>
      </c>
      <c r="E155" s="41">
        <v>34.200000000000003</v>
      </c>
      <c r="F155" s="53">
        <v>0.95</v>
      </c>
      <c r="G155" s="41">
        <v>97</v>
      </c>
      <c r="H155" s="41">
        <v>95.24</v>
      </c>
      <c r="I155" s="41">
        <v>17041</v>
      </c>
      <c r="K155" s="41" t="s">
        <v>6006</v>
      </c>
      <c r="L155" s="41" t="s">
        <v>5574</v>
      </c>
      <c r="M155" s="41" t="str">
        <f>HYPERLINK("https://www.ncbi.nlm.nih.gov/nucleotide/OQ554079.1?report=genbank&amp;log$=nucltop&amp;blast_rank=150&amp;RID=K3RYFBUB014","OQ554079.1")</f>
        <v>OQ554079.1</v>
      </c>
      <c r="N155" s="41">
        <v>36.200000000000003</v>
      </c>
      <c r="O155" s="41">
        <v>36.200000000000003</v>
      </c>
      <c r="P155" s="53">
        <v>0.95</v>
      </c>
      <c r="Q155" s="41">
        <v>25</v>
      </c>
      <c r="R155" s="41">
        <v>100</v>
      </c>
      <c r="S155" s="41">
        <v>16386</v>
      </c>
      <c r="U155" s="38" t="s">
        <v>4665</v>
      </c>
      <c r="V155" s="38" t="s">
        <v>2113</v>
      </c>
      <c r="W155" s="38" t="str">
        <f>HYPERLINK("https://www.ncbi.nlm.nih.gov/nucleotide/NC_073585.1?report=genbank&amp;log$=nucltop&amp;blast_rank=150&amp;RID=K3S1J64G014","NC_073585.1")</f>
        <v>NC_073585.1</v>
      </c>
      <c r="X155" s="38">
        <v>36.200000000000003</v>
      </c>
      <c r="Y155" s="38">
        <v>36.200000000000003</v>
      </c>
      <c r="Z155" s="55">
        <v>0.93</v>
      </c>
      <c r="AA155" s="38">
        <v>74</v>
      </c>
      <c r="AB155" s="38">
        <v>92.31</v>
      </c>
      <c r="AC155" s="38">
        <v>16581</v>
      </c>
    </row>
    <row r="156" spans="1:29" x14ac:dyDescent="0.15">
      <c r="A156" s="57" t="s">
        <v>6007</v>
      </c>
      <c r="B156" s="57" t="s">
        <v>69</v>
      </c>
      <c r="C156" s="41" t="s">
        <v>6482</v>
      </c>
      <c r="D156" s="41">
        <v>34.200000000000003</v>
      </c>
      <c r="E156" s="41">
        <v>34.200000000000003</v>
      </c>
      <c r="F156" s="53">
        <v>0.95</v>
      </c>
      <c r="G156" s="41">
        <v>97</v>
      </c>
      <c r="H156" s="41">
        <v>95.24</v>
      </c>
      <c r="I156" s="41">
        <v>975</v>
      </c>
      <c r="K156" s="41" t="s">
        <v>6008</v>
      </c>
      <c r="L156" s="41" t="s">
        <v>5574</v>
      </c>
      <c r="M156" s="41" t="str">
        <f>HYPERLINK("https://www.ncbi.nlm.nih.gov/nucleotide/OQ554061.1?report=genbank&amp;log$=nucltop&amp;blast_rank=151&amp;RID=K3RYFBUB014","OQ554061.1")</f>
        <v>OQ554061.1</v>
      </c>
      <c r="N156" s="41">
        <v>36.200000000000003</v>
      </c>
      <c r="O156" s="41">
        <v>36.200000000000003</v>
      </c>
      <c r="P156" s="53">
        <v>0.95</v>
      </c>
      <c r="Q156" s="41">
        <v>25</v>
      </c>
      <c r="R156" s="41">
        <v>100</v>
      </c>
      <c r="S156" s="41">
        <v>16387</v>
      </c>
      <c r="U156" s="38" t="s">
        <v>4846</v>
      </c>
      <c r="V156" s="38" t="s">
        <v>2117</v>
      </c>
      <c r="W156" s="38" t="str">
        <f>HYPERLINK("https://www.ncbi.nlm.nih.gov/nucleotide/NC_030607.1?report=genbank&amp;log$=nucltop&amp;blast_rank=151&amp;RID=K3S1J64G014","NC_030607.1")</f>
        <v>NC_030607.1</v>
      </c>
      <c r="X156" s="38">
        <v>36.200000000000003</v>
      </c>
      <c r="Y156" s="38">
        <v>36.200000000000003</v>
      </c>
      <c r="Z156" s="55">
        <v>0.93</v>
      </c>
      <c r="AA156" s="38">
        <v>74</v>
      </c>
      <c r="AB156" s="38">
        <v>92.31</v>
      </c>
      <c r="AC156" s="38">
        <v>16583</v>
      </c>
    </row>
    <row r="157" spans="1:29" x14ac:dyDescent="0.15">
      <c r="A157" s="41" t="s">
        <v>6004</v>
      </c>
      <c r="B157" s="41" t="s">
        <v>6005</v>
      </c>
      <c r="C157" s="41" t="s">
        <v>6483</v>
      </c>
      <c r="D157" s="41">
        <v>34.200000000000003</v>
      </c>
      <c r="E157" s="41">
        <v>34.200000000000003</v>
      </c>
      <c r="F157" s="53">
        <v>0.95</v>
      </c>
      <c r="G157" s="41">
        <v>97</v>
      </c>
      <c r="H157" s="41">
        <v>95.24</v>
      </c>
      <c r="I157" s="41">
        <v>17041</v>
      </c>
      <c r="K157" s="41" t="s">
        <v>6009</v>
      </c>
      <c r="L157" s="41" t="s">
        <v>5574</v>
      </c>
      <c r="M157" s="41" t="str">
        <f>HYPERLINK("https://www.ncbi.nlm.nih.gov/nucleotide/OQ554143.1?report=genbank&amp;log$=nucltop&amp;blast_rank=152&amp;RID=K3RYFBUB014","OQ554143.1")</f>
        <v>OQ554143.1</v>
      </c>
      <c r="N157" s="41">
        <v>36.200000000000003</v>
      </c>
      <c r="O157" s="41">
        <v>36.200000000000003</v>
      </c>
      <c r="P157" s="53">
        <v>0.95</v>
      </c>
      <c r="Q157" s="41">
        <v>25</v>
      </c>
      <c r="R157" s="41">
        <v>100</v>
      </c>
      <c r="S157" s="41">
        <v>16387</v>
      </c>
      <c r="U157" s="38" t="s">
        <v>4856</v>
      </c>
      <c r="V157" s="38" t="s">
        <v>2145</v>
      </c>
      <c r="W157" s="38" t="str">
        <f>HYPERLINK("https://www.ncbi.nlm.nih.gov/nucleotide/NC_027944.1?report=genbank&amp;log$=nucltop&amp;blast_rank=152&amp;RID=K3S1J64G014","NC_027944.1")</f>
        <v>NC_027944.1</v>
      </c>
      <c r="X157" s="38">
        <v>36.200000000000003</v>
      </c>
      <c r="Y157" s="38">
        <v>36.200000000000003</v>
      </c>
      <c r="Z157" s="55">
        <v>0.93</v>
      </c>
      <c r="AA157" s="38">
        <v>74</v>
      </c>
      <c r="AB157" s="38">
        <v>92.31</v>
      </c>
      <c r="AC157" s="38">
        <v>16582</v>
      </c>
    </row>
    <row r="158" spans="1:29" x14ac:dyDescent="0.15">
      <c r="A158" s="41" t="s">
        <v>6010</v>
      </c>
      <c r="B158" s="41" t="s">
        <v>4106</v>
      </c>
      <c r="C158" s="41" t="s">
        <v>6484</v>
      </c>
      <c r="D158" s="41">
        <v>34.200000000000003</v>
      </c>
      <c r="E158" s="41">
        <v>34.200000000000003</v>
      </c>
      <c r="F158" s="53">
        <v>0.77</v>
      </c>
      <c r="G158" s="41">
        <v>97</v>
      </c>
      <c r="H158" s="41">
        <v>100</v>
      </c>
      <c r="I158" s="41">
        <v>6269</v>
      </c>
      <c r="K158" s="41" t="s">
        <v>6011</v>
      </c>
      <c r="L158" s="41" t="s">
        <v>5574</v>
      </c>
      <c r="M158" s="41" t="str">
        <f>HYPERLINK("https://www.ncbi.nlm.nih.gov/nucleotide/OQ554293.1?report=genbank&amp;log$=nucltop&amp;blast_rank=153&amp;RID=K3RYFBUB014","OQ554293.1")</f>
        <v>OQ554293.1</v>
      </c>
      <c r="N158" s="41">
        <v>36.200000000000003</v>
      </c>
      <c r="O158" s="41">
        <v>36.200000000000003</v>
      </c>
      <c r="P158" s="53">
        <v>0.95</v>
      </c>
      <c r="Q158" s="41">
        <v>25</v>
      </c>
      <c r="R158" s="41">
        <v>100</v>
      </c>
      <c r="S158" s="41">
        <v>16386</v>
      </c>
      <c r="U158" s="38" t="s">
        <v>4922</v>
      </c>
      <c r="V158" s="38" t="s">
        <v>2143</v>
      </c>
      <c r="W158" s="38" t="str">
        <f>HYPERLINK("https://www.ncbi.nlm.nih.gov/nucleotide/NC_031419.1?report=genbank&amp;log$=nucltop&amp;blast_rank=153&amp;RID=K3S1J64G014","NC_031419.1")</f>
        <v>NC_031419.1</v>
      </c>
      <c r="X158" s="38">
        <v>36.200000000000003</v>
      </c>
      <c r="Y158" s="38">
        <v>36.200000000000003</v>
      </c>
      <c r="Z158" s="55">
        <v>0.93</v>
      </c>
      <c r="AA158" s="38">
        <v>74</v>
      </c>
      <c r="AB158" s="38">
        <v>92.31</v>
      </c>
      <c r="AC158" s="38">
        <v>16582</v>
      </c>
    </row>
    <row r="159" spans="1:29" x14ac:dyDescent="0.15">
      <c r="A159" s="41" t="s">
        <v>6012</v>
      </c>
      <c r="B159" s="41" t="s">
        <v>6013</v>
      </c>
      <c r="C159" s="41" t="s">
        <v>6485</v>
      </c>
      <c r="D159" s="41">
        <v>34.200000000000003</v>
      </c>
      <c r="E159" s="41">
        <v>34.200000000000003</v>
      </c>
      <c r="F159" s="53">
        <v>0.77</v>
      </c>
      <c r="G159" s="41">
        <v>97</v>
      </c>
      <c r="H159" s="41">
        <v>100</v>
      </c>
      <c r="I159" s="41">
        <v>17024</v>
      </c>
      <c r="K159" s="41" t="s">
        <v>6014</v>
      </c>
      <c r="L159" s="41" t="s">
        <v>5574</v>
      </c>
      <c r="M159" s="41" t="str">
        <f>HYPERLINK("https://www.ncbi.nlm.nih.gov/nucleotide/MW316183.1?report=genbank&amp;log$=nucltop&amp;blast_rank=154&amp;RID=K3RYFBUB014","MW316183.1")</f>
        <v>MW316183.1</v>
      </c>
      <c r="N159" s="41">
        <v>36.200000000000003</v>
      </c>
      <c r="O159" s="41">
        <v>36.200000000000003</v>
      </c>
      <c r="P159" s="53">
        <v>0.95</v>
      </c>
      <c r="Q159" s="41">
        <v>25</v>
      </c>
      <c r="R159" s="41">
        <v>100</v>
      </c>
      <c r="S159" s="41">
        <v>16386</v>
      </c>
      <c r="U159" s="38" t="s">
        <v>4990</v>
      </c>
      <c r="V159" s="38" t="s">
        <v>2153</v>
      </c>
      <c r="W159" s="38" t="str">
        <f>HYPERLINK("https://www.ncbi.nlm.nih.gov/nucleotide/NC_028156.1?report=genbank&amp;log$=nucltop&amp;blast_rank=154&amp;RID=K3S1J64G014","NC_028156.1")</f>
        <v>NC_028156.1</v>
      </c>
      <c r="X159" s="38">
        <v>36.200000000000003</v>
      </c>
      <c r="Y159" s="38">
        <v>36.200000000000003</v>
      </c>
      <c r="Z159" s="55">
        <v>0.93</v>
      </c>
      <c r="AA159" s="38">
        <v>74</v>
      </c>
      <c r="AB159" s="38">
        <v>92.31</v>
      </c>
      <c r="AC159" s="38">
        <v>16581</v>
      </c>
    </row>
    <row r="160" spans="1:29" x14ac:dyDescent="0.15">
      <c r="A160" s="41" t="s">
        <v>6015</v>
      </c>
      <c r="B160" s="41" t="s">
        <v>6016</v>
      </c>
      <c r="C160" s="41" t="s">
        <v>6486</v>
      </c>
      <c r="D160" s="41">
        <v>34.200000000000003</v>
      </c>
      <c r="E160" s="41">
        <v>34.200000000000003</v>
      </c>
      <c r="F160" s="53">
        <v>0.77</v>
      </c>
      <c r="G160" s="41">
        <v>97</v>
      </c>
      <c r="H160" s="41">
        <v>100</v>
      </c>
      <c r="I160" s="41">
        <v>3255</v>
      </c>
      <c r="K160" s="41" t="s">
        <v>6017</v>
      </c>
      <c r="L160" s="41" t="s">
        <v>5574</v>
      </c>
      <c r="M160" s="41" t="str">
        <f>HYPERLINK("https://www.ncbi.nlm.nih.gov/nucleotide/OQ554121.1?report=genbank&amp;log$=nucltop&amp;blast_rank=155&amp;RID=K3RYFBUB014","OQ554121.1")</f>
        <v>OQ554121.1</v>
      </c>
      <c r="N160" s="41">
        <v>36.200000000000003</v>
      </c>
      <c r="O160" s="41">
        <v>36.200000000000003</v>
      </c>
      <c r="P160" s="53">
        <v>0.95</v>
      </c>
      <c r="Q160" s="41">
        <v>25</v>
      </c>
      <c r="R160" s="41">
        <v>100</v>
      </c>
      <c r="S160" s="41">
        <v>16387</v>
      </c>
      <c r="U160" s="38" t="s">
        <v>5059</v>
      </c>
      <c r="V160" s="38" t="s">
        <v>2139</v>
      </c>
      <c r="W160" s="38" t="str">
        <f>HYPERLINK("https://www.ncbi.nlm.nih.gov/nucleotide/NC_031415.1?report=genbank&amp;log$=nucltop&amp;blast_rank=155&amp;RID=K3S1J64G014","NC_031415.1")</f>
        <v>NC_031415.1</v>
      </c>
      <c r="X160" s="38">
        <v>36.200000000000003</v>
      </c>
      <c r="Y160" s="38">
        <v>36.200000000000003</v>
      </c>
      <c r="Z160" s="55">
        <v>0.93</v>
      </c>
      <c r="AA160" s="38">
        <v>74</v>
      </c>
      <c r="AB160" s="38">
        <v>92.31</v>
      </c>
      <c r="AC160" s="38">
        <v>16583</v>
      </c>
    </row>
    <row r="161" spans="1:29" x14ac:dyDescent="0.15">
      <c r="A161" s="41" t="s">
        <v>5593</v>
      </c>
      <c r="B161" s="41" t="s">
        <v>1986</v>
      </c>
      <c r="C161" s="41" t="s">
        <v>6487</v>
      </c>
      <c r="D161" s="41">
        <v>34.200000000000003</v>
      </c>
      <c r="E161" s="41">
        <v>34.200000000000003</v>
      </c>
      <c r="F161" s="53">
        <v>0.95</v>
      </c>
      <c r="G161" s="41">
        <v>97</v>
      </c>
      <c r="H161" s="41">
        <v>95.24</v>
      </c>
      <c r="I161" s="41">
        <v>16884</v>
      </c>
      <c r="K161" s="41" t="s">
        <v>6018</v>
      </c>
      <c r="L161" s="41" t="s">
        <v>5574</v>
      </c>
      <c r="M161" s="41" t="str">
        <f>HYPERLINK("https://www.ncbi.nlm.nih.gov/nucleotide/MW316198.1?report=genbank&amp;log$=nucltop&amp;blast_rank=156&amp;RID=K3RYFBUB014","MW316198.1")</f>
        <v>MW316198.1</v>
      </c>
      <c r="N161" s="41">
        <v>36.200000000000003</v>
      </c>
      <c r="O161" s="41">
        <v>36.200000000000003</v>
      </c>
      <c r="P161" s="53">
        <v>0.95</v>
      </c>
      <c r="Q161" s="41">
        <v>25</v>
      </c>
      <c r="R161" s="41">
        <v>100</v>
      </c>
      <c r="S161" s="41">
        <v>16386</v>
      </c>
      <c r="U161" s="38" t="s">
        <v>6019</v>
      </c>
      <c r="V161" s="38" t="s">
        <v>1737</v>
      </c>
      <c r="W161" s="38" t="str">
        <f>HYPERLINK("https://www.ncbi.nlm.nih.gov/nucleotide/MW630081.1?report=genbank&amp;log$=nucltop&amp;blast_rank=156&amp;RID=K3S1J64G014","MW630081.1")</f>
        <v>MW630081.1</v>
      </c>
      <c r="X161" s="38">
        <v>36.200000000000003</v>
      </c>
      <c r="Y161" s="38">
        <v>36.200000000000003</v>
      </c>
      <c r="Z161" s="55">
        <v>0.79</v>
      </c>
      <c r="AA161" s="38">
        <v>74</v>
      </c>
      <c r="AB161" s="38">
        <v>95.45</v>
      </c>
      <c r="AC161" s="38">
        <v>16556</v>
      </c>
    </row>
    <row r="162" spans="1:29" x14ac:dyDescent="0.15">
      <c r="A162" s="41" t="s">
        <v>6020</v>
      </c>
      <c r="B162" s="41" t="s">
        <v>6021</v>
      </c>
      <c r="C162" s="41" t="s">
        <v>6488</v>
      </c>
      <c r="D162" s="41">
        <v>34.200000000000003</v>
      </c>
      <c r="E162" s="41">
        <v>34.200000000000003</v>
      </c>
      <c r="F162" s="53">
        <v>0.77</v>
      </c>
      <c r="G162" s="41">
        <v>97</v>
      </c>
      <c r="H162" s="41">
        <v>100</v>
      </c>
      <c r="I162" s="41">
        <v>2054</v>
      </c>
      <c r="K162" s="41" t="s">
        <v>6022</v>
      </c>
      <c r="L162" s="41" t="s">
        <v>5574</v>
      </c>
      <c r="M162" s="41" t="str">
        <f>HYPERLINK("https://www.ncbi.nlm.nih.gov/nucleotide/MW316244.1?report=genbank&amp;log$=nucltop&amp;blast_rank=157&amp;RID=K3RYFBUB014","MW316244.1")</f>
        <v>MW316244.1</v>
      </c>
      <c r="N162" s="41">
        <v>36.200000000000003</v>
      </c>
      <c r="O162" s="41">
        <v>36.200000000000003</v>
      </c>
      <c r="P162" s="53">
        <v>0.95</v>
      </c>
      <c r="Q162" s="41">
        <v>25</v>
      </c>
      <c r="R162" s="41">
        <v>100</v>
      </c>
      <c r="S162" s="41">
        <v>16383</v>
      </c>
      <c r="U162" s="38" t="s">
        <v>6023</v>
      </c>
      <c r="V162" s="38" t="s">
        <v>6024</v>
      </c>
      <c r="W162" s="38" t="str">
        <f>HYPERLINK("https://www.ncbi.nlm.nih.gov/nucleotide/PV087177.1?report=genbank&amp;log$=nucltop&amp;blast_rank=157&amp;RID=K3S1J64G014","PV087177.1")</f>
        <v>PV087177.1</v>
      </c>
      <c r="X162" s="38">
        <v>36.200000000000003</v>
      </c>
      <c r="Y162" s="38">
        <v>36.200000000000003</v>
      </c>
      <c r="Z162" s="55">
        <v>0.93</v>
      </c>
      <c r="AA162" s="38">
        <v>74</v>
      </c>
      <c r="AB162" s="38">
        <v>92.31</v>
      </c>
      <c r="AC162" s="38">
        <v>16593</v>
      </c>
    </row>
    <row r="163" spans="1:29" x14ac:dyDescent="0.15">
      <c r="A163" s="41" t="s">
        <v>6025</v>
      </c>
      <c r="B163" s="41" t="s">
        <v>5810</v>
      </c>
      <c r="C163" s="41" t="s">
        <v>6489</v>
      </c>
      <c r="D163" s="41">
        <v>34.200000000000003</v>
      </c>
      <c r="E163" s="41">
        <v>34.200000000000003</v>
      </c>
      <c r="F163" s="53">
        <v>0.95</v>
      </c>
      <c r="G163" s="41">
        <v>97</v>
      </c>
      <c r="H163" s="41">
        <v>95.24</v>
      </c>
      <c r="I163" s="41">
        <v>17338</v>
      </c>
      <c r="K163" s="41" t="s">
        <v>6026</v>
      </c>
      <c r="L163" s="41" t="s">
        <v>5574</v>
      </c>
      <c r="M163" s="41" t="str">
        <f>HYPERLINK("https://www.ncbi.nlm.nih.gov/nucleotide/MW316205.1?report=genbank&amp;log$=nucltop&amp;blast_rank=158&amp;RID=K3RYFBUB014","MW316205.1")</f>
        <v>MW316205.1</v>
      </c>
      <c r="N163" s="41">
        <v>36.200000000000003</v>
      </c>
      <c r="O163" s="41">
        <v>36.200000000000003</v>
      </c>
      <c r="P163" s="53">
        <v>0.95</v>
      </c>
      <c r="Q163" s="41">
        <v>25</v>
      </c>
      <c r="R163" s="41">
        <v>100</v>
      </c>
      <c r="S163" s="41">
        <v>16384</v>
      </c>
      <c r="U163" s="38" t="s">
        <v>5134</v>
      </c>
      <c r="V163" s="38" t="s">
        <v>2155</v>
      </c>
      <c r="W163" s="38" t="str">
        <f>HYPERLINK("https://www.ncbi.nlm.nih.gov/nucleotide/NC_027953.1?report=genbank&amp;log$=nucltop&amp;blast_rank=158&amp;RID=K3S1J64G014","NC_027953.1")</f>
        <v>NC_027953.1</v>
      </c>
      <c r="X163" s="38">
        <v>36.200000000000003</v>
      </c>
      <c r="Y163" s="38">
        <v>36.200000000000003</v>
      </c>
      <c r="Z163" s="55">
        <v>0.93</v>
      </c>
      <c r="AA163" s="38">
        <v>74</v>
      </c>
      <c r="AB163" s="38">
        <v>92.31</v>
      </c>
      <c r="AC163" s="38">
        <v>16583</v>
      </c>
    </row>
    <row r="164" spans="1:29" x14ac:dyDescent="0.15">
      <c r="A164" s="41" t="s">
        <v>6027</v>
      </c>
      <c r="B164" s="41" t="s">
        <v>6028</v>
      </c>
      <c r="C164" s="41" t="s">
        <v>6490</v>
      </c>
      <c r="D164" s="41">
        <v>34.200000000000003</v>
      </c>
      <c r="E164" s="41">
        <v>34.200000000000003</v>
      </c>
      <c r="F164" s="53">
        <v>0.77</v>
      </c>
      <c r="G164" s="41">
        <v>97</v>
      </c>
      <c r="H164" s="41">
        <v>100</v>
      </c>
      <c r="I164" s="41">
        <v>16567</v>
      </c>
      <c r="K164" s="41" t="s">
        <v>6029</v>
      </c>
      <c r="L164" s="41" t="s">
        <v>5574</v>
      </c>
      <c r="M164" s="41" t="str">
        <f>HYPERLINK("https://www.ncbi.nlm.nih.gov/nucleotide/OQ554282.1?report=genbank&amp;log$=nucltop&amp;blast_rank=159&amp;RID=K3RYFBUB014","OQ554282.1")</f>
        <v>OQ554282.1</v>
      </c>
      <c r="N164" s="41">
        <v>36.200000000000003</v>
      </c>
      <c r="O164" s="41">
        <v>36.200000000000003</v>
      </c>
      <c r="P164" s="53">
        <v>0.95</v>
      </c>
      <c r="Q164" s="41">
        <v>25</v>
      </c>
      <c r="R164" s="41">
        <v>100</v>
      </c>
      <c r="S164" s="41">
        <v>16386</v>
      </c>
      <c r="U164" s="38" t="s">
        <v>5226</v>
      </c>
      <c r="V164" s="38" t="s">
        <v>2135</v>
      </c>
      <c r="W164" s="38" t="str">
        <f>HYPERLINK("https://www.ncbi.nlm.nih.gov/nucleotide/NC_018562.1?report=genbank&amp;log$=nucltop&amp;blast_rank=159&amp;RID=K3S1J64G014","NC_018562.1")</f>
        <v>NC_018562.1</v>
      </c>
      <c r="X164" s="38">
        <v>36.200000000000003</v>
      </c>
      <c r="Y164" s="38">
        <v>36.200000000000003</v>
      </c>
      <c r="Z164" s="55">
        <v>0.93</v>
      </c>
      <c r="AA164" s="38">
        <v>74</v>
      </c>
      <c r="AB164" s="38">
        <v>92.31</v>
      </c>
      <c r="AC164" s="38">
        <v>16583</v>
      </c>
    </row>
    <row r="165" spans="1:29" x14ac:dyDescent="0.15">
      <c r="A165" s="41" t="s">
        <v>5791</v>
      </c>
      <c r="B165" s="41" t="s">
        <v>5792</v>
      </c>
      <c r="C165" s="41" t="s">
        <v>6491</v>
      </c>
      <c r="D165" s="41">
        <v>34.200000000000003</v>
      </c>
      <c r="E165" s="41">
        <v>34.200000000000003</v>
      </c>
      <c r="F165" s="53">
        <v>0.77</v>
      </c>
      <c r="G165" s="41">
        <v>97</v>
      </c>
      <c r="H165" s="41">
        <v>100</v>
      </c>
      <c r="I165" s="41">
        <v>17065</v>
      </c>
      <c r="K165" s="41" t="s">
        <v>6030</v>
      </c>
      <c r="L165" s="41" t="s">
        <v>5574</v>
      </c>
      <c r="M165" s="41" t="str">
        <f>HYPERLINK("https://www.ncbi.nlm.nih.gov/nucleotide/MW316199.1?report=genbank&amp;log$=nucltop&amp;blast_rank=160&amp;RID=K3RYFBUB014","MW316199.1")</f>
        <v>MW316199.1</v>
      </c>
      <c r="N165" s="41">
        <v>36.200000000000003</v>
      </c>
      <c r="O165" s="41">
        <v>36.200000000000003</v>
      </c>
      <c r="P165" s="53">
        <v>0.95</v>
      </c>
      <c r="Q165" s="41">
        <v>25</v>
      </c>
      <c r="R165" s="41">
        <v>100</v>
      </c>
      <c r="S165" s="41">
        <v>16385</v>
      </c>
      <c r="U165" s="38" t="s">
        <v>6031</v>
      </c>
      <c r="V165" s="38" t="s">
        <v>6032</v>
      </c>
      <c r="W165" s="38" t="str">
        <f>HYPERLINK("https://www.ncbi.nlm.nih.gov/nucleotide/PV339718.1?report=genbank&amp;log$=nucltop&amp;blast_rank=160&amp;RID=K3S1J64G014","PV339718.1")</f>
        <v>PV339718.1</v>
      </c>
      <c r="X165" s="38">
        <v>36.200000000000003</v>
      </c>
      <c r="Y165" s="38">
        <v>36.200000000000003</v>
      </c>
      <c r="Z165" s="55">
        <v>0.79</v>
      </c>
      <c r="AA165" s="38">
        <v>74</v>
      </c>
      <c r="AB165" s="38">
        <v>95.45</v>
      </c>
      <c r="AC165" s="38">
        <v>15525</v>
      </c>
    </row>
    <row r="166" spans="1:29" x14ac:dyDescent="0.15">
      <c r="A166" s="41" t="s">
        <v>6033</v>
      </c>
      <c r="B166" s="41" t="s">
        <v>53</v>
      </c>
      <c r="C166" s="41" t="s">
        <v>6492</v>
      </c>
      <c r="D166" s="41">
        <v>34.200000000000003</v>
      </c>
      <c r="E166" s="41">
        <v>34.200000000000003</v>
      </c>
      <c r="F166" s="53">
        <v>0.77</v>
      </c>
      <c r="G166" s="41">
        <v>97</v>
      </c>
      <c r="H166" s="41">
        <v>100</v>
      </c>
      <c r="I166" s="41">
        <v>1960</v>
      </c>
      <c r="K166" s="41" t="s">
        <v>6034</v>
      </c>
      <c r="L166" s="41" t="s">
        <v>5574</v>
      </c>
      <c r="M166" s="41" t="str">
        <f>HYPERLINK("https://www.ncbi.nlm.nih.gov/nucleotide/OQ554166.1?report=genbank&amp;log$=nucltop&amp;blast_rank=161&amp;RID=K3RYFBUB014","OQ554166.1")</f>
        <v>OQ554166.1</v>
      </c>
      <c r="N166" s="41">
        <v>36.200000000000003</v>
      </c>
      <c r="O166" s="41">
        <v>36.200000000000003</v>
      </c>
      <c r="P166" s="53">
        <v>0.95</v>
      </c>
      <c r="Q166" s="41">
        <v>25</v>
      </c>
      <c r="R166" s="41">
        <v>100</v>
      </c>
      <c r="S166" s="41">
        <v>16386</v>
      </c>
      <c r="U166" s="38" t="s">
        <v>6035</v>
      </c>
      <c r="V166" s="38" t="s">
        <v>6036</v>
      </c>
      <c r="W166" s="38" t="str">
        <f>HYPERLINK("https://www.ncbi.nlm.nih.gov/nucleotide/MT471321.1?report=genbank&amp;log$=nucltop&amp;blast_rank=161&amp;RID=K3S1J64G014","MT471321.1")</f>
        <v>MT471321.1</v>
      </c>
      <c r="X166" s="38">
        <v>36.200000000000003</v>
      </c>
      <c r="Y166" s="38">
        <v>36.200000000000003</v>
      </c>
      <c r="Z166" s="55">
        <v>0.79</v>
      </c>
      <c r="AA166" s="38">
        <v>74</v>
      </c>
      <c r="AB166" s="38">
        <v>95.45</v>
      </c>
      <c r="AC166" s="38">
        <v>566328</v>
      </c>
    </row>
    <row r="167" spans="1:29" x14ac:dyDescent="0.15">
      <c r="A167" s="41" t="s">
        <v>6037</v>
      </c>
      <c r="B167" s="41" t="s">
        <v>6038</v>
      </c>
      <c r="C167" s="41" t="s">
        <v>6493</v>
      </c>
      <c r="D167" s="41">
        <v>34.200000000000003</v>
      </c>
      <c r="E167" s="41">
        <v>34.200000000000003</v>
      </c>
      <c r="F167" s="53">
        <v>0.77</v>
      </c>
      <c r="G167" s="41">
        <v>97</v>
      </c>
      <c r="H167" s="41">
        <v>100</v>
      </c>
      <c r="I167" s="41">
        <v>3111590</v>
      </c>
      <c r="K167" s="41" t="s">
        <v>6039</v>
      </c>
      <c r="L167" s="41" t="s">
        <v>5574</v>
      </c>
      <c r="M167" s="41" t="str">
        <f>HYPERLINK("https://www.ncbi.nlm.nih.gov/nucleotide/OQ554280.1?report=genbank&amp;log$=nucltop&amp;blast_rank=162&amp;RID=K3RYFBUB014","OQ554280.1")</f>
        <v>OQ554280.1</v>
      </c>
      <c r="N167" s="41">
        <v>36.200000000000003</v>
      </c>
      <c r="O167" s="41">
        <v>36.200000000000003</v>
      </c>
      <c r="P167" s="53">
        <v>0.95</v>
      </c>
      <c r="Q167" s="41">
        <v>25</v>
      </c>
      <c r="R167" s="41">
        <v>100</v>
      </c>
      <c r="S167" s="41">
        <v>16386</v>
      </c>
      <c r="U167" s="38" t="s">
        <v>5392</v>
      </c>
      <c r="V167" s="38" t="s">
        <v>2129</v>
      </c>
      <c r="W167" s="38" t="str">
        <f>HYPERLINK("https://www.ncbi.nlm.nih.gov/nucleotide/KX346235.1?report=genbank&amp;log$=nucltop&amp;blast_rank=162&amp;RID=K3S1J64G014","KX346235.1")</f>
        <v>KX346235.1</v>
      </c>
      <c r="X167" s="38">
        <v>36.200000000000003</v>
      </c>
      <c r="Y167" s="38">
        <v>36.200000000000003</v>
      </c>
      <c r="Z167" s="55">
        <v>0.93</v>
      </c>
      <c r="AA167" s="38">
        <v>74</v>
      </c>
      <c r="AB167" s="38">
        <v>92.31</v>
      </c>
      <c r="AC167" s="38">
        <v>16582</v>
      </c>
    </row>
    <row r="168" spans="1:29" x14ac:dyDescent="0.15">
      <c r="A168" s="41" t="s">
        <v>6040</v>
      </c>
      <c r="B168" s="41" t="s">
        <v>6041</v>
      </c>
      <c r="C168" s="41" t="s">
        <v>6494</v>
      </c>
      <c r="D168" s="41">
        <v>34.200000000000003</v>
      </c>
      <c r="E168" s="41">
        <v>34.200000000000003</v>
      </c>
      <c r="F168" s="53">
        <v>0.77</v>
      </c>
      <c r="G168" s="41">
        <v>97</v>
      </c>
      <c r="H168" s="41">
        <v>100</v>
      </c>
      <c r="I168" s="41">
        <v>17332</v>
      </c>
      <c r="K168" s="41" t="s">
        <v>6042</v>
      </c>
      <c r="L168" s="41" t="s">
        <v>5574</v>
      </c>
      <c r="M168" s="41" t="str">
        <f>HYPERLINK("https://www.ncbi.nlm.nih.gov/nucleotide/OQ554253.1?report=genbank&amp;log$=nucltop&amp;blast_rank=163&amp;RID=K3RYFBUB014","OQ554253.1")</f>
        <v>OQ554253.1</v>
      </c>
      <c r="N168" s="41">
        <v>36.200000000000003</v>
      </c>
      <c r="O168" s="41">
        <v>36.200000000000003</v>
      </c>
      <c r="P168" s="53">
        <v>0.95</v>
      </c>
      <c r="Q168" s="41">
        <v>25</v>
      </c>
      <c r="R168" s="41">
        <v>100</v>
      </c>
      <c r="S168" s="41">
        <v>16386</v>
      </c>
      <c r="U168" s="38" t="s">
        <v>6043</v>
      </c>
      <c r="V168" s="38" t="s">
        <v>2161</v>
      </c>
      <c r="W168" s="38" t="str">
        <f>HYPERLINK("https://www.ncbi.nlm.nih.gov/nucleotide/AB915409.1?report=genbank&amp;log$=nucltop&amp;blast_rank=163&amp;RID=K3S1J64G014","AB915409.1")</f>
        <v>AB915409.1</v>
      </c>
      <c r="X168" s="38">
        <v>36.200000000000003</v>
      </c>
      <c r="Y168" s="38">
        <v>36.200000000000003</v>
      </c>
      <c r="Z168" s="55">
        <v>0.93</v>
      </c>
      <c r="AA168" s="38">
        <v>74</v>
      </c>
      <c r="AB168" s="38">
        <v>92.31</v>
      </c>
      <c r="AC168" s="38">
        <v>795</v>
      </c>
    </row>
    <row r="169" spans="1:29" x14ac:dyDescent="0.15">
      <c r="A169" s="41" t="s">
        <v>6044</v>
      </c>
      <c r="B169" s="41" t="s">
        <v>6045</v>
      </c>
      <c r="C169" s="41" t="s">
        <v>6495</v>
      </c>
      <c r="D169" s="41">
        <v>34.200000000000003</v>
      </c>
      <c r="E169" s="41">
        <v>34.200000000000003</v>
      </c>
      <c r="F169" s="53">
        <v>0.77</v>
      </c>
      <c r="G169" s="41">
        <v>97</v>
      </c>
      <c r="H169" s="41">
        <v>100</v>
      </c>
      <c r="I169" s="41">
        <v>16400</v>
      </c>
      <c r="K169" s="41" t="s">
        <v>6046</v>
      </c>
      <c r="L169" s="41" t="s">
        <v>5574</v>
      </c>
      <c r="M169" s="41" t="str">
        <f>HYPERLINK("https://www.ncbi.nlm.nih.gov/nucleotide/OQ554023.1?report=genbank&amp;log$=nucltop&amp;blast_rank=164&amp;RID=K3RYFBUB014","OQ554023.1")</f>
        <v>OQ554023.1</v>
      </c>
      <c r="N169" s="41">
        <v>36.200000000000003</v>
      </c>
      <c r="O169" s="41">
        <v>36.200000000000003</v>
      </c>
      <c r="P169" s="53">
        <v>0.95</v>
      </c>
      <c r="Q169" s="41">
        <v>25</v>
      </c>
      <c r="R169" s="41">
        <v>100</v>
      </c>
      <c r="S169" s="41">
        <v>16387</v>
      </c>
      <c r="U169" s="38" t="s">
        <v>6023</v>
      </c>
      <c r="V169" s="38" t="s">
        <v>6024</v>
      </c>
      <c r="W169" s="38" t="str">
        <f>HYPERLINK("https://www.ncbi.nlm.nih.gov/nucleotide/PQ182885.1?report=genbank&amp;log$=nucltop&amp;blast_rank=164&amp;RID=K3S1J64G014","PQ182885.1")</f>
        <v>PQ182885.1</v>
      </c>
      <c r="X169" s="38">
        <v>36.200000000000003</v>
      </c>
      <c r="Y169" s="38">
        <v>36.200000000000003</v>
      </c>
      <c r="Z169" s="55">
        <v>0.93</v>
      </c>
      <c r="AA169" s="38">
        <v>74</v>
      </c>
      <c r="AB169" s="38">
        <v>92.31</v>
      </c>
      <c r="AC169" s="38">
        <v>16593</v>
      </c>
    </row>
    <row r="170" spans="1:29" x14ac:dyDescent="0.15">
      <c r="A170" s="41" t="s">
        <v>6047</v>
      </c>
      <c r="B170" s="41" t="s">
        <v>5843</v>
      </c>
      <c r="C170" s="41" t="s">
        <v>6496</v>
      </c>
      <c r="D170" s="41">
        <v>34.200000000000003</v>
      </c>
      <c r="E170" s="41">
        <v>34.200000000000003</v>
      </c>
      <c r="F170" s="53">
        <v>0.77</v>
      </c>
      <c r="G170" s="41">
        <v>97</v>
      </c>
      <c r="H170" s="41">
        <v>100</v>
      </c>
      <c r="I170" s="41">
        <v>4245</v>
      </c>
      <c r="K170" s="41" t="s">
        <v>6048</v>
      </c>
      <c r="L170" s="41" t="s">
        <v>5574</v>
      </c>
      <c r="M170" s="41" t="str">
        <f>HYPERLINK("https://www.ncbi.nlm.nih.gov/nucleotide/OQ554092.1?report=genbank&amp;log$=nucltop&amp;blast_rank=165&amp;RID=K3RYFBUB014","OQ554092.1")</f>
        <v>OQ554092.1</v>
      </c>
      <c r="N170" s="41">
        <v>36.200000000000003</v>
      </c>
      <c r="O170" s="41">
        <v>36.200000000000003</v>
      </c>
      <c r="P170" s="53">
        <v>0.95</v>
      </c>
      <c r="Q170" s="41">
        <v>25</v>
      </c>
      <c r="R170" s="41">
        <v>100</v>
      </c>
      <c r="S170" s="41">
        <v>16387</v>
      </c>
      <c r="U170" s="38" t="s">
        <v>6049</v>
      </c>
      <c r="V170" s="38" t="s">
        <v>2032</v>
      </c>
      <c r="W170" s="38" t="str">
        <f>HYPERLINK("https://www.ncbi.nlm.nih.gov/nucleotide/OP056920.1?report=genbank&amp;log$=nucltop&amp;blast_rank=165&amp;RID=K3S1J64G014","OP056920.1")</f>
        <v>OP056920.1</v>
      </c>
      <c r="X170" s="38">
        <v>36.200000000000003</v>
      </c>
      <c r="Y170" s="38">
        <v>36.200000000000003</v>
      </c>
      <c r="Z170" s="55">
        <v>0.79</v>
      </c>
      <c r="AA170" s="38">
        <v>74</v>
      </c>
      <c r="AB170" s="38">
        <v>95.45</v>
      </c>
      <c r="AC170" s="38">
        <v>16737</v>
      </c>
    </row>
    <row r="171" spans="1:29" x14ac:dyDescent="0.15">
      <c r="A171" s="41" t="s">
        <v>6050</v>
      </c>
      <c r="B171" s="41" t="s">
        <v>6051</v>
      </c>
      <c r="C171" s="41" t="s">
        <v>6497</v>
      </c>
      <c r="D171" s="41">
        <v>34.200000000000003</v>
      </c>
      <c r="E171" s="41">
        <v>34.200000000000003</v>
      </c>
      <c r="F171" s="53">
        <v>0.77</v>
      </c>
      <c r="G171" s="41">
        <v>97</v>
      </c>
      <c r="H171" s="41">
        <v>100</v>
      </c>
      <c r="I171" s="41">
        <v>2038</v>
      </c>
      <c r="K171" s="41" t="s">
        <v>6052</v>
      </c>
      <c r="L171" s="41" t="s">
        <v>5574</v>
      </c>
      <c r="M171" s="41" t="str">
        <f>HYPERLINK("https://www.ncbi.nlm.nih.gov/nucleotide/OQ554275.1?report=genbank&amp;log$=nucltop&amp;blast_rank=166&amp;RID=K3RYFBUB014","OQ554275.1")</f>
        <v>OQ554275.1</v>
      </c>
      <c r="N171" s="41">
        <v>36.200000000000003</v>
      </c>
      <c r="O171" s="41">
        <v>36.200000000000003</v>
      </c>
      <c r="P171" s="53">
        <v>0.95</v>
      </c>
      <c r="Q171" s="41">
        <v>25</v>
      </c>
      <c r="R171" s="41">
        <v>100</v>
      </c>
      <c r="S171" s="41">
        <v>16386</v>
      </c>
      <c r="U171" s="38" t="s">
        <v>6053</v>
      </c>
      <c r="V171" s="38" t="s">
        <v>1739</v>
      </c>
      <c r="W171" s="38" t="str">
        <f>HYPERLINK("https://www.ncbi.nlm.nih.gov/nucleotide/PV077896.1?report=genbank&amp;log$=nucltop&amp;blast_rank=166&amp;RID=K3S1J64G014","PV077896.1")</f>
        <v>PV077896.1</v>
      </c>
      <c r="X171" s="38">
        <v>36.200000000000003</v>
      </c>
      <c r="Y171" s="38">
        <v>36.200000000000003</v>
      </c>
      <c r="Z171" s="55">
        <v>0.79</v>
      </c>
      <c r="AA171" s="38">
        <v>74</v>
      </c>
      <c r="AB171" s="38">
        <v>95.45</v>
      </c>
      <c r="AC171" s="38">
        <v>16843</v>
      </c>
    </row>
    <row r="172" spans="1:29" x14ac:dyDescent="0.15">
      <c r="A172" s="41" t="s">
        <v>6054</v>
      </c>
      <c r="B172" s="41" t="s">
        <v>6055</v>
      </c>
      <c r="C172" s="41" t="s">
        <v>6498</v>
      </c>
      <c r="D172" s="41">
        <v>34.200000000000003</v>
      </c>
      <c r="E172" s="41">
        <v>34.200000000000003</v>
      </c>
      <c r="F172" s="53">
        <v>0.77</v>
      </c>
      <c r="G172" s="41">
        <v>97</v>
      </c>
      <c r="H172" s="41">
        <v>100</v>
      </c>
      <c r="I172" s="41">
        <v>16685</v>
      </c>
      <c r="K172" s="41" t="s">
        <v>6056</v>
      </c>
      <c r="L172" s="41" t="s">
        <v>5574</v>
      </c>
      <c r="M172" s="41" t="str">
        <f>HYPERLINK("https://www.ncbi.nlm.nih.gov/nucleotide/OQ554290.1?report=genbank&amp;log$=nucltop&amp;blast_rank=167&amp;RID=K3RYFBUB014","OQ554290.1")</f>
        <v>OQ554290.1</v>
      </c>
      <c r="N172" s="41">
        <v>36.200000000000003</v>
      </c>
      <c r="O172" s="41">
        <v>36.200000000000003</v>
      </c>
      <c r="P172" s="53">
        <v>0.95</v>
      </c>
      <c r="Q172" s="41">
        <v>25</v>
      </c>
      <c r="R172" s="41">
        <v>100</v>
      </c>
      <c r="S172" s="41">
        <v>16386</v>
      </c>
      <c r="U172" s="38" t="s">
        <v>6057</v>
      </c>
      <c r="V172" s="38" t="s">
        <v>2105</v>
      </c>
      <c r="W172" s="38" t="str">
        <f>HYPERLINK("https://www.ncbi.nlm.nih.gov/nucleotide/NC_029380.1?report=genbank&amp;log$=nucltop&amp;blast_rank=167&amp;RID=K3S1J64G014","NC_029380.1")</f>
        <v>NC_029380.1</v>
      </c>
      <c r="X172" s="38">
        <v>36.200000000000003</v>
      </c>
      <c r="Y172" s="38">
        <v>36.200000000000003</v>
      </c>
      <c r="Z172" s="55">
        <v>0.93</v>
      </c>
      <c r="AA172" s="38">
        <v>74</v>
      </c>
      <c r="AB172" s="38">
        <v>92.31</v>
      </c>
      <c r="AC172" s="38">
        <v>16669</v>
      </c>
    </row>
    <row r="173" spans="1:29" x14ac:dyDescent="0.15">
      <c r="A173" s="41" t="s">
        <v>6058</v>
      </c>
      <c r="B173" s="41" t="s">
        <v>6059</v>
      </c>
      <c r="C173" s="41" t="s">
        <v>6499</v>
      </c>
      <c r="D173" s="41">
        <v>34.200000000000003</v>
      </c>
      <c r="E173" s="41">
        <v>34.200000000000003</v>
      </c>
      <c r="F173" s="53">
        <v>0.77</v>
      </c>
      <c r="G173" s="41">
        <v>97</v>
      </c>
      <c r="H173" s="41">
        <v>100</v>
      </c>
      <c r="I173" s="41">
        <v>16549</v>
      </c>
      <c r="K173" s="41" t="s">
        <v>6060</v>
      </c>
      <c r="L173" s="41" t="s">
        <v>5574</v>
      </c>
      <c r="M173" s="41" t="str">
        <f>HYPERLINK("https://www.ncbi.nlm.nih.gov/nucleotide/OQ554104.1?report=genbank&amp;log$=nucltop&amp;blast_rank=168&amp;RID=K3RYFBUB014","OQ554104.1")</f>
        <v>OQ554104.1</v>
      </c>
      <c r="N173" s="41">
        <v>36.200000000000003</v>
      </c>
      <c r="O173" s="41">
        <v>36.200000000000003</v>
      </c>
      <c r="P173" s="53">
        <v>0.95</v>
      </c>
      <c r="Q173" s="41">
        <v>25</v>
      </c>
      <c r="R173" s="41">
        <v>100</v>
      </c>
      <c r="S173" s="41">
        <v>16386</v>
      </c>
      <c r="U173" s="38" t="s">
        <v>6061</v>
      </c>
      <c r="V173" s="38" t="s">
        <v>3470</v>
      </c>
      <c r="W173" s="38" t="str">
        <f>HYPERLINK("https://www.ncbi.nlm.nih.gov/nucleotide/OR582704.1?report=genbank&amp;log$=nucltop&amp;blast_rank=168&amp;RID=K3S1J64G014","OR582704.1")</f>
        <v>OR582704.1</v>
      </c>
      <c r="X173" s="38">
        <v>36.200000000000003</v>
      </c>
      <c r="Y173" s="38">
        <v>36.200000000000003</v>
      </c>
      <c r="Z173" s="55">
        <v>0.93</v>
      </c>
      <c r="AA173" s="38">
        <v>74</v>
      </c>
      <c r="AB173" s="38">
        <v>92.31</v>
      </c>
      <c r="AC173" s="38">
        <v>16422</v>
      </c>
    </row>
    <row r="174" spans="1:29" x14ac:dyDescent="0.15">
      <c r="A174" s="41" t="s">
        <v>5892</v>
      </c>
      <c r="B174" s="41" t="s">
        <v>5893</v>
      </c>
      <c r="C174" s="41" t="s">
        <v>6500</v>
      </c>
      <c r="D174" s="41">
        <v>34.200000000000003</v>
      </c>
      <c r="E174" s="41">
        <v>34.200000000000003</v>
      </c>
      <c r="F174" s="53">
        <v>0.95</v>
      </c>
      <c r="G174" s="41">
        <v>97</v>
      </c>
      <c r="H174" s="41">
        <v>95.24</v>
      </c>
      <c r="I174" s="41">
        <v>17060</v>
      </c>
      <c r="K174" s="41" t="s">
        <v>6062</v>
      </c>
      <c r="L174" s="41" t="s">
        <v>5574</v>
      </c>
      <c r="M174" s="41" t="str">
        <f>HYPERLINK("https://www.ncbi.nlm.nih.gov/nucleotide/OQ554080.1?report=genbank&amp;log$=nucltop&amp;blast_rank=169&amp;RID=K3RYFBUB014","OQ554080.1")</f>
        <v>OQ554080.1</v>
      </c>
      <c r="N174" s="41">
        <v>36.200000000000003</v>
      </c>
      <c r="O174" s="41">
        <v>36.200000000000003</v>
      </c>
      <c r="P174" s="53">
        <v>0.95</v>
      </c>
      <c r="Q174" s="41">
        <v>25</v>
      </c>
      <c r="R174" s="41">
        <v>100</v>
      </c>
      <c r="S174" s="41">
        <v>16387</v>
      </c>
      <c r="U174" s="38" t="s">
        <v>6063</v>
      </c>
      <c r="V174" s="38" t="s">
        <v>6064</v>
      </c>
      <c r="W174" s="38" t="str">
        <f>HYPERLINK("https://www.ncbi.nlm.nih.gov/nucleotide/XM_014660805.2?report=genbank&amp;log$=nucltop&amp;blast_rank=169&amp;RID=K3S1J64G014","XM_014660805.2")</f>
        <v>XM_014660805.2</v>
      </c>
      <c r="X174" s="38">
        <v>36.200000000000003</v>
      </c>
      <c r="Y174" s="38">
        <v>36.200000000000003</v>
      </c>
      <c r="Z174" s="55">
        <v>0.64</v>
      </c>
      <c r="AA174" s="38">
        <v>74</v>
      </c>
      <c r="AB174" s="38">
        <v>100</v>
      </c>
      <c r="AC174" s="38">
        <v>1663</v>
      </c>
    </row>
    <row r="175" spans="1:29" x14ac:dyDescent="0.15">
      <c r="A175" s="41" t="s">
        <v>6065</v>
      </c>
      <c r="B175" s="41" t="s">
        <v>6066</v>
      </c>
      <c r="C175" s="41" t="s">
        <v>6501</v>
      </c>
      <c r="D175" s="41">
        <v>34.200000000000003</v>
      </c>
      <c r="E175" s="41">
        <v>34.200000000000003</v>
      </c>
      <c r="F175" s="53">
        <v>0.77</v>
      </c>
      <c r="G175" s="41">
        <v>97</v>
      </c>
      <c r="H175" s="41">
        <v>100</v>
      </c>
      <c r="I175" s="41">
        <v>1162</v>
      </c>
      <c r="K175" s="41" t="s">
        <v>6067</v>
      </c>
      <c r="L175" s="41" t="s">
        <v>5574</v>
      </c>
      <c r="M175" s="41" t="str">
        <f>HYPERLINK("https://www.ncbi.nlm.nih.gov/nucleotide/OQ554093.1?report=genbank&amp;log$=nucltop&amp;blast_rank=170&amp;RID=K3RYFBUB014","OQ554093.1")</f>
        <v>OQ554093.1</v>
      </c>
      <c r="N175" s="41">
        <v>36.200000000000003</v>
      </c>
      <c r="O175" s="41">
        <v>36.200000000000003</v>
      </c>
      <c r="P175" s="53">
        <v>0.95</v>
      </c>
      <c r="Q175" s="41">
        <v>25</v>
      </c>
      <c r="R175" s="41">
        <v>100</v>
      </c>
      <c r="S175" s="41">
        <v>16386</v>
      </c>
      <c r="U175" s="38" t="s">
        <v>6019</v>
      </c>
      <c r="V175" s="38" t="s">
        <v>1737</v>
      </c>
      <c r="W175" s="38" t="str">
        <f>HYPERLINK("https://www.ncbi.nlm.nih.gov/nucleotide/MW845829.1?report=genbank&amp;log$=nucltop&amp;blast_rank=170&amp;RID=K3S1J64G014","MW845829.1")</f>
        <v>MW845829.1</v>
      </c>
      <c r="X175" s="38">
        <v>36.200000000000003</v>
      </c>
      <c r="Y175" s="38">
        <v>36.200000000000003</v>
      </c>
      <c r="Z175" s="55">
        <v>0.79</v>
      </c>
      <c r="AA175" s="38">
        <v>74</v>
      </c>
      <c r="AB175" s="38">
        <v>95.45</v>
      </c>
      <c r="AC175" s="38">
        <v>16718</v>
      </c>
    </row>
    <row r="176" spans="1:29" x14ac:dyDescent="0.15">
      <c r="A176" s="41" t="s">
        <v>6068</v>
      </c>
      <c r="B176" s="41" t="s">
        <v>6069</v>
      </c>
      <c r="C176" s="41" t="s">
        <v>6502</v>
      </c>
      <c r="D176" s="41">
        <v>34.200000000000003</v>
      </c>
      <c r="E176" s="41">
        <v>34.200000000000003</v>
      </c>
      <c r="F176" s="53">
        <v>0.95</v>
      </c>
      <c r="G176" s="41">
        <v>97</v>
      </c>
      <c r="H176" s="41">
        <v>95.24</v>
      </c>
      <c r="I176" s="41">
        <v>16468</v>
      </c>
      <c r="K176" s="41" t="s">
        <v>6070</v>
      </c>
      <c r="L176" s="41" t="s">
        <v>5574</v>
      </c>
      <c r="M176" s="41" t="str">
        <f>HYPERLINK("https://www.ncbi.nlm.nih.gov/nucleotide/OQ554266.1?report=genbank&amp;log$=nucltop&amp;blast_rank=171&amp;RID=K3RYFBUB014","OQ554266.1")</f>
        <v>OQ554266.1</v>
      </c>
      <c r="N176" s="41">
        <v>36.200000000000003</v>
      </c>
      <c r="O176" s="41">
        <v>36.200000000000003</v>
      </c>
      <c r="P176" s="53">
        <v>0.95</v>
      </c>
      <c r="Q176" s="41">
        <v>25</v>
      </c>
      <c r="R176" s="41">
        <v>100</v>
      </c>
      <c r="S176" s="41">
        <v>16386</v>
      </c>
      <c r="U176" s="38" t="s">
        <v>4990</v>
      </c>
      <c r="V176" s="38" t="s">
        <v>2153</v>
      </c>
      <c r="W176" s="38" t="str">
        <f>HYPERLINK("https://www.ncbi.nlm.nih.gov/nucleotide/KT715810.1?report=genbank&amp;log$=nucltop&amp;blast_rank=171&amp;RID=K3S1J64G014","KT715810.1")</f>
        <v>KT715810.1</v>
      </c>
      <c r="X176" s="38">
        <v>36.200000000000003</v>
      </c>
      <c r="Y176" s="38">
        <v>36.200000000000003</v>
      </c>
      <c r="Z176" s="55">
        <v>0.93</v>
      </c>
      <c r="AA176" s="38">
        <v>74</v>
      </c>
      <c r="AB176" s="38">
        <v>92.31</v>
      </c>
      <c r="AC176" s="38">
        <v>16580</v>
      </c>
    </row>
    <row r="177" spans="1:29" x14ac:dyDescent="0.15">
      <c r="A177" s="41" t="s">
        <v>6071</v>
      </c>
      <c r="B177" s="41" t="s">
        <v>6072</v>
      </c>
      <c r="C177" s="41" t="s">
        <v>6503</v>
      </c>
      <c r="D177" s="41">
        <v>34.200000000000003</v>
      </c>
      <c r="E177" s="41">
        <v>34.200000000000003</v>
      </c>
      <c r="F177" s="53">
        <v>0.77</v>
      </c>
      <c r="G177" s="41">
        <v>97</v>
      </c>
      <c r="H177" s="41">
        <v>100</v>
      </c>
      <c r="I177" s="41">
        <v>18996</v>
      </c>
      <c r="K177" s="41" t="s">
        <v>6073</v>
      </c>
      <c r="L177" s="41" t="s">
        <v>5574</v>
      </c>
      <c r="M177" s="41" t="str">
        <f>HYPERLINK("https://www.ncbi.nlm.nih.gov/nucleotide/OQ554138.1?report=genbank&amp;log$=nucltop&amp;blast_rank=172&amp;RID=K3RYFBUB014","OQ554138.1")</f>
        <v>OQ554138.1</v>
      </c>
      <c r="N177" s="41">
        <v>36.200000000000003</v>
      </c>
      <c r="O177" s="41">
        <v>36.200000000000003</v>
      </c>
      <c r="P177" s="53">
        <v>0.95</v>
      </c>
      <c r="Q177" s="41">
        <v>25</v>
      </c>
      <c r="R177" s="41">
        <v>100</v>
      </c>
      <c r="S177" s="41">
        <v>16387</v>
      </c>
      <c r="U177" s="38" t="s">
        <v>6074</v>
      </c>
      <c r="V177" s="38" t="s">
        <v>2131</v>
      </c>
      <c r="W177" s="38" t="str">
        <f>HYPERLINK("https://www.ncbi.nlm.nih.gov/nucleotide/OZ238991.1?report=genbank&amp;log$=nucltop&amp;blast_rank=172&amp;RID=K3S1J64G014","OZ238991.1")</f>
        <v>OZ238991.1</v>
      </c>
      <c r="X177" s="38">
        <v>36.200000000000003</v>
      </c>
      <c r="Y177" s="38">
        <v>36.200000000000003</v>
      </c>
      <c r="Z177" s="55">
        <v>0.93</v>
      </c>
      <c r="AA177" s="38">
        <v>74</v>
      </c>
      <c r="AB177" s="38">
        <v>92.31</v>
      </c>
      <c r="AC177" s="38">
        <v>16580</v>
      </c>
    </row>
    <row r="178" spans="1:29" x14ac:dyDescent="0.15">
      <c r="A178" s="41" t="s">
        <v>6075</v>
      </c>
      <c r="B178" s="41" t="s">
        <v>6076</v>
      </c>
      <c r="C178" s="41" t="s">
        <v>6504</v>
      </c>
      <c r="D178" s="41">
        <v>34.200000000000003</v>
      </c>
      <c r="E178" s="41">
        <v>34.200000000000003</v>
      </c>
      <c r="F178" s="53">
        <v>0.77</v>
      </c>
      <c r="G178" s="41">
        <v>97</v>
      </c>
      <c r="H178" s="41">
        <v>100</v>
      </c>
      <c r="I178" s="41">
        <v>16527</v>
      </c>
      <c r="K178" s="41" t="s">
        <v>6077</v>
      </c>
      <c r="L178" s="41" t="s">
        <v>5574</v>
      </c>
      <c r="M178" s="41" t="str">
        <f>HYPERLINK("https://www.ncbi.nlm.nih.gov/nucleotide/MW316206.1?report=genbank&amp;log$=nucltop&amp;blast_rank=173&amp;RID=K3RYFBUB014","MW316206.1")</f>
        <v>MW316206.1</v>
      </c>
      <c r="N178" s="41">
        <v>36.200000000000003</v>
      </c>
      <c r="O178" s="41">
        <v>36.200000000000003</v>
      </c>
      <c r="P178" s="53">
        <v>0.95</v>
      </c>
      <c r="Q178" s="41">
        <v>25</v>
      </c>
      <c r="R178" s="41">
        <v>100</v>
      </c>
      <c r="S178" s="41">
        <v>16383</v>
      </c>
      <c r="U178" s="38" t="s">
        <v>6078</v>
      </c>
      <c r="V178" s="38" t="s">
        <v>2147</v>
      </c>
      <c r="W178" s="38" t="str">
        <f>HYPERLINK("https://www.ncbi.nlm.nih.gov/nucleotide/NC_029740.1?report=genbank&amp;log$=nucltop&amp;blast_rank=173&amp;RID=K3S1J64G014","NC_029740.1")</f>
        <v>NC_029740.1</v>
      </c>
      <c r="X178" s="38">
        <v>36.200000000000003</v>
      </c>
      <c r="Y178" s="38">
        <v>36.200000000000003</v>
      </c>
      <c r="Z178" s="55">
        <v>0.93</v>
      </c>
      <c r="AA178" s="38">
        <v>74</v>
      </c>
      <c r="AB178" s="38">
        <v>92.31</v>
      </c>
      <c r="AC178" s="38">
        <v>16576</v>
      </c>
    </row>
    <row r="179" spans="1:29" x14ac:dyDescent="0.15">
      <c r="A179" s="41" t="s">
        <v>6079</v>
      </c>
      <c r="B179" s="41" t="s">
        <v>6080</v>
      </c>
      <c r="C179" s="41" t="s">
        <v>6505</v>
      </c>
      <c r="D179" s="41">
        <v>34.200000000000003</v>
      </c>
      <c r="E179" s="41">
        <v>34.200000000000003</v>
      </c>
      <c r="F179" s="53">
        <v>0.77</v>
      </c>
      <c r="G179" s="41">
        <v>97</v>
      </c>
      <c r="H179" s="41">
        <v>100</v>
      </c>
      <c r="I179" s="41">
        <v>16470</v>
      </c>
      <c r="K179" s="41" t="s">
        <v>6081</v>
      </c>
      <c r="L179" s="41" t="s">
        <v>5574</v>
      </c>
      <c r="M179" s="41" t="str">
        <f>HYPERLINK("https://www.ncbi.nlm.nih.gov/nucleotide/OQ554011.1?report=genbank&amp;log$=nucltop&amp;blast_rank=174&amp;RID=K3RYFBUB014","OQ554011.1")</f>
        <v>OQ554011.1</v>
      </c>
      <c r="N179" s="41">
        <v>36.200000000000003</v>
      </c>
      <c r="O179" s="41">
        <v>36.200000000000003</v>
      </c>
      <c r="P179" s="53">
        <v>0.95</v>
      </c>
      <c r="Q179" s="41">
        <v>25</v>
      </c>
      <c r="R179" s="41">
        <v>100</v>
      </c>
      <c r="S179" s="41">
        <v>16387</v>
      </c>
      <c r="U179" s="38" t="s">
        <v>6082</v>
      </c>
      <c r="V179" s="38" t="s">
        <v>2151</v>
      </c>
      <c r="W179" s="38" t="str">
        <f>HYPERLINK("https://www.ncbi.nlm.nih.gov/nucleotide/NC_018557.1?report=genbank&amp;log$=nucltop&amp;blast_rank=174&amp;RID=K3S1J64G014","NC_018557.1")</f>
        <v>NC_018557.1</v>
      </c>
      <c r="X179" s="38">
        <v>36.200000000000003</v>
      </c>
      <c r="Y179" s="38">
        <v>36.200000000000003</v>
      </c>
      <c r="Z179" s="55">
        <v>0.93</v>
      </c>
      <c r="AA179" s="38">
        <v>74</v>
      </c>
      <c r="AB179" s="38">
        <v>92.31</v>
      </c>
      <c r="AC179" s="38">
        <v>16583</v>
      </c>
    </row>
    <row r="180" spans="1:29" x14ac:dyDescent="0.15">
      <c r="A180" s="41" t="s">
        <v>6083</v>
      </c>
      <c r="B180" s="41" t="s">
        <v>6084</v>
      </c>
      <c r="C180" s="41" t="s">
        <v>6506</v>
      </c>
      <c r="D180" s="41">
        <v>34.200000000000003</v>
      </c>
      <c r="E180" s="41">
        <v>34.200000000000003</v>
      </c>
      <c r="F180" s="53">
        <v>0.95</v>
      </c>
      <c r="G180" s="41">
        <v>97</v>
      </c>
      <c r="H180" s="41">
        <v>95.24</v>
      </c>
      <c r="I180" s="41">
        <v>3112</v>
      </c>
      <c r="K180" s="41" t="s">
        <v>6085</v>
      </c>
      <c r="L180" s="41" t="s">
        <v>5574</v>
      </c>
      <c r="M180" s="41" t="str">
        <f>HYPERLINK("https://www.ncbi.nlm.nih.gov/nucleotide/MW316264.1?report=genbank&amp;log$=nucltop&amp;blast_rank=175&amp;RID=K3RYFBUB014","MW316264.1")</f>
        <v>MW316264.1</v>
      </c>
      <c r="N180" s="41">
        <v>36.200000000000003</v>
      </c>
      <c r="O180" s="41">
        <v>36.200000000000003</v>
      </c>
      <c r="P180" s="53">
        <v>0.95</v>
      </c>
      <c r="Q180" s="41">
        <v>25</v>
      </c>
      <c r="R180" s="41">
        <v>100</v>
      </c>
      <c r="S180" s="41">
        <v>16382</v>
      </c>
      <c r="U180" s="38" t="s">
        <v>6086</v>
      </c>
      <c r="V180" s="38" t="s">
        <v>2107</v>
      </c>
      <c r="W180" s="38" t="str">
        <f>HYPERLINK("https://www.ncbi.nlm.nih.gov/nucleotide/NC_031416.1?report=genbank&amp;log$=nucltop&amp;blast_rank=175&amp;RID=K3S1J64G014","NC_031416.1")</f>
        <v>NC_031416.1</v>
      </c>
      <c r="X180" s="38">
        <v>36.200000000000003</v>
      </c>
      <c r="Y180" s="38">
        <v>36.200000000000003</v>
      </c>
      <c r="Z180" s="55">
        <v>0.93</v>
      </c>
      <c r="AA180" s="38">
        <v>74</v>
      </c>
      <c r="AB180" s="38">
        <v>92.31</v>
      </c>
      <c r="AC180" s="38">
        <v>16580</v>
      </c>
    </row>
    <row r="181" spans="1:29" x14ac:dyDescent="0.15">
      <c r="A181" s="41" t="s">
        <v>6087</v>
      </c>
      <c r="B181" s="41" t="s">
        <v>6005</v>
      </c>
      <c r="C181" s="41" t="s">
        <v>6507</v>
      </c>
      <c r="D181" s="41">
        <v>34.200000000000003</v>
      </c>
      <c r="E181" s="41">
        <v>34.200000000000003</v>
      </c>
      <c r="F181" s="53">
        <v>0.95</v>
      </c>
      <c r="G181" s="41">
        <v>97</v>
      </c>
      <c r="H181" s="41">
        <v>95.24</v>
      </c>
      <c r="I181" s="41">
        <v>17042</v>
      </c>
      <c r="K181" s="41" t="s">
        <v>6088</v>
      </c>
      <c r="L181" s="41" t="s">
        <v>5574</v>
      </c>
      <c r="M181" s="41" t="str">
        <f>HYPERLINK("https://www.ncbi.nlm.nih.gov/nucleotide/OQ554240.1?report=genbank&amp;log$=nucltop&amp;blast_rank=176&amp;RID=K3RYFBUB014","OQ554240.1")</f>
        <v>OQ554240.1</v>
      </c>
      <c r="N181" s="41">
        <v>36.200000000000003</v>
      </c>
      <c r="O181" s="41">
        <v>36.200000000000003</v>
      </c>
      <c r="P181" s="53">
        <v>0.95</v>
      </c>
      <c r="Q181" s="41">
        <v>25</v>
      </c>
      <c r="R181" s="41">
        <v>100</v>
      </c>
      <c r="S181" s="41">
        <v>16387</v>
      </c>
      <c r="U181" s="38" t="s">
        <v>6089</v>
      </c>
      <c r="V181" s="38" t="s">
        <v>6090</v>
      </c>
      <c r="W181" s="38" t="str">
        <f>HYPERLINK("https://www.ncbi.nlm.nih.gov/nucleotide/XM_051266832.1?report=genbank&amp;log$=nucltop&amp;blast_rank=176&amp;RID=K3S1J64G014","XM_051266832.1")</f>
        <v>XM_051266832.1</v>
      </c>
      <c r="X181" s="38">
        <v>36.200000000000003</v>
      </c>
      <c r="Y181" s="38">
        <v>36.200000000000003</v>
      </c>
      <c r="Z181" s="55">
        <v>0.64</v>
      </c>
      <c r="AA181" s="38">
        <v>74</v>
      </c>
      <c r="AB181" s="38">
        <v>100</v>
      </c>
      <c r="AC181" s="38">
        <v>5688</v>
      </c>
    </row>
    <row r="182" spans="1:29" x14ac:dyDescent="0.15">
      <c r="A182" s="41" t="s">
        <v>6091</v>
      </c>
      <c r="B182" s="41" t="s">
        <v>4169</v>
      </c>
      <c r="C182" s="41" t="s">
        <v>6508</v>
      </c>
      <c r="D182" s="41">
        <v>34.200000000000003</v>
      </c>
      <c r="E182" s="41">
        <v>34.200000000000003</v>
      </c>
      <c r="F182" s="53">
        <v>0.77</v>
      </c>
      <c r="G182" s="41">
        <v>97</v>
      </c>
      <c r="H182" s="41">
        <v>100</v>
      </c>
      <c r="I182" s="41">
        <v>4778</v>
      </c>
      <c r="K182" s="41" t="s">
        <v>6092</v>
      </c>
      <c r="L182" s="41" t="s">
        <v>5574</v>
      </c>
      <c r="M182" s="41" t="str">
        <f>HYPERLINK("https://www.ncbi.nlm.nih.gov/nucleotide/MW316220.1?report=genbank&amp;log$=nucltop&amp;blast_rank=177&amp;RID=K3RYFBUB014","MW316220.1")</f>
        <v>MW316220.1</v>
      </c>
      <c r="N182" s="41">
        <v>36.200000000000003</v>
      </c>
      <c r="O182" s="41">
        <v>36.200000000000003</v>
      </c>
      <c r="P182" s="53">
        <v>0.95</v>
      </c>
      <c r="Q182" s="41">
        <v>25</v>
      </c>
      <c r="R182" s="41">
        <v>100</v>
      </c>
      <c r="S182" s="41">
        <v>16378</v>
      </c>
      <c r="U182" s="38" t="s">
        <v>6093</v>
      </c>
      <c r="V182" s="38" t="s">
        <v>2103</v>
      </c>
      <c r="W182" s="38" t="str">
        <f>HYPERLINK("https://www.ncbi.nlm.nih.gov/nucleotide/NC_028033.1?report=genbank&amp;log$=nucltop&amp;blast_rank=177&amp;RID=K3S1J64G014","NC_028033.1")</f>
        <v>NC_028033.1</v>
      </c>
      <c r="X182" s="38">
        <v>36.200000000000003</v>
      </c>
      <c r="Y182" s="38">
        <v>36.200000000000003</v>
      </c>
      <c r="Z182" s="55">
        <v>0.93</v>
      </c>
      <c r="AA182" s="38">
        <v>74</v>
      </c>
      <c r="AB182" s="38">
        <v>92.31</v>
      </c>
      <c r="AC182" s="38">
        <v>16578</v>
      </c>
    </row>
    <row r="183" spans="1:29" x14ac:dyDescent="0.15">
      <c r="A183" s="41" t="s">
        <v>6094</v>
      </c>
      <c r="B183" s="41" t="s">
        <v>6095</v>
      </c>
      <c r="C183" s="41" t="s">
        <v>6509</v>
      </c>
      <c r="D183" s="41">
        <v>34.200000000000003</v>
      </c>
      <c r="E183" s="41">
        <v>34.200000000000003</v>
      </c>
      <c r="F183" s="53">
        <v>0.95</v>
      </c>
      <c r="G183" s="41">
        <v>97</v>
      </c>
      <c r="H183" s="41">
        <v>95.24</v>
      </c>
      <c r="I183" s="41">
        <v>17062</v>
      </c>
      <c r="K183" s="41" t="s">
        <v>6096</v>
      </c>
      <c r="L183" s="41" t="s">
        <v>5574</v>
      </c>
      <c r="M183" s="41" t="str">
        <f>HYPERLINK("https://www.ncbi.nlm.nih.gov/nucleotide/MW316241.1?report=genbank&amp;log$=nucltop&amp;blast_rank=178&amp;RID=K3RYFBUB014","MW316241.1")</f>
        <v>MW316241.1</v>
      </c>
      <c r="N183" s="41">
        <v>36.200000000000003</v>
      </c>
      <c r="O183" s="41">
        <v>36.200000000000003</v>
      </c>
      <c r="P183" s="53">
        <v>0.95</v>
      </c>
      <c r="Q183" s="41">
        <v>25</v>
      </c>
      <c r="R183" s="41">
        <v>100</v>
      </c>
      <c r="S183" s="41">
        <v>16383</v>
      </c>
      <c r="U183" s="38" t="s">
        <v>6097</v>
      </c>
      <c r="V183" s="38" t="s">
        <v>2157</v>
      </c>
      <c r="W183" s="38" t="str">
        <f>HYPERLINK("https://www.ncbi.nlm.nih.gov/nucleotide/NC_018559.1?report=genbank&amp;log$=nucltop&amp;blast_rank=178&amp;RID=K3S1J64G014","NC_018559.1")</f>
        <v>NC_018559.1</v>
      </c>
      <c r="X183" s="38">
        <v>36.200000000000003</v>
      </c>
      <c r="Y183" s="38">
        <v>36.200000000000003</v>
      </c>
      <c r="Z183" s="55">
        <v>0.93</v>
      </c>
      <c r="AA183" s="38">
        <v>74</v>
      </c>
      <c r="AB183" s="38">
        <v>92.31</v>
      </c>
      <c r="AC183" s="38">
        <v>16584</v>
      </c>
    </row>
    <row r="184" spans="1:29" x14ac:dyDescent="0.15">
      <c r="A184" s="41" t="s">
        <v>6098</v>
      </c>
      <c r="B184" s="41" t="s">
        <v>5963</v>
      </c>
      <c r="C184" s="41" t="s">
        <v>6510</v>
      </c>
      <c r="D184" s="41">
        <v>34.200000000000003</v>
      </c>
      <c r="E184" s="41">
        <v>34.200000000000003</v>
      </c>
      <c r="F184" s="53">
        <v>0.95</v>
      </c>
      <c r="G184" s="41">
        <v>97</v>
      </c>
      <c r="H184" s="41">
        <v>95.24</v>
      </c>
      <c r="I184" s="41">
        <v>17063</v>
      </c>
      <c r="K184" s="41" t="s">
        <v>6099</v>
      </c>
      <c r="L184" s="41" t="s">
        <v>5574</v>
      </c>
      <c r="M184" s="41" t="str">
        <f>HYPERLINK("https://www.ncbi.nlm.nih.gov/nucleotide/OQ554010.1?report=genbank&amp;log$=nucltop&amp;blast_rank=179&amp;RID=K3RYFBUB014","OQ554010.1")</f>
        <v>OQ554010.1</v>
      </c>
      <c r="N184" s="41">
        <v>36.200000000000003</v>
      </c>
      <c r="O184" s="41">
        <v>36.200000000000003</v>
      </c>
      <c r="P184" s="53">
        <v>0.95</v>
      </c>
      <c r="Q184" s="41">
        <v>25</v>
      </c>
      <c r="R184" s="41">
        <v>100</v>
      </c>
      <c r="S184" s="41">
        <v>16386</v>
      </c>
      <c r="U184" s="38" t="s">
        <v>6100</v>
      </c>
      <c r="V184" s="38" t="s">
        <v>2123</v>
      </c>
      <c r="W184" s="38" t="str">
        <f>HYPERLINK("https://www.ncbi.nlm.nih.gov/nucleotide/NC_035993.1?report=genbank&amp;log$=nucltop&amp;blast_rank=179&amp;RID=K3S1J64G014","NC_035993.1")</f>
        <v>NC_035993.1</v>
      </c>
      <c r="X184" s="38">
        <v>36.200000000000003</v>
      </c>
      <c r="Y184" s="38">
        <v>36.200000000000003</v>
      </c>
      <c r="Z184" s="55">
        <v>0.93</v>
      </c>
      <c r="AA184" s="38">
        <v>74</v>
      </c>
      <c r="AB184" s="38">
        <v>92.31</v>
      </c>
      <c r="AC184" s="38">
        <v>16581</v>
      </c>
    </row>
    <row r="185" spans="1:29" x14ac:dyDescent="0.15">
      <c r="A185" s="41" t="s">
        <v>6101</v>
      </c>
      <c r="B185" s="41" t="s">
        <v>5830</v>
      </c>
      <c r="C185" s="41" t="s">
        <v>6511</v>
      </c>
      <c r="D185" s="41">
        <v>34.200000000000003</v>
      </c>
      <c r="E185" s="41">
        <v>34.200000000000003</v>
      </c>
      <c r="F185" s="53">
        <v>0.77</v>
      </c>
      <c r="G185" s="41">
        <v>97</v>
      </c>
      <c r="H185" s="41">
        <v>100</v>
      </c>
      <c r="I185" s="41">
        <v>7457</v>
      </c>
      <c r="K185" s="41" t="s">
        <v>6102</v>
      </c>
      <c r="L185" s="41" t="s">
        <v>5574</v>
      </c>
      <c r="M185" s="41" t="str">
        <f>HYPERLINK("https://www.ncbi.nlm.nih.gov/nucleotide/OQ553968.1?report=genbank&amp;log$=nucltop&amp;blast_rank=180&amp;RID=K3RYFBUB014","OQ553968.1")</f>
        <v>OQ553968.1</v>
      </c>
      <c r="N185" s="41">
        <v>36.200000000000003</v>
      </c>
      <c r="O185" s="41">
        <v>36.200000000000003</v>
      </c>
      <c r="P185" s="53">
        <v>0.95</v>
      </c>
      <c r="Q185" s="41">
        <v>25</v>
      </c>
      <c r="R185" s="41">
        <v>100</v>
      </c>
      <c r="S185" s="41">
        <v>16387</v>
      </c>
      <c r="U185" s="38" t="s">
        <v>6103</v>
      </c>
      <c r="V185" s="38" t="s">
        <v>2121</v>
      </c>
      <c r="W185" s="38" t="str">
        <f>HYPERLINK("https://www.ncbi.nlm.nih.gov/nucleotide/NC_029761.1?report=genbank&amp;log$=nucltop&amp;blast_rank=180&amp;RID=K3S1J64G014","NC_029761.1")</f>
        <v>NC_029761.1</v>
      </c>
      <c r="X185" s="38">
        <v>36.200000000000003</v>
      </c>
      <c r="Y185" s="38">
        <v>36.200000000000003</v>
      </c>
      <c r="Z185" s="55">
        <v>0.93</v>
      </c>
      <c r="AA185" s="38">
        <v>74</v>
      </c>
      <c r="AB185" s="38">
        <v>92.31</v>
      </c>
      <c r="AC185" s="38">
        <v>16704</v>
      </c>
    </row>
    <row r="186" spans="1:29" x14ac:dyDescent="0.15">
      <c r="A186" s="41" t="s">
        <v>6004</v>
      </c>
      <c r="B186" s="41" t="s">
        <v>6005</v>
      </c>
      <c r="C186" s="41" t="s">
        <v>6512</v>
      </c>
      <c r="D186" s="41">
        <v>34.200000000000003</v>
      </c>
      <c r="E186" s="41">
        <v>34.200000000000003</v>
      </c>
      <c r="F186" s="53">
        <v>0.95</v>
      </c>
      <c r="G186" s="41">
        <v>97</v>
      </c>
      <c r="H186" s="41">
        <v>95.24</v>
      </c>
      <c r="I186" s="41">
        <v>16772</v>
      </c>
      <c r="K186" s="41" t="s">
        <v>6104</v>
      </c>
      <c r="L186" s="41" t="s">
        <v>5574</v>
      </c>
      <c r="M186" s="41" t="str">
        <f>HYPERLINK("https://www.ncbi.nlm.nih.gov/nucleotide/MW316248.1?report=genbank&amp;log$=nucltop&amp;blast_rank=181&amp;RID=K3RYFBUB014","MW316248.1")</f>
        <v>MW316248.1</v>
      </c>
      <c r="N186" s="41">
        <v>36.200000000000003</v>
      </c>
      <c r="O186" s="41">
        <v>36.200000000000003</v>
      </c>
      <c r="P186" s="53">
        <v>0.95</v>
      </c>
      <c r="Q186" s="41">
        <v>25</v>
      </c>
      <c r="R186" s="41">
        <v>100</v>
      </c>
      <c r="S186" s="41">
        <v>16384</v>
      </c>
      <c r="U186" s="38" t="s">
        <v>6105</v>
      </c>
      <c r="V186" s="38" t="s">
        <v>2165</v>
      </c>
      <c r="W186" s="38" t="str">
        <f>HYPERLINK("https://www.ncbi.nlm.nih.gov/nucleotide/NC_018555.1?report=genbank&amp;log$=nucltop&amp;blast_rank=181&amp;RID=K3S1J64G014","NC_018555.1")</f>
        <v>NC_018555.1</v>
      </c>
      <c r="X186" s="38">
        <v>36.200000000000003</v>
      </c>
      <c r="Y186" s="38">
        <v>36.200000000000003</v>
      </c>
      <c r="Z186" s="55">
        <v>0.93</v>
      </c>
      <c r="AA186" s="38">
        <v>74</v>
      </c>
      <c r="AB186" s="38">
        <v>92.31</v>
      </c>
      <c r="AC186" s="38">
        <v>16579</v>
      </c>
    </row>
    <row r="187" spans="1:29" x14ac:dyDescent="0.15">
      <c r="A187" s="41" t="s">
        <v>6106</v>
      </c>
      <c r="B187" s="41" t="s">
        <v>6107</v>
      </c>
      <c r="C187" s="41" t="s">
        <v>6513</v>
      </c>
      <c r="D187" s="41">
        <v>34.200000000000003</v>
      </c>
      <c r="E187" s="41">
        <v>34.200000000000003</v>
      </c>
      <c r="F187" s="53">
        <v>0.77</v>
      </c>
      <c r="G187" s="41">
        <v>97</v>
      </c>
      <c r="H187" s="41">
        <v>100</v>
      </c>
      <c r="I187" s="41">
        <v>4501581</v>
      </c>
      <c r="K187" s="41" t="s">
        <v>5818</v>
      </c>
      <c r="L187" s="41" t="s">
        <v>5574</v>
      </c>
      <c r="M187" s="41" t="str">
        <f>HYPERLINK("https://www.ncbi.nlm.nih.gov/nucleotide/MW183361.1?report=genbank&amp;log$=nucltop&amp;blast_rank=182&amp;RID=K3RYFBUB014","MW183361.1")</f>
        <v>MW183361.1</v>
      </c>
      <c r="N187" s="41">
        <v>36.200000000000003</v>
      </c>
      <c r="O187" s="41">
        <v>36.200000000000003</v>
      </c>
      <c r="P187" s="53">
        <v>0.95</v>
      </c>
      <c r="Q187" s="41">
        <v>25</v>
      </c>
      <c r="R187" s="41">
        <v>100</v>
      </c>
      <c r="S187" s="41">
        <v>16386</v>
      </c>
      <c r="U187" s="38" t="s">
        <v>6108</v>
      </c>
      <c r="V187" s="38" t="s">
        <v>2032</v>
      </c>
      <c r="W187" s="38" t="str">
        <f>HYPERLINK("https://www.ncbi.nlm.nih.gov/nucleotide/PV742869.1?report=genbank&amp;log$=nucltop&amp;blast_rank=182&amp;RID=K3S1J64G014","PV742869.1")</f>
        <v>PV742869.1</v>
      </c>
      <c r="X187" s="38">
        <v>36.200000000000003</v>
      </c>
      <c r="Y187" s="38">
        <v>36.200000000000003</v>
      </c>
      <c r="Z187" s="55">
        <v>0.79</v>
      </c>
      <c r="AA187" s="38">
        <v>74</v>
      </c>
      <c r="AB187" s="38">
        <v>95.45</v>
      </c>
      <c r="AC187" s="38">
        <v>16734</v>
      </c>
    </row>
    <row r="188" spans="1:29" x14ac:dyDescent="0.15">
      <c r="A188" s="41" t="s">
        <v>6109</v>
      </c>
      <c r="B188" s="41" t="s">
        <v>6110</v>
      </c>
      <c r="C188" s="41" t="s">
        <v>6514</v>
      </c>
      <c r="D188" s="41">
        <v>34.200000000000003</v>
      </c>
      <c r="E188" s="41">
        <v>34.200000000000003</v>
      </c>
      <c r="F188" s="53">
        <v>0.77</v>
      </c>
      <c r="G188" s="41">
        <v>97</v>
      </c>
      <c r="H188" s="41">
        <v>100</v>
      </c>
      <c r="I188" s="41">
        <v>17059</v>
      </c>
      <c r="K188" s="41" t="s">
        <v>6111</v>
      </c>
      <c r="L188" s="41" t="s">
        <v>5574</v>
      </c>
      <c r="M188" s="41" t="str">
        <f>HYPERLINK("https://www.ncbi.nlm.nih.gov/nucleotide/OQ554283.1?report=genbank&amp;log$=nucltop&amp;blast_rank=183&amp;RID=K3RYFBUB014","OQ554283.1")</f>
        <v>OQ554283.1</v>
      </c>
      <c r="N188" s="41">
        <v>36.200000000000003</v>
      </c>
      <c r="O188" s="41">
        <v>36.200000000000003</v>
      </c>
      <c r="P188" s="53">
        <v>0.95</v>
      </c>
      <c r="Q188" s="41">
        <v>25</v>
      </c>
      <c r="R188" s="41">
        <v>100</v>
      </c>
      <c r="S188" s="41">
        <v>16386</v>
      </c>
      <c r="U188" s="38" t="s">
        <v>6112</v>
      </c>
      <c r="V188" s="38" t="s">
        <v>2149</v>
      </c>
      <c r="W188" s="38" t="str">
        <f>HYPERLINK("https://www.ncbi.nlm.nih.gov/nucleotide/NC_018558.1?report=genbank&amp;log$=nucltop&amp;blast_rank=183&amp;RID=K3S1J64G014","NC_018558.1")</f>
        <v>NC_018558.1</v>
      </c>
      <c r="X188" s="38">
        <v>36.200000000000003</v>
      </c>
      <c r="Y188" s="38">
        <v>36.200000000000003</v>
      </c>
      <c r="Z188" s="55">
        <v>0.93</v>
      </c>
      <c r="AA188" s="38">
        <v>74</v>
      </c>
      <c r="AB188" s="38">
        <v>92.31</v>
      </c>
      <c r="AC188" s="38">
        <v>16584</v>
      </c>
    </row>
    <row r="189" spans="1:29" x14ac:dyDescent="0.15">
      <c r="A189" s="41" t="s">
        <v>6113</v>
      </c>
      <c r="B189" s="41" t="s">
        <v>6114</v>
      </c>
      <c r="C189" s="41" t="s">
        <v>6515</v>
      </c>
      <c r="D189" s="41">
        <v>34.200000000000003</v>
      </c>
      <c r="E189" s="41">
        <v>34.200000000000003</v>
      </c>
      <c r="F189" s="53">
        <v>0.77</v>
      </c>
      <c r="G189" s="41">
        <v>97</v>
      </c>
      <c r="H189" s="41">
        <v>100</v>
      </c>
      <c r="I189" s="41">
        <v>1641</v>
      </c>
      <c r="K189" s="41" t="s">
        <v>6115</v>
      </c>
      <c r="L189" s="41" t="s">
        <v>5574</v>
      </c>
      <c r="M189" s="41" t="str">
        <f>HYPERLINK("https://www.ncbi.nlm.nih.gov/nucleotide/OQ553991.1?report=genbank&amp;log$=nucltop&amp;blast_rank=184&amp;RID=K3RYFBUB014","OQ553991.1")</f>
        <v>OQ553991.1</v>
      </c>
      <c r="N189" s="41">
        <v>36.200000000000003</v>
      </c>
      <c r="O189" s="41">
        <v>36.200000000000003</v>
      </c>
      <c r="P189" s="53">
        <v>0.95</v>
      </c>
      <c r="Q189" s="41">
        <v>25</v>
      </c>
      <c r="R189" s="41">
        <v>100</v>
      </c>
      <c r="S189" s="41">
        <v>16386</v>
      </c>
      <c r="U189" s="38" t="s">
        <v>6116</v>
      </c>
      <c r="V189" s="38" t="s">
        <v>6117</v>
      </c>
      <c r="W189" s="38" t="str">
        <f>HYPERLINK("https://www.ncbi.nlm.nih.gov/nucleotide/KY065916.1?report=genbank&amp;log$=nucltop&amp;blast_rank=184&amp;RID=K3S1J64G014","KY065916.1")</f>
        <v>KY065916.1</v>
      </c>
      <c r="X189" s="38">
        <v>36.200000000000003</v>
      </c>
      <c r="Y189" s="38">
        <v>36.200000000000003</v>
      </c>
      <c r="Z189" s="55">
        <v>0.64</v>
      </c>
      <c r="AA189" s="38">
        <v>74</v>
      </c>
      <c r="AB189" s="38">
        <v>100</v>
      </c>
      <c r="AC189" s="38">
        <v>973</v>
      </c>
    </row>
    <row r="190" spans="1:29" x14ac:dyDescent="0.15">
      <c r="A190" s="41" t="s">
        <v>6118</v>
      </c>
      <c r="B190" s="41" t="s">
        <v>2145</v>
      </c>
      <c r="C190" s="41" t="s">
        <v>6516</v>
      </c>
      <c r="D190" s="41">
        <v>34.200000000000003</v>
      </c>
      <c r="E190" s="41">
        <v>34.200000000000003</v>
      </c>
      <c r="F190" s="53">
        <v>0.77</v>
      </c>
      <c r="G190" s="41">
        <v>97</v>
      </c>
      <c r="H190" s="41">
        <v>100</v>
      </c>
      <c r="I190" s="41">
        <v>2911</v>
      </c>
      <c r="K190" s="41" t="s">
        <v>6119</v>
      </c>
      <c r="L190" s="41" t="s">
        <v>5574</v>
      </c>
      <c r="M190" s="41" t="str">
        <f>HYPERLINK("https://www.ncbi.nlm.nih.gov/nucleotide/OQ554155.1?report=genbank&amp;log$=nucltop&amp;blast_rank=185&amp;RID=K3RYFBUB014","OQ554155.1")</f>
        <v>OQ554155.1</v>
      </c>
      <c r="N190" s="41">
        <v>36.200000000000003</v>
      </c>
      <c r="O190" s="41">
        <v>36.200000000000003</v>
      </c>
      <c r="P190" s="53">
        <v>0.95</v>
      </c>
      <c r="Q190" s="41">
        <v>25</v>
      </c>
      <c r="R190" s="41">
        <v>100</v>
      </c>
      <c r="S190" s="41">
        <v>16386</v>
      </c>
      <c r="U190" s="38" t="s">
        <v>6120</v>
      </c>
      <c r="V190" s="38" t="s">
        <v>2596</v>
      </c>
      <c r="W190" s="38" t="str">
        <f>HYPERLINK("https://www.ncbi.nlm.nih.gov/nucleotide/MW448544.1?report=genbank&amp;log$=nucltop&amp;blast_rank=185&amp;RID=K3S1J64G014","MW448544.1")</f>
        <v>MW448544.1</v>
      </c>
      <c r="X190" s="38">
        <v>36.200000000000003</v>
      </c>
      <c r="Y190" s="38">
        <v>36.200000000000003</v>
      </c>
      <c r="Z190" s="55">
        <v>0.93</v>
      </c>
      <c r="AA190" s="38">
        <v>74</v>
      </c>
      <c r="AB190" s="38">
        <v>92.31</v>
      </c>
      <c r="AC190" s="38">
        <v>16528</v>
      </c>
    </row>
    <row r="191" spans="1:29" x14ac:dyDescent="0.15">
      <c r="A191" s="57" t="s">
        <v>6121</v>
      </c>
      <c r="B191" s="57" t="s">
        <v>308</v>
      </c>
      <c r="C191" s="41" t="s">
        <v>6517</v>
      </c>
      <c r="D191" s="41">
        <v>34.200000000000003</v>
      </c>
      <c r="E191" s="41">
        <v>34.200000000000003</v>
      </c>
      <c r="F191" s="53">
        <v>0.95</v>
      </c>
      <c r="G191" s="41">
        <v>97</v>
      </c>
      <c r="H191" s="41">
        <v>95.24</v>
      </c>
      <c r="I191" s="41">
        <v>975</v>
      </c>
      <c r="K191" s="41" t="s">
        <v>6122</v>
      </c>
      <c r="L191" s="41" t="s">
        <v>5574</v>
      </c>
      <c r="M191" s="41" t="str">
        <f>HYPERLINK("https://www.ncbi.nlm.nih.gov/nucleotide/OQ554232.1?report=genbank&amp;log$=nucltop&amp;blast_rank=186&amp;RID=K3RYFBUB014","OQ554232.1")</f>
        <v>OQ554232.1</v>
      </c>
      <c r="N191" s="41">
        <v>36.200000000000003</v>
      </c>
      <c r="O191" s="41">
        <v>36.200000000000003</v>
      </c>
      <c r="P191" s="53">
        <v>0.95</v>
      </c>
      <c r="Q191" s="41">
        <v>25</v>
      </c>
      <c r="R191" s="41">
        <v>100</v>
      </c>
      <c r="S191" s="41">
        <v>16386</v>
      </c>
      <c r="U191" s="38" t="s">
        <v>6123</v>
      </c>
      <c r="V191" s="38" t="s">
        <v>6124</v>
      </c>
      <c r="W191" s="38" t="str">
        <f>HYPERLINK("https://www.ncbi.nlm.nih.gov/nucleotide/CP100604.1?report=genbank&amp;log$=nucltop&amp;blast_rank=186&amp;RID=K3S1J64G014","CP100604.1")</f>
        <v>CP100604.1</v>
      </c>
      <c r="X191" s="38">
        <v>36.200000000000003</v>
      </c>
      <c r="Y191" s="38">
        <v>36.200000000000003</v>
      </c>
      <c r="Z191" s="55">
        <v>0.64</v>
      </c>
      <c r="AA191" s="38">
        <v>74</v>
      </c>
      <c r="AB191" s="38">
        <v>100</v>
      </c>
      <c r="AC191" s="38">
        <v>9328819</v>
      </c>
    </row>
    <row r="192" spans="1:29" x14ac:dyDescent="0.15">
      <c r="A192" s="41" t="s">
        <v>6125</v>
      </c>
      <c r="B192" s="41" t="s">
        <v>5151</v>
      </c>
      <c r="C192" s="41" t="s">
        <v>6518</v>
      </c>
      <c r="D192" s="41">
        <v>34.200000000000003</v>
      </c>
      <c r="E192" s="41">
        <v>34.200000000000003</v>
      </c>
      <c r="F192" s="53">
        <v>0.77</v>
      </c>
      <c r="G192" s="41">
        <v>97</v>
      </c>
      <c r="H192" s="41">
        <v>100</v>
      </c>
      <c r="I192" s="41">
        <v>18447159</v>
      </c>
      <c r="K192" s="41" t="s">
        <v>6126</v>
      </c>
      <c r="L192" s="41" t="s">
        <v>5574</v>
      </c>
      <c r="M192" s="41" t="str">
        <f>HYPERLINK("https://www.ncbi.nlm.nih.gov/nucleotide/OQ554057.1?report=genbank&amp;log$=nucltop&amp;blast_rank=187&amp;RID=K3RYFBUB014","OQ554057.1")</f>
        <v>OQ554057.1</v>
      </c>
      <c r="N192" s="41">
        <v>36.200000000000003</v>
      </c>
      <c r="O192" s="41">
        <v>36.200000000000003</v>
      </c>
      <c r="P192" s="53">
        <v>0.95</v>
      </c>
      <c r="Q192" s="41">
        <v>25</v>
      </c>
      <c r="R192" s="41">
        <v>100</v>
      </c>
      <c r="S192" s="41">
        <v>16386</v>
      </c>
      <c r="U192" s="38" t="s">
        <v>4239</v>
      </c>
      <c r="V192" s="38" t="s">
        <v>53</v>
      </c>
      <c r="W192" s="38" t="str">
        <f>HYPERLINK("https://www.ncbi.nlm.nih.gov/nucleotide/OZ206514.1?report=genbank&amp;log$=nucltop&amp;blast_rank=187&amp;RID=K3S1J64G014","OZ206514.1")</f>
        <v>OZ206514.1</v>
      </c>
      <c r="X192" s="38">
        <v>36.200000000000003</v>
      </c>
      <c r="Y192" s="38">
        <v>36.200000000000003</v>
      </c>
      <c r="Z192" s="55">
        <v>0.93</v>
      </c>
      <c r="AA192" s="38">
        <v>74</v>
      </c>
      <c r="AB192" s="38">
        <v>92.31</v>
      </c>
      <c r="AC192" s="38">
        <v>16582</v>
      </c>
    </row>
    <row r="193" spans="1:29" x14ac:dyDescent="0.15">
      <c r="A193" s="41" t="s">
        <v>6127</v>
      </c>
      <c r="B193" s="41" t="s">
        <v>6128</v>
      </c>
      <c r="C193" s="41" t="s">
        <v>6519</v>
      </c>
      <c r="D193" s="41">
        <v>34.200000000000003</v>
      </c>
      <c r="E193" s="41">
        <v>34.200000000000003</v>
      </c>
      <c r="F193" s="53">
        <v>0.77</v>
      </c>
      <c r="G193" s="41">
        <v>97</v>
      </c>
      <c r="H193" s="41">
        <v>100</v>
      </c>
      <c r="I193" s="41">
        <v>16711</v>
      </c>
      <c r="K193" s="41" t="s">
        <v>6129</v>
      </c>
      <c r="L193" s="41" t="s">
        <v>5574</v>
      </c>
      <c r="M193" s="41" t="str">
        <f>HYPERLINK("https://www.ncbi.nlm.nih.gov/nucleotide/OQ554026.1?report=genbank&amp;log$=nucltop&amp;blast_rank=188&amp;RID=K3RYFBUB014","OQ554026.1")</f>
        <v>OQ554026.1</v>
      </c>
      <c r="N193" s="41">
        <v>36.200000000000003</v>
      </c>
      <c r="O193" s="41">
        <v>36.200000000000003</v>
      </c>
      <c r="P193" s="53">
        <v>0.95</v>
      </c>
      <c r="Q193" s="41">
        <v>25</v>
      </c>
      <c r="R193" s="41">
        <v>100</v>
      </c>
      <c r="S193" s="41">
        <v>16386</v>
      </c>
      <c r="U193" s="38" t="s">
        <v>6130</v>
      </c>
      <c r="V193" s="38" t="s">
        <v>6131</v>
      </c>
      <c r="W193" s="38" t="str">
        <f>HYPERLINK("https://www.ncbi.nlm.nih.gov/nucleotide/LK065183.1?report=genbank&amp;log$=nucltop&amp;blast_rank=188&amp;RID=K3S1J64G014","LK065183.1")</f>
        <v>LK065183.1</v>
      </c>
      <c r="X193" s="38">
        <v>36.200000000000003</v>
      </c>
      <c r="Y193" s="38">
        <v>72.400000000000006</v>
      </c>
      <c r="Z193" s="55">
        <v>0.64</v>
      </c>
      <c r="AA193" s="38">
        <v>74</v>
      </c>
      <c r="AB193" s="38">
        <v>100</v>
      </c>
      <c r="AC193" s="38">
        <v>2335339</v>
      </c>
    </row>
    <row r="194" spans="1:29" x14ac:dyDescent="0.15">
      <c r="A194" s="41" t="s">
        <v>5791</v>
      </c>
      <c r="B194" s="41" t="s">
        <v>5792</v>
      </c>
      <c r="C194" s="41" t="s">
        <v>6520</v>
      </c>
      <c r="D194" s="41">
        <v>34.200000000000003</v>
      </c>
      <c r="E194" s="41">
        <v>34.200000000000003</v>
      </c>
      <c r="F194" s="53">
        <v>0.77</v>
      </c>
      <c r="G194" s="41">
        <v>97</v>
      </c>
      <c r="H194" s="41">
        <v>100</v>
      </c>
      <c r="I194" s="41">
        <v>17067</v>
      </c>
      <c r="K194" s="41" t="s">
        <v>6132</v>
      </c>
      <c r="L194" s="41" t="s">
        <v>5574</v>
      </c>
      <c r="M194" s="41" t="str">
        <f>HYPERLINK("https://www.ncbi.nlm.nih.gov/nucleotide/OQ554281.1?report=genbank&amp;log$=nucltop&amp;blast_rank=189&amp;RID=K3RYFBUB014","OQ554281.1")</f>
        <v>OQ554281.1</v>
      </c>
      <c r="N194" s="41">
        <v>36.200000000000003</v>
      </c>
      <c r="O194" s="41">
        <v>36.200000000000003</v>
      </c>
      <c r="P194" s="53">
        <v>0.95</v>
      </c>
      <c r="Q194" s="41">
        <v>25</v>
      </c>
      <c r="R194" s="41">
        <v>100</v>
      </c>
      <c r="S194" s="41">
        <v>16386</v>
      </c>
      <c r="U194" s="38" t="s">
        <v>6133</v>
      </c>
      <c r="V194" s="38" t="s">
        <v>6134</v>
      </c>
      <c r="W194" s="38" t="str">
        <f>HYPERLINK("https://www.ncbi.nlm.nih.gov/nucleotide/OZ017737.1?report=genbank&amp;log$=nucltop&amp;blast_rank=189&amp;RID=K3S1J64G014","OZ017737.1")</f>
        <v>OZ017737.1</v>
      </c>
      <c r="X194" s="38">
        <v>36.200000000000003</v>
      </c>
      <c r="Y194" s="38">
        <v>36.200000000000003</v>
      </c>
      <c r="Z194" s="55">
        <v>0.93</v>
      </c>
      <c r="AA194" s="38">
        <v>74</v>
      </c>
      <c r="AB194" s="38">
        <v>92.31</v>
      </c>
      <c r="AC194" s="38">
        <v>16582</v>
      </c>
    </row>
    <row r="195" spans="1:29" x14ac:dyDescent="0.15">
      <c r="A195" s="41" t="s">
        <v>6135</v>
      </c>
      <c r="B195" s="41" t="s">
        <v>6136</v>
      </c>
      <c r="C195" s="41" t="s">
        <v>6521</v>
      </c>
      <c r="D195" s="41">
        <v>34.200000000000003</v>
      </c>
      <c r="E195" s="41">
        <v>34.200000000000003</v>
      </c>
      <c r="F195" s="53">
        <v>0.95</v>
      </c>
      <c r="G195" s="41">
        <v>97</v>
      </c>
      <c r="H195" s="41">
        <v>95.24</v>
      </c>
      <c r="I195" s="41">
        <v>17060</v>
      </c>
      <c r="K195" s="41" t="s">
        <v>6137</v>
      </c>
      <c r="L195" s="41" t="s">
        <v>5574</v>
      </c>
      <c r="M195" s="41" t="str">
        <f>HYPERLINK("https://www.ncbi.nlm.nih.gov/nucleotide/OQ554122.1?report=genbank&amp;log$=nucltop&amp;blast_rank=190&amp;RID=K3RYFBUB014","OQ554122.1")</f>
        <v>OQ554122.1</v>
      </c>
      <c r="N195" s="41">
        <v>36.200000000000003</v>
      </c>
      <c r="O195" s="41">
        <v>36.200000000000003</v>
      </c>
      <c r="P195" s="53">
        <v>0.95</v>
      </c>
      <c r="Q195" s="41">
        <v>25</v>
      </c>
      <c r="R195" s="41">
        <v>100</v>
      </c>
      <c r="S195" s="41">
        <v>16387</v>
      </c>
      <c r="U195" s="38" t="s">
        <v>6138</v>
      </c>
      <c r="V195" s="38" t="s">
        <v>6139</v>
      </c>
      <c r="W195" s="38" t="str">
        <f>HYPERLINK("https://www.ncbi.nlm.nih.gov/nucleotide/EF521337.1?report=genbank&amp;log$=nucltop&amp;blast_rank=190&amp;RID=K3S1J64G014","EF521337.1")</f>
        <v>EF521337.1</v>
      </c>
      <c r="X195" s="38">
        <v>36.200000000000003</v>
      </c>
      <c r="Y195" s="38">
        <v>36.200000000000003</v>
      </c>
      <c r="Z195" s="55">
        <v>0.93</v>
      </c>
      <c r="AA195" s="38">
        <v>74</v>
      </c>
      <c r="AB195" s="38">
        <v>92.31</v>
      </c>
      <c r="AC195" s="38">
        <v>507</v>
      </c>
    </row>
    <row r="196" spans="1:29" x14ac:dyDescent="0.15">
      <c r="A196" s="41" t="s">
        <v>6004</v>
      </c>
      <c r="B196" s="41" t="s">
        <v>6005</v>
      </c>
      <c r="C196" s="41" t="s">
        <v>6522</v>
      </c>
      <c r="D196" s="41">
        <v>34.200000000000003</v>
      </c>
      <c r="E196" s="41">
        <v>34.200000000000003</v>
      </c>
      <c r="F196" s="53">
        <v>0.95</v>
      </c>
      <c r="G196" s="41">
        <v>97</v>
      </c>
      <c r="H196" s="41">
        <v>95.24</v>
      </c>
      <c r="I196" s="41">
        <v>17042</v>
      </c>
      <c r="K196" s="41" t="s">
        <v>6140</v>
      </c>
      <c r="L196" s="41" t="s">
        <v>5574</v>
      </c>
      <c r="M196" s="41" t="str">
        <f>HYPERLINK("https://www.ncbi.nlm.nih.gov/nucleotide/MW316225.1?report=genbank&amp;log$=nucltop&amp;blast_rank=191&amp;RID=K3RYFBUB014","MW316225.1")</f>
        <v>MW316225.1</v>
      </c>
      <c r="N196" s="41">
        <v>36.200000000000003</v>
      </c>
      <c r="O196" s="41">
        <v>36.200000000000003</v>
      </c>
      <c r="P196" s="53">
        <v>0.95</v>
      </c>
      <c r="Q196" s="41">
        <v>25</v>
      </c>
      <c r="R196" s="41">
        <v>100</v>
      </c>
      <c r="S196" s="41">
        <v>16379</v>
      </c>
      <c r="U196" s="38" t="s">
        <v>6141</v>
      </c>
      <c r="V196" s="38" t="s">
        <v>2127</v>
      </c>
      <c r="W196" s="38" t="str">
        <f>HYPERLINK("https://www.ncbi.nlm.nih.gov/nucleotide/NC_018561.1?report=genbank&amp;log$=nucltop&amp;blast_rank=191&amp;RID=K3S1J64G014","NC_018561.1")</f>
        <v>NC_018561.1</v>
      </c>
      <c r="X196" s="38">
        <v>36.200000000000003</v>
      </c>
      <c r="Y196" s="38">
        <v>36.200000000000003</v>
      </c>
      <c r="Z196" s="55">
        <v>0.93</v>
      </c>
      <c r="AA196" s="38">
        <v>74</v>
      </c>
      <c r="AB196" s="38">
        <v>92.31</v>
      </c>
      <c r="AC196" s="38">
        <v>16583</v>
      </c>
    </row>
    <row r="197" spans="1:29" x14ac:dyDescent="0.15">
      <c r="A197" s="41" t="s">
        <v>6142</v>
      </c>
      <c r="B197" s="41" t="s">
        <v>2824</v>
      </c>
      <c r="C197" s="41" t="s">
        <v>6523</v>
      </c>
      <c r="D197" s="41">
        <v>34.200000000000003</v>
      </c>
      <c r="E197" s="41">
        <v>34.200000000000003</v>
      </c>
      <c r="F197" s="53">
        <v>0.95</v>
      </c>
      <c r="G197" s="41">
        <v>97</v>
      </c>
      <c r="H197" s="41">
        <v>95.24</v>
      </c>
      <c r="I197" s="41">
        <v>16732</v>
      </c>
      <c r="K197" s="41" t="s">
        <v>6143</v>
      </c>
      <c r="L197" s="41" t="s">
        <v>5574</v>
      </c>
      <c r="M197" s="41" t="str">
        <f>HYPERLINK("https://www.ncbi.nlm.nih.gov/nucleotide/MW316243.1?report=genbank&amp;log$=nucltop&amp;blast_rank=192&amp;RID=K3RYFBUB014","MW316243.1")</f>
        <v>MW316243.1</v>
      </c>
      <c r="N197" s="41">
        <v>36.200000000000003</v>
      </c>
      <c r="O197" s="41">
        <v>36.200000000000003</v>
      </c>
      <c r="P197" s="53">
        <v>0.95</v>
      </c>
      <c r="Q197" s="41">
        <v>25</v>
      </c>
      <c r="R197" s="41">
        <v>100</v>
      </c>
      <c r="S197" s="41">
        <v>16377</v>
      </c>
      <c r="U197" s="38" t="s">
        <v>6057</v>
      </c>
      <c r="V197" s="38" t="s">
        <v>2105</v>
      </c>
      <c r="W197" s="38" t="str">
        <f>HYPERLINK("https://www.ncbi.nlm.nih.gov/nucleotide/KU140665.1?report=genbank&amp;log$=nucltop&amp;blast_rank=192&amp;RID=K3S1J64G014","KU140665.1")</f>
        <v>KU140665.1</v>
      </c>
      <c r="X197" s="38">
        <v>36.200000000000003</v>
      </c>
      <c r="Y197" s="38">
        <v>36.200000000000003</v>
      </c>
      <c r="Z197" s="55">
        <v>0.93</v>
      </c>
      <c r="AA197" s="38">
        <v>74</v>
      </c>
      <c r="AB197" s="38">
        <v>92.31</v>
      </c>
      <c r="AC197" s="38">
        <v>16582</v>
      </c>
    </row>
    <row r="198" spans="1:29" x14ac:dyDescent="0.15">
      <c r="A198" s="41" t="s">
        <v>6144</v>
      </c>
      <c r="B198" s="41" t="s">
        <v>5830</v>
      </c>
      <c r="C198" s="41" t="s">
        <v>6524</v>
      </c>
      <c r="D198" s="41">
        <v>34.200000000000003</v>
      </c>
      <c r="E198" s="41">
        <v>34.200000000000003</v>
      </c>
      <c r="F198" s="53">
        <v>0.77</v>
      </c>
      <c r="G198" s="41">
        <v>97</v>
      </c>
      <c r="H198" s="41">
        <v>100</v>
      </c>
      <c r="I198" s="41">
        <v>7426</v>
      </c>
      <c r="K198" s="41" t="s">
        <v>6145</v>
      </c>
      <c r="L198" s="41" t="s">
        <v>5574</v>
      </c>
      <c r="M198" s="41" t="str">
        <f>HYPERLINK("https://www.ncbi.nlm.nih.gov/nucleotide/MW316278.1?report=genbank&amp;log$=nucltop&amp;blast_rank=193&amp;RID=K3RYFBUB014","MW316278.1")</f>
        <v>MW316278.1</v>
      </c>
      <c r="N198" s="41">
        <v>36.200000000000003</v>
      </c>
      <c r="O198" s="41">
        <v>36.200000000000003</v>
      </c>
      <c r="P198" s="53">
        <v>0.95</v>
      </c>
      <c r="Q198" s="41">
        <v>25</v>
      </c>
      <c r="R198" s="41">
        <v>100</v>
      </c>
      <c r="S198" s="41">
        <v>16386</v>
      </c>
      <c r="U198" s="38" t="s">
        <v>6146</v>
      </c>
      <c r="V198" s="38" t="s">
        <v>5658</v>
      </c>
      <c r="W198" s="38" t="str">
        <f>HYPERLINK("https://www.ncbi.nlm.nih.gov/nucleotide/PX311202.1?report=genbank&amp;log$=nucltop&amp;blast_rank=193&amp;RID=K3S1J64G014","PX311202.1")</f>
        <v>PX311202.1</v>
      </c>
      <c r="X198" s="38">
        <v>36.200000000000003</v>
      </c>
      <c r="Y198" s="38">
        <v>36.200000000000003</v>
      </c>
      <c r="Z198" s="55">
        <v>0.93</v>
      </c>
      <c r="AA198" s="38">
        <v>74</v>
      </c>
      <c r="AB198" s="38">
        <v>92.31</v>
      </c>
      <c r="AC198" s="38">
        <v>975</v>
      </c>
    </row>
    <row r="199" spans="1:29" x14ac:dyDescent="0.15">
      <c r="A199" s="41" t="s">
        <v>6094</v>
      </c>
      <c r="B199" s="41" t="s">
        <v>6095</v>
      </c>
      <c r="C199" s="41" t="s">
        <v>6525</v>
      </c>
      <c r="D199" s="41">
        <v>34.200000000000003</v>
      </c>
      <c r="E199" s="41">
        <v>34.200000000000003</v>
      </c>
      <c r="F199" s="53">
        <v>0.95</v>
      </c>
      <c r="G199" s="41">
        <v>97</v>
      </c>
      <c r="H199" s="41">
        <v>95.24</v>
      </c>
      <c r="I199" s="41">
        <v>17062</v>
      </c>
      <c r="K199" s="41" t="s">
        <v>6147</v>
      </c>
      <c r="L199" s="41" t="s">
        <v>5574</v>
      </c>
      <c r="M199" s="41" t="str">
        <f>HYPERLINK("https://www.ncbi.nlm.nih.gov/nucleotide/OQ554133.1?report=genbank&amp;log$=nucltop&amp;blast_rank=194&amp;RID=K3RYFBUB014","OQ554133.1")</f>
        <v>OQ554133.1</v>
      </c>
      <c r="N199" s="41">
        <v>36.200000000000003</v>
      </c>
      <c r="O199" s="41">
        <v>36.200000000000003</v>
      </c>
      <c r="P199" s="53">
        <v>0.95</v>
      </c>
      <c r="Q199" s="41">
        <v>25</v>
      </c>
      <c r="R199" s="41">
        <v>100</v>
      </c>
      <c r="S199" s="41">
        <v>16386</v>
      </c>
      <c r="U199" s="38" t="s">
        <v>6148</v>
      </c>
      <c r="V199" s="38" t="s">
        <v>2119</v>
      </c>
      <c r="W199" s="38" t="str">
        <f>HYPERLINK("https://www.ncbi.nlm.nih.gov/nucleotide/NC_035991.1?report=genbank&amp;log$=nucltop&amp;blast_rank=194&amp;RID=K3S1J64G014","NC_035991.1")</f>
        <v>NC_035991.1</v>
      </c>
      <c r="X199" s="38">
        <v>36.200000000000003</v>
      </c>
      <c r="Y199" s="38">
        <v>36.200000000000003</v>
      </c>
      <c r="Z199" s="55">
        <v>0.93</v>
      </c>
      <c r="AA199" s="38">
        <v>74</v>
      </c>
      <c r="AB199" s="38">
        <v>92.31</v>
      </c>
      <c r="AC199" s="38">
        <v>16581</v>
      </c>
    </row>
    <row r="200" spans="1:29" x14ac:dyDescent="0.15">
      <c r="A200" s="41" t="s">
        <v>6149</v>
      </c>
      <c r="B200" s="41" t="s">
        <v>6150</v>
      </c>
      <c r="C200" s="41" t="s">
        <v>6526</v>
      </c>
      <c r="D200" s="41">
        <v>34.200000000000003</v>
      </c>
      <c r="E200" s="41">
        <v>34.200000000000003</v>
      </c>
      <c r="F200" s="53">
        <v>0.77</v>
      </c>
      <c r="G200" s="41">
        <v>97</v>
      </c>
      <c r="H200" s="41">
        <v>100</v>
      </c>
      <c r="I200" s="41">
        <v>684</v>
      </c>
      <c r="K200" s="41" t="s">
        <v>6151</v>
      </c>
      <c r="L200" s="41" t="s">
        <v>5574</v>
      </c>
      <c r="M200" s="41" t="str">
        <f>HYPERLINK("https://www.ncbi.nlm.nih.gov/nucleotide/OQ554088.1?report=genbank&amp;log$=nucltop&amp;blast_rank=195&amp;RID=K3RYFBUB014","OQ554088.1")</f>
        <v>OQ554088.1</v>
      </c>
      <c r="N200" s="41">
        <v>36.200000000000003</v>
      </c>
      <c r="O200" s="41">
        <v>36.200000000000003</v>
      </c>
      <c r="P200" s="53">
        <v>0.95</v>
      </c>
      <c r="Q200" s="41">
        <v>25</v>
      </c>
      <c r="R200" s="41">
        <v>100</v>
      </c>
      <c r="S200" s="41">
        <v>16386</v>
      </c>
      <c r="U200" s="38" t="s">
        <v>5898</v>
      </c>
      <c r="V200" s="38" t="s">
        <v>5899</v>
      </c>
      <c r="W200" s="38" t="str">
        <f>HYPERLINK("https://www.ncbi.nlm.nih.gov/nucleotide/NC_066923.1?report=genbank&amp;log$=nucltop&amp;blast_rank=195&amp;RID=K3S1J64G014","NC_066923.1")</f>
        <v>NC_066923.1</v>
      </c>
      <c r="X200" s="38">
        <v>36.200000000000003</v>
      </c>
      <c r="Y200" s="38">
        <v>36.200000000000003</v>
      </c>
      <c r="Z200" s="55">
        <v>0.93</v>
      </c>
      <c r="AA200" s="38">
        <v>74</v>
      </c>
      <c r="AB200" s="38">
        <v>92.31</v>
      </c>
      <c r="AC200" s="38">
        <v>16540</v>
      </c>
    </row>
    <row r="201" spans="1:29" x14ac:dyDescent="0.15">
      <c r="A201" s="41" t="s">
        <v>6152</v>
      </c>
      <c r="B201" s="41" t="s">
        <v>6153</v>
      </c>
      <c r="C201" s="41" t="s">
        <v>6527</v>
      </c>
      <c r="D201" s="41">
        <v>34.200000000000003</v>
      </c>
      <c r="E201" s="41">
        <v>34.200000000000003</v>
      </c>
      <c r="F201" s="53">
        <v>0.95</v>
      </c>
      <c r="G201" s="41">
        <v>97</v>
      </c>
      <c r="H201" s="41">
        <v>95.24</v>
      </c>
      <c r="I201" s="41">
        <v>6889</v>
      </c>
      <c r="K201" s="41" t="s">
        <v>6154</v>
      </c>
      <c r="L201" s="41" t="s">
        <v>5574</v>
      </c>
      <c r="M201" s="41" t="str">
        <f>HYPERLINK("https://www.ncbi.nlm.nih.gov/nucleotide/OQ554311.1?report=genbank&amp;log$=nucltop&amp;blast_rank=196&amp;RID=K3RYFBUB014","OQ554311.1")</f>
        <v>OQ554311.1</v>
      </c>
      <c r="N201" s="41">
        <v>36.200000000000003</v>
      </c>
      <c r="O201" s="41">
        <v>36.200000000000003</v>
      </c>
      <c r="P201" s="53">
        <v>0.95</v>
      </c>
      <c r="Q201" s="41">
        <v>25</v>
      </c>
      <c r="R201" s="41">
        <v>100</v>
      </c>
      <c r="S201" s="41">
        <v>16386</v>
      </c>
      <c r="U201" s="38" t="s">
        <v>6155</v>
      </c>
      <c r="V201" s="38" t="s">
        <v>6090</v>
      </c>
      <c r="W201" s="38" t="str">
        <f>HYPERLINK("https://www.ncbi.nlm.nih.gov/nucleotide/XM_051266833.1?report=genbank&amp;log$=nucltop&amp;blast_rank=196&amp;RID=K3S1J64G014","XM_051266833.1")</f>
        <v>XM_051266833.1</v>
      </c>
      <c r="X201" s="38">
        <v>36.200000000000003</v>
      </c>
      <c r="Y201" s="38">
        <v>36.200000000000003</v>
      </c>
      <c r="Z201" s="55">
        <v>0.64</v>
      </c>
      <c r="AA201" s="38">
        <v>74</v>
      </c>
      <c r="AB201" s="38">
        <v>100</v>
      </c>
      <c r="AC201" s="38">
        <v>5688</v>
      </c>
    </row>
    <row r="202" spans="1:29" x14ac:dyDescent="0.15">
      <c r="A202" s="41" t="s">
        <v>6156</v>
      </c>
      <c r="B202" s="41" t="s">
        <v>6051</v>
      </c>
      <c r="C202" s="41" t="s">
        <v>6528</v>
      </c>
      <c r="D202" s="41">
        <v>34.200000000000003</v>
      </c>
      <c r="E202" s="41">
        <v>34.200000000000003</v>
      </c>
      <c r="F202" s="53">
        <v>0.77</v>
      </c>
      <c r="G202" s="41">
        <v>97</v>
      </c>
      <c r="H202" s="41">
        <v>100</v>
      </c>
      <c r="I202" s="41">
        <v>1615</v>
      </c>
      <c r="K202" s="41" t="s">
        <v>6157</v>
      </c>
      <c r="L202" s="41" t="s">
        <v>5574</v>
      </c>
      <c r="M202" s="41" t="str">
        <f>HYPERLINK("https://www.ncbi.nlm.nih.gov/nucleotide/MW316196.1?report=genbank&amp;log$=nucltop&amp;blast_rank=197&amp;RID=K3RYFBUB014","MW316196.1")</f>
        <v>MW316196.1</v>
      </c>
      <c r="N202" s="41">
        <v>36.200000000000003</v>
      </c>
      <c r="O202" s="41">
        <v>36.200000000000003</v>
      </c>
      <c r="P202" s="53">
        <v>0.95</v>
      </c>
      <c r="Q202" s="41">
        <v>25</v>
      </c>
      <c r="R202" s="41">
        <v>100</v>
      </c>
      <c r="S202" s="41">
        <v>16384</v>
      </c>
      <c r="U202" s="38" t="s">
        <v>6158</v>
      </c>
      <c r="V202" s="38" t="s">
        <v>2141</v>
      </c>
      <c r="W202" s="38" t="str">
        <f>HYPERLINK("https://www.ncbi.nlm.nih.gov/nucleotide/AB915410.1?report=genbank&amp;log$=nucltop&amp;blast_rank=197&amp;RID=K3S1J64G014","AB915410.1")</f>
        <v>AB915410.1</v>
      </c>
      <c r="X202" s="38">
        <v>36.200000000000003</v>
      </c>
      <c r="Y202" s="38">
        <v>36.200000000000003</v>
      </c>
      <c r="Z202" s="55">
        <v>0.93</v>
      </c>
      <c r="AA202" s="38">
        <v>74</v>
      </c>
      <c r="AB202" s="38">
        <v>92.31</v>
      </c>
      <c r="AC202" s="38">
        <v>795</v>
      </c>
    </row>
    <row r="203" spans="1:29" x14ac:dyDescent="0.15">
      <c r="A203" s="41" t="s">
        <v>6159</v>
      </c>
      <c r="B203" s="41" t="s">
        <v>5869</v>
      </c>
      <c r="C203" s="41" t="s">
        <v>6529</v>
      </c>
      <c r="D203" s="41">
        <v>34.200000000000003</v>
      </c>
      <c r="E203" s="41">
        <v>34.200000000000003</v>
      </c>
      <c r="F203" s="53">
        <v>0.77</v>
      </c>
      <c r="G203" s="41">
        <v>97</v>
      </c>
      <c r="H203" s="41">
        <v>100</v>
      </c>
      <c r="I203" s="41">
        <v>1012</v>
      </c>
      <c r="K203" s="41" t="s">
        <v>6160</v>
      </c>
      <c r="L203" s="41" t="s">
        <v>5574</v>
      </c>
      <c r="M203" s="41" t="str">
        <f>HYPERLINK("https://www.ncbi.nlm.nih.gov/nucleotide/OQ554198.1?report=genbank&amp;log$=nucltop&amp;blast_rank=198&amp;RID=K3RYFBUB014","OQ554198.1")</f>
        <v>OQ554198.1</v>
      </c>
      <c r="N203" s="41">
        <v>36.200000000000003</v>
      </c>
      <c r="O203" s="41">
        <v>36.200000000000003</v>
      </c>
      <c r="P203" s="53">
        <v>0.95</v>
      </c>
      <c r="Q203" s="41">
        <v>25</v>
      </c>
      <c r="R203" s="41">
        <v>100</v>
      </c>
      <c r="S203" s="41">
        <v>16386</v>
      </c>
      <c r="U203" s="38" t="s">
        <v>6161</v>
      </c>
      <c r="V203" s="38" t="s">
        <v>2111</v>
      </c>
      <c r="W203" s="38" t="str">
        <f>HYPERLINK("https://www.ncbi.nlm.nih.gov/nucleotide/NC_035992.1?report=genbank&amp;log$=nucltop&amp;blast_rank=198&amp;RID=K3S1J64G014","NC_035992.1")</f>
        <v>NC_035992.1</v>
      </c>
      <c r="X203" s="38">
        <v>36.200000000000003</v>
      </c>
      <c r="Y203" s="38">
        <v>36.200000000000003</v>
      </c>
      <c r="Z203" s="55">
        <v>0.93</v>
      </c>
      <c r="AA203" s="38">
        <v>74</v>
      </c>
      <c r="AB203" s="38">
        <v>92.31</v>
      </c>
      <c r="AC203" s="38">
        <v>16580</v>
      </c>
    </row>
    <row r="204" spans="1:29" x14ac:dyDescent="0.15">
      <c r="A204" s="41" t="s">
        <v>6162</v>
      </c>
      <c r="B204" s="41" t="s">
        <v>3696</v>
      </c>
      <c r="C204" s="41" t="s">
        <v>6530</v>
      </c>
      <c r="D204" s="41">
        <v>34.200000000000003</v>
      </c>
      <c r="E204" s="41">
        <v>34.200000000000003</v>
      </c>
      <c r="F204" s="53">
        <v>0.77</v>
      </c>
      <c r="G204" s="41">
        <v>97</v>
      </c>
      <c r="H204" s="41">
        <v>100</v>
      </c>
      <c r="I204" s="41">
        <v>31412506</v>
      </c>
      <c r="K204" s="41" t="s">
        <v>6163</v>
      </c>
      <c r="L204" s="41" t="s">
        <v>5574</v>
      </c>
      <c r="M204" s="41" t="str">
        <f>HYPERLINK("https://www.ncbi.nlm.nih.gov/nucleotide/OQ553999.1?report=genbank&amp;log$=nucltop&amp;blast_rank=199&amp;RID=K3RYFBUB014","OQ553999.1")</f>
        <v>OQ553999.1</v>
      </c>
      <c r="N204" s="41">
        <v>36.200000000000003</v>
      </c>
      <c r="O204" s="41">
        <v>36.200000000000003</v>
      </c>
      <c r="P204" s="53">
        <v>0.95</v>
      </c>
      <c r="Q204" s="41">
        <v>25</v>
      </c>
      <c r="R204" s="41">
        <v>100</v>
      </c>
      <c r="S204" s="41">
        <v>16387</v>
      </c>
      <c r="U204" s="38" t="s">
        <v>4856</v>
      </c>
      <c r="V204" s="38" t="s">
        <v>2145</v>
      </c>
      <c r="W204" s="38" t="str">
        <f>HYPERLINK("https://www.ncbi.nlm.nih.gov/nucleotide/KT221043.1?report=genbank&amp;log$=nucltop&amp;blast_rank=199&amp;RID=K3S1J64G014","KT221043.1")</f>
        <v>KT221043.1</v>
      </c>
      <c r="X204" s="38">
        <v>36.200000000000003</v>
      </c>
      <c r="Y204" s="38">
        <v>36.200000000000003</v>
      </c>
      <c r="Z204" s="55">
        <v>0.93</v>
      </c>
      <c r="AA204" s="38">
        <v>74</v>
      </c>
      <c r="AB204" s="38">
        <v>92.31</v>
      </c>
      <c r="AC204" s="38">
        <v>16582</v>
      </c>
    </row>
    <row r="205" spans="1:29" x14ac:dyDescent="0.15">
      <c r="A205" s="41" t="s">
        <v>6164</v>
      </c>
      <c r="B205" s="41" t="s">
        <v>6045</v>
      </c>
      <c r="C205" s="41" t="s">
        <v>6531</v>
      </c>
      <c r="D205" s="41">
        <v>34.200000000000003</v>
      </c>
      <c r="E205" s="41">
        <v>34.200000000000003</v>
      </c>
      <c r="F205" s="53">
        <v>0.77</v>
      </c>
      <c r="G205" s="41">
        <v>97</v>
      </c>
      <c r="H205" s="41">
        <v>100</v>
      </c>
      <c r="I205" s="41">
        <v>17241</v>
      </c>
      <c r="K205" s="41" t="s">
        <v>6165</v>
      </c>
      <c r="L205" s="41" t="s">
        <v>5574</v>
      </c>
      <c r="M205" s="41" t="str">
        <f>HYPERLINK("https://www.ncbi.nlm.nih.gov/nucleotide/OQ554179.1?report=genbank&amp;log$=nucltop&amp;blast_rank=200&amp;RID=K3RYFBUB014","OQ554179.1")</f>
        <v>OQ554179.1</v>
      </c>
      <c r="N205" s="41">
        <v>36.200000000000003</v>
      </c>
      <c r="O205" s="41">
        <v>36.200000000000003</v>
      </c>
      <c r="P205" s="53">
        <v>0.95</v>
      </c>
      <c r="Q205" s="41">
        <v>25</v>
      </c>
      <c r="R205" s="41">
        <v>100</v>
      </c>
      <c r="S205" s="41">
        <v>16386</v>
      </c>
      <c r="U205" s="38" t="s">
        <v>6166</v>
      </c>
      <c r="V205" s="38" t="s">
        <v>6167</v>
      </c>
      <c r="W205" s="38" t="str">
        <f>HYPERLINK("https://www.ncbi.nlm.nih.gov/nucleotide/KT448284.1?report=genbank&amp;log$=nucltop&amp;blast_rank=200&amp;RID=K3S1J64G014","KT448284.1")</f>
        <v>KT448284.1</v>
      </c>
      <c r="X205" s="38">
        <v>36.200000000000003</v>
      </c>
      <c r="Y205" s="38">
        <v>36.200000000000003</v>
      </c>
      <c r="Z205" s="55">
        <v>0.79</v>
      </c>
      <c r="AA205" s="38">
        <v>74</v>
      </c>
      <c r="AB205" s="38">
        <v>95.45</v>
      </c>
      <c r="AC205" s="38">
        <v>16068</v>
      </c>
    </row>
    <row r="206" spans="1:29" x14ac:dyDescent="0.15">
      <c r="A206" s="41" t="s">
        <v>6168</v>
      </c>
      <c r="B206" s="41" t="s">
        <v>6169</v>
      </c>
      <c r="C206" s="41" t="s">
        <v>6532</v>
      </c>
      <c r="D206" s="41">
        <v>34.200000000000003</v>
      </c>
      <c r="E206" s="41">
        <v>34.200000000000003</v>
      </c>
      <c r="F206" s="53">
        <v>0.95</v>
      </c>
      <c r="G206" s="41">
        <v>97</v>
      </c>
      <c r="H206" s="41">
        <v>95.24</v>
      </c>
      <c r="I206" s="41">
        <v>17061</v>
      </c>
      <c r="K206" s="41" t="s">
        <v>6170</v>
      </c>
      <c r="L206" s="41" t="s">
        <v>5574</v>
      </c>
      <c r="M206" s="41" t="str">
        <f>HYPERLINK("https://www.ncbi.nlm.nih.gov/nucleotide/MW316254.1?report=genbank&amp;log$=nucltop&amp;blast_rank=201&amp;RID=K3RYFBUB014","MW316254.1")</f>
        <v>MW316254.1</v>
      </c>
      <c r="N206" s="41">
        <v>36.200000000000003</v>
      </c>
      <c r="O206" s="41">
        <v>36.200000000000003</v>
      </c>
      <c r="P206" s="53">
        <v>0.95</v>
      </c>
      <c r="Q206" s="41">
        <v>25</v>
      </c>
      <c r="R206" s="41">
        <v>100</v>
      </c>
      <c r="S206" s="41">
        <v>16381</v>
      </c>
      <c r="U206" s="38" t="s">
        <v>4239</v>
      </c>
      <c r="V206" s="38" t="s">
        <v>53</v>
      </c>
      <c r="W206" s="38" t="str">
        <f>HYPERLINK("https://www.ncbi.nlm.nih.gov/nucleotide/OD909579.1?report=genbank&amp;log$=nucltop&amp;blast_rank=201&amp;RID=K3S1J64G014","OD909579.1")</f>
        <v>OD909579.1</v>
      </c>
      <c r="X206" s="38">
        <v>36.200000000000003</v>
      </c>
      <c r="Y206" s="38">
        <v>36.200000000000003</v>
      </c>
      <c r="Z206" s="55">
        <v>0.93</v>
      </c>
      <c r="AA206" s="38">
        <v>74</v>
      </c>
      <c r="AB206" s="38">
        <v>92.31</v>
      </c>
      <c r="AC206" s="38">
        <v>16582</v>
      </c>
    </row>
    <row r="207" spans="1:29" x14ac:dyDescent="0.15">
      <c r="A207" s="41" t="s">
        <v>5900</v>
      </c>
      <c r="B207" s="41" t="s">
        <v>5901</v>
      </c>
      <c r="C207" s="41" t="s">
        <v>6533</v>
      </c>
      <c r="D207" s="41">
        <v>34.200000000000003</v>
      </c>
      <c r="E207" s="41">
        <v>34.200000000000003</v>
      </c>
      <c r="F207" s="53">
        <v>0.77</v>
      </c>
      <c r="G207" s="41">
        <v>97</v>
      </c>
      <c r="H207" s="41">
        <v>100</v>
      </c>
      <c r="I207" s="41">
        <v>16554</v>
      </c>
      <c r="K207" s="41" t="s">
        <v>6171</v>
      </c>
      <c r="L207" s="41" t="s">
        <v>5574</v>
      </c>
      <c r="M207" s="41" t="str">
        <f>HYPERLINK("https://www.ncbi.nlm.nih.gov/nucleotide/OQ554078.1?report=genbank&amp;log$=nucltop&amp;blast_rank=202&amp;RID=K3RYFBUB014","OQ554078.1")</f>
        <v>OQ554078.1</v>
      </c>
      <c r="N207" s="41">
        <v>36.200000000000003</v>
      </c>
      <c r="O207" s="41">
        <v>36.200000000000003</v>
      </c>
      <c r="P207" s="53">
        <v>0.95</v>
      </c>
      <c r="Q207" s="41">
        <v>25</v>
      </c>
      <c r="R207" s="41">
        <v>100</v>
      </c>
      <c r="S207" s="41">
        <v>16387</v>
      </c>
      <c r="U207" s="38" t="s">
        <v>6172</v>
      </c>
      <c r="V207" s="38" t="s">
        <v>6173</v>
      </c>
      <c r="W207" s="38" t="str">
        <f>HYPERLINK("https://www.ncbi.nlm.nih.gov/nucleotide/NC_011599.1?report=genbank&amp;log$=nucltop&amp;blast_rank=202&amp;RID=K3S1J64G014","NC_011599.1")</f>
        <v>NC_011599.1</v>
      </c>
      <c r="X207" s="38">
        <v>36.200000000000003</v>
      </c>
      <c r="Y207" s="38">
        <v>36.200000000000003</v>
      </c>
      <c r="Z207" s="55">
        <v>0.79</v>
      </c>
      <c r="AA207" s="38">
        <v>74</v>
      </c>
      <c r="AB207" s="38">
        <v>95.45</v>
      </c>
      <c r="AC207" s="38">
        <v>16676</v>
      </c>
    </row>
    <row r="208" spans="1:29" x14ac:dyDescent="0.15">
      <c r="A208" s="41" t="s">
        <v>6174</v>
      </c>
      <c r="B208" s="41" t="s">
        <v>6175</v>
      </c>
      <c r="C208" s="41" t="s">
        <v>6534</v>
      </c>
      <c r="D208" s="41">
        <v>34.200000000000003</v>
      </c>
      <c r="E208" s="41">
        <v>34.200000000000003</v>
      </c>
      <c r="F208" s="53">
        <v>0.77</v>
      </c>
      <c r="G208" s="41">
        <v>97</v>
      </c>
      <c r="H208" s="41">
        <v>100</v>
      </c>
      <c r="I208" s="41">
        <v>12953</v>
      </c>
      <c r="K208" s="41" t="s">
        <v>6176</v>
      </c>
      <c r="L208" s="41" t="s">
        <v>5574</v>
      </c>
      <c r="M208" s="41" t="str">
        <f>HYPERLINK("https://www.ncbi.nlm.nih.gov/nucleotide/OQ554114.1?report=genbank&amp;log$=nucltop&amp;blast_rank=203&amp;RID=K3RYFBUB014","OQ554114.1")</f>
        <v>OQ554114.1</v>
      </c>
      <c r="N208" s="41">
        <v>36.200000000000003</v>
      </c>
      <c r="O208" s="41">
        <v>36.200000000000003</v>
      </c>
      <c r="P208" s="53">
        <v>0.95</v>
      </c>
      <c r="Q208" s="41">
        <v>25</v>
      </c>
      <c r="R208" s="41">
        <v>100</v>
      </c>
      <c r="S208" s="41">
        <v>16387</v>
      </c>
      <c r="U208" s="38" t="s">
        <v>6177</v>
      </c>
      <c r="V208" s="38" t="s">
        <v>6178</v>
      </c>
      <c r="W208" s="38" t="str">
        <f>HYPERLINK("https://www.ncbi.nlm.nih.gov/nucleotide/OE002192.1?report=genbank&amp;log$=nucltop&amp;blast_rank=203&amp;RID=K3S1J64G014","OE002192.1")</f>
        <v>OE002192.1</v>
      </c>
      <c r="X208" s="38">
        <v>36.200000000000003</v>
      </c>
      <c r="Y208" s="38">
        <v>36.200000000000003</v>
      </c>
      <c r="Z208" s="55">
        <v>0.64</v>
      </c>
      <c r="AA208" s="38">
        <v>74</v>
      </c>
      <c r="AB208" s="38">
        <v>100</v>
      </c>
      <c r="AC208" s="38">
        <v>132022</v>
      </c>
    </row>
    <row r="209" spans="1:29" x14ac:dyDescent="0.15">
      <c r="A209" s="41" t="s">
        <v>5677</v>
      </c>
      <c r="B209" s="41" t="s">
        <v>2094</v>
      </c>
      <c r="C209" s="41" t="s">
        <v>6535</v>
      </c>
      <c r="D209" s="41">
        <v>34.200000000000003</v>
      </c>
      <c r="E209" s="41">
        <v>34.200000000000003</v>
      </c>
      <c r="F209" s="53">
        <v>0.95</v>
      </c>
      <c r="G209" s="41">
        <v>97</v>
      </c>
      <c r="H209" s="41">
        <v>95.24</v>
      </c>
      <c r="I209" s="41">
        <v>16808</v>
      </c>
      <c r="K209" s="41" t="s">
        <v>6179</v>
      </c>
      <c r="L209" s="41" t="s">
        <v>5574</v>
      </c>
      <c r="M209" s="41" t="str">
        <f>HYPERLINK("https://www.ncbi.nlm.nih.gov/nucleotide/OQ554178.1?report=genbank&amp;log$=nucltop&amp;blast_rank=204&amp;RID=K3RYFBUB014","OQ554178.1")</f>
        <v>OQ554178.1</v>
      </c>
      <c r="N209" s="41">
        <v>36.200000000000003</v>
      </c>
      <c r="O209" s="41">
        <v>36.200000000000003</v>
      </c>
      <c r="P209" s="53">
        <v>0.95</v>
      </c>
      <c r="Q209" s="41">
        <v>25</v>
      </c>
      <c r="R209" s="41">
        <v>100</v>
      </c>
      <c r="S209" s="41">
        <v>16386</v>
      </c>
      <c r="U209" s="38" t="s">
        <v>6180</v>
      </c>
      <c r="V209" s="38" t="s">
        <v>2163</v>
      </c>
      <c r="W209" s="38" t="str">
        <f>HYPERLINK("https://www.ncbi.nlm.nih.gov/nucleotide/NC_031418.1?report=genbank&amp;log$=nucltop&amp;blast_rank=204&amp;RID=K3S1J64G014","NC_031418.1")</f>
        <v>NC_031418.1</v>
      </c>
      <c r="X209" s="38">
        <v>36.200000000000003</v>
      </c>
      <c r="Y209" s="38">
        <v>36.200000000000003</v>
      </c>
      <c r="Z209" s="55">
        <v>0.93</v>
      </c>
      <c r="AA209" s="38">
        <v>74</v>
      </c>
      <c r="AB209" s="38">
        <v>92.31</v>
      </c>
      <c r="AC209" s="38">
        <v>16583</v>
      </c>
    </row>
    <row r="210" spans="1:29" x14ac:dyDescent="0.15">
      <c r="A210" s="41" t="s">
        <v>6054</v>
      </c>
      <c r="B210" s="41" t="s">
        <v>6055</v>
      </c>
      <c r="C210" s="41" t="s">
        <v>6536</v>
      </c>
      <c r="D210" s="41">
        <v>34.200000000000003</v>
      </c>
      <c r="E210" s="41">
        <v>34.200000000000003</v>
      </c>
      <c r="F210" s="53">
        <v>0.77</v>
      </c>
      <c r="G210" s="41">
        <v>97</v>
      </c>
      <c r="H210" s="41">
        <v>100</v>
      </c>
      <c r="I210" s="41">
        <v>16685</v>
      </c>
      <c r="K210" s="41" t="s">
        <v>6181</v>
      </c>
      <c r="L210" s="41" t="s">
        <v>5574</v>
      </c>
      <c r="M210" s="41" t="str">
        <f>HYPERLINK("https://www.ncbi.nlm.nih.gov/nucleotide/OQ553994.1?report=genbank&amp;log$=nucltop&amp;blast_rank=205&amp;RID=K3RYFBUB014","OQ553994.1")</f>
        <v>OQ553994.1</v>
      </c>
      <c r="N210" s="41">
        <v>36.200000000000003</v>
      </c>
      <c r="O210" s="41">
        <v>36.200000000000003</v>
      </c>
      <c r="P210" s="53">
        <v>0.95</v>
      </c>
      <c r="Q210" s="41">
        <v>25</v>
      </c>
      <c r="R210" s="41">
        <v>100</v>
      </c>
      <c r="S210" s="41">
        <v>16386</v>
      </c>
      <c r="U210" s="38" t="s">
        <v>6182</v>
      </c>
      <c r="V210" s="38" t="s">
        <v>6183</v>
      </c>
      <c r="W210" s="38" t="str">
        <f>HYPERLINK("https://www.ncbi.nlm.nih.gov/nucleotide/XM_040008462.1?report=genbank&amp;log$=nucltop&amp;blast_rank=205&amp;RID=K3S1J64G014","XM_040008462.1")</f>
        <v>XM_040008462.1</v>
      </c>
      <c r="X210" s="38">
        <v>36.200000000000003</v>
      </c>
      <c r="Y210" s="38">
        <v>36.200000000000003</v>
      </c>
      <c r="Z210" s="55">
        <v>0.93</v>
      </c>
      <c r="AA210" s="38">
        <v>74</v>
      </c>
      <c r="AB210" s="38">
        <v>92.31</v>
      </c>
      <c r="AC210" s="38">
        <v>6080</v>
      </c>
    </row>
    <row r="211" spans="1:29" x14ac:dyDescent="0.15">
      <c r="A211" s="41" t="s">
        <v>6184</v>
      </c>
      <c r="B211" s="41" t="s">
        <v>6185</v>
      </c>
      <c r="C211" s="41" t="s">
        <v>6537</v>
      </c>
      <c r="D211" s="41">
        <v>34.200000000000003</v>
      </c>
      <c r="E211" s="41">
        <v>34.200000000000003</v>
      </c>
      <c r="F211" s="53">
        <v>0.77</v>
      </c>
      <c r="G211" s="41">
        <v>97</v>
      </c>
      <c r="H211" s="41">
        <v>100</v>
      </c>
      <c r="I211" s="41">
        <v>3758</v>
      </c>
      <c r="K211" s="41" t="s">
        <v>6186</v>
      </c>
      <c r="L211" s="41" t="s">
        <v>5574</v>
      </c>
      <c r="M211" s="41" t="str">
        <f>HYPERLINK("https://www.ncbi.nlm.nih.gov/nucleotide/OQ554226.1?report=genbank&amp;log$=nucltop&amp;blast_rank=206&amp;RID=K3RYFBUB014","OQ554226.1")</f>
        <v>OQ554226.1</v>
      </c>
      <c r="N211" s="41">
        <v>36.200000000000003</v>
      </c>
      <c r="O211" s="41">
        <v>36.200000000000003</v>
      </c>
      <c r="P211" s="53">
        <v>0.95</v>
      </c>
      <c r="Q211" s="41">
        <v>25</v>
      </c>
      <c r="R211" s="41">
        <v>100</v>
      </c>
      <c r="S211" s="41">
        <v>16386</v>
      </c>
      <c r="U211" s="38" t="s">
        <v>6187</v>
      </c>
      <c r="V211" s="38" t="s">
        <v>6188</v>
      </c>
      <c r="W211" s="38" t="str">
        <f>HYPERLINK("https://www.ncbi.nlm.nih.gov/nucleotide/OX465241.1?report=genbank&amp;log$=nucltop&amp;blast_rank=206&amp;RID=K3S1J64G014","OX465241.1")</f>
        <v>OX465241.1</v>
      </c>
      <c r="X211" s="38">
        <v>36.200000000000003</v>
      </c>
      <c r="Y211" s="38">
        <v>36.200000000000003</v>
      </c>
      <c r="Z211" s="55">
        <v>0.79</v>
      </c>
      <c r="AA211" s="38">
        <v>74</v>
      </c>
      <c r="AB211" s="38">
        <v>95.45</v>
      </c>
      <c r="AC211" s="38">
        <v>17771</v>
      </c>
    </row>
    <row r="212" spans="1:29" x14ac:dyDescent="0.15">
      <c r="A212" s="41" t="s">
        <v>6189</v>
      </c>
      <c r="B212" s="41" t="s">
        <v>6190</v>
      </c>
      <c r="C212" s="41" t="s">
        <v>6538</v>
      </c>
      <c r="D212" s="41">
        <v>34.200000000000003</v>
      </c>
      <c r="E212" s="41">
        <v>34.200000000000003</v>
      </c>
      <c r="F212" s="53">
        <v>0.77</v>
      </c>
      <c r="G212" s="41">
        <v>97</v>
      </c>
      <c r="H212" s="41">
        <v>100</v>
      </c>
      <c r="I212" s="41">
        <v>2688</v>
      </c>
      <c r="K212" s="41" t="s">
        <v>6191</v>
      </c>
      <c r="L212" s="41" t="s">
        <v>5574</v>
      </c>
      <c r="M212" s="41" t="str">
        <f>HYPERLINK("https://www.ncbi.nlm.nih.gov/nucleotide/MW316275.1?report=genbank&amp;log$=nucltop&amp;blast_rank=207&amp;RID=K3RYFBUB014","MW316275.1")</f>
        <v>MW316275.1</v>
      </c>
      <c r="N212" s="41">
        <v>36.200000000000003</v>
      </c>
      <c r="O212" s="41">
        <v>36.200000000000003</v>
      </c>
      <c r="P212" s="53">
        <v>0.95</v>
      </c>
      <c r="Q212" s="41">
        <v>25</v>
      </c>
      <c r="R212" s="41">
        <v>100</v>
      </c>
      <c r="S212" s="41">
        <v>16386</v>
      </c>
      <c r="U212" s="38" t="s">
        <v>6192</v>
      </c>
      <c r="V212" s="38" t="s">
        <v>6193</v>
      </c>
      <c r="W212" s="38" t="str">
        <f>HYPERLINK("https://www.ncbi.nlm.nih.gov/nucleotide/NC_008129.1?report=genbank&amp;log$=nucltop&amp;blast_rank=207&amp;RID=K3S1J64G014","NC_008129.1")</f>
        <v>NC_008129.1</v>
      </c>
      <c r="X212" s="38">
        <v>36.200000000000003</v>
      </c>
      <c r="Y212" s="38">
        <v>36.200000000000003</v>
      </c>
      <c r="Z212" s="55">
        <v>0.79</v>
      </c>
      <c r="AA212" s="38">
        <v>74</v>
      </c>
      <c r="AB212" s="38">
        <v>95.45</v>
      </c>
      <c r="AC212" s="38">
        <v>15974</v>
      </c>
    </row>
    <row r="213" spans="1:29" x14ac:dyDescent="0.15">
      <c r="A213" s="41" t="s">
        <v>5930</v>
      </c>
      <c r="B213" s="41" t="s">
        <v>5931</v>
      </c>
      <c r="C213" s="41" t="s">
        <v>6539</v>
      </c>
      <c r="D213" s="41">
        <v>34.200000000000003</v>
      </c>
      <c r="E213" s="41">
        <v>34.200000000000003</v>
      </c>
      <c r="F213" s="53">
        <v>0.95</v>
      </c>
      <c r="G213" s="41">
        <v>97</v>
      </c>
      <c r="H213" s="41">
        <v>95.24</v>
      </c>
      <c r="I213" s="41">
        <v>16808</v>
      </c>
      <c r="K213" s="41" t="s">
        <v>6194</v>
      </c>
      <c r="L213" s="41" t="s">
        <v>5574</v>
      </c>
      <c r="M213" s="41" t="str">
        <f>HYPERLINK("https://www.ncbi.nlm.nih.gov/nucleotide/MW316192.1?report=genbank&amp;log$=nucltop&amp;blast_rank=208&amp;RID=K3RYFBUB014","MW316192.1")</f>
        <v>MW316192.1</v>
      </c>
      <c r="N213" s="41">
        <v>36.200000000000003</v>
      </c>
      <c r="O213" s="41">
        <v>36.200000000000003</v>
      </c>
      <c r="P213" s="53">
        <v>0.95</v>
      </c>
      <c r="Q213" s="41">
        <v>25</v>
      </c>
      <c r="R213" s="41">
        <v>100</v>
      </c>
      <c r="S213" s="41">
        <v>16384</v>
      </c>
      <c r="U213" s="38" t="s">
        <v>6195</v>
      </c>
      <c r="V213" s="38" t="s">
        <v>6196</v>
      </c>
      <c r="W213" s="38" t="str">
        <f>HYPERLINK("https://www.ncbi.nlm.nih.gov/nucleotide/XM_055658912.1?report=genbank&amp;log$=nucltop&amp;blast_rank=208&amp;RID=K3S1J64G014","XM_055658912.1")</f>
        <v>XM_055658912.1</v>
      </c>
      <c r="X213" s="38">
        <v>36.200000000000003</v>
      </c>
      <c r="Y213" s="38">
        <v>36.200000000000003</v>
      </c>
      <c r="Z213" s="55">
        <v>0.64</v>
      </c>
      <c r="AA213" s="38">
        <v>74</v>
      </c>
      <c r="AB213" s="38">
        <v>100</v>
      </c>
      <c r="AC213" s="38">
        <v>6220</v>
      </c>
    </row>
    <row r="214" spans="1:29" x14ac:dyDescent="0.15">
      <c r="A214" s="41" t="s">
        <v>6197</v>
      </c>
      <c r="B214" s="41" t="s">
        <v>6198</v>
      </c>
      <c r="C214" s="41" t="s">
        <v>6540</v>
      </c>
      <c r="D214" s="41">
        <v>34.200000000000003</v>
      </c>
      <c r="E214" s="41">
        <v>34.200000000000003</v>
      </c>
      <c r="F214" s="53">
        <v>0.77</v>
      </c>
      <c r="G214" s="41">
        <v>97</v>
      </c>
      <c r="H214" s="41">
        <v>100</v>
      </c>
      <c r="I214" s="41">
        <v>239577</v>
      </c>
      <c r="K214" s="41" t="s">
        <v>6199</v>
      </c>
      <c r="L214" s="41" t="s">
        <v>5574</v>
      </c>
      <c r="M214" s="41" t="str">
        <f>HYPERLINK("https://www.ncbi.nlm.nih.gov/nucleotide/OQ554272.1?report=genbank&amp;log$=nucltop&amp;blast_rank=209&amp;RID=K3RYFBUB014","OQ554272.1")</f>
        <v>OQ554272.1</v>
      </c>
      <c r="N214" s="41">
        <v>36.200000000000003</v>
      </c>
      <c r="O214" s="41">
        <v>36.200000000000003</v>
      </c>
      <c r="P214" s="53">
        <v>0.95</v>
      </c>
      <c r="Q214" s="41">
        <v>25</v>
      </c>
      <c r="R214" s="41">
        <v>100</v>
      </c>
      <c r="S214" s="41">
        <v>16386</v>
      </c>
      <c r="U214" s="38" t="s">
        <v>6200</v>
      </c>
      <c r="V214" s="38" t="s">
        <v>2225</v>
      </c>
      <c r="W214" s="38" t="str">
        <f>HYPERLINK("https://www.ncbi.nlm.nih.gov/nucleotide/OP404118.1?report=genbank&amp;log$=nucltop&amp;blast_rank=209&amp;RID=K3S1J64G014","OP404118.1")</f>
        <v>OP404118.1</v>
      </c>
      <c r="X214" s="38">
        <v>36.200000000000003</v>
      </c>
      <c r="Y214" s="38">
        <v>36.200000000000003</v>
      </c>
      <c r="Z214" s="55">
        <v>0.79</v>
      </c>
      <c r="AA214" s="38">
        <v>74</v>
      </c>
      <c r="AB214" s="38">
        <v>95.45</v>
      </c>
      <c r="AC214" s="38">
        <v>16521</v>
      </c>
    </row>
    <row r="215" spans="1:29" x14ac:dyDescent="0.15">
      <c r="A215" s="41" t="s">
        <v>6201</v>
      </c>
      <c r="B215" s="41" t="s">
        <v>5830</v>
      </c>
      <c r="C215" s="41" t="s">
        <v>6541</v>
      </c>
      <c r="D215" s="41">
        <v>34.200000000000003</v>
      </c>
      <c r="E215" s="41">
        <v>34.200000000000003</v>
      </c>
      <c r="F215" s="53">
        <v>0.77</v>
      </c>
      <c r="G215" s="41">
        <v>97</v>
      </c>
      <c r="H215" s="41">
        <v>100</v>
      </c>
      <c r="I215" s="41">
        <v>7508</v>
      </c>
      <c r="K215" s="41" t="s">
        <v>6202</v>
      </c>
      <c r="L215" s="41" t="s">
        <v>5574</v>
      </c>
      <c r="M215" s="41" t="str">
        <f>HYPERLINK("https://www.ncbi.nlm.nih.gov/nucleotide/OQ554066.1?report=genbank&amp;log$=nucltop&amp;blast_rank=210&amp;RID=K3RYFBUB014","OQ554066.1")</f>
        <v>OQ554066.1</v>
      </c>
      <c r="N215" s="41">
        <v>36.200000000000003</v>
      </c>
      <c r="O215" s="41">
        <v>36.200000000000003</v>
      </c>
      <c r="P215" s="53">
        <v>0.95</v>
      </c>
      <c r="Q215" s="41">
        <v>25</v>
      </c>
      <c r="R215" s="41">
        <v>100</v>
      </c>
      <c r="S215" s="41">
        <v>16386</v>
      </c>
      <c r="U215" s="38" t="s">
        <v>6023</v>
      </c>
      <c r="V215" s="38" t="s">
        <v>6024</v>
      </c>
      <c r="W215" s="38" t="str">
        <f>HYPERLINK("https://www.ncbi.nlm.nih.gov/nucleotide/NC_082939.1?report=genbank&amp;log$=nucltop&amp;blast_rank=210&amp;RID=K3S1J64G014","NC_082939.1")</f>
        <v>NC_082939.1</v>
      </c>
      <c r="X215" s="38">
        <v>36.200000000000003</v>
      </c>
      <c r="Y215" s="38">
        <v>36.200000000000003</v>
      </c>
      <c r="Z215" s="55">
        <v>0.93</v>
      </c>
      <c r="AA215" s="38">
        <v>74</v>
      </c>
      <c r="AB215" s="38">
        <v>92.31</v>
      </c>
      <c r="AC215" s="38">
        <v>16452</v>
      </c>
    </row>
    <row r="216" spans="1:29" x14ac:dyDescent="0.15">
      <c r="A216" s="41" t="s">
        <v>6203</v>
      </c>
      <c r="B216" s="41" t="s">
        <v>6136</v>
      </c>
      <c r="C216" s="41" t="s">
        <v>6542</v>
      </c>
      <c r="D216" s="41">
        <v>34.200000000000003</v>
      </c>
      <c r="E216" s="41">
        <v>34.200000000000003</v>
      </c>
      <c r="F216" s="53">
        <v>0.95</v>
      </c>
      <c r="G216" s="41">
        <v>97</v>
      </c>
      <c r="H216" s="41">
        <v>95.24</v>
      </c>
      <c r="I216" s="41">
        <v>17340</v>
      </c>
      <c r="K216" s="41" t="s">
        <v>6204</v>
      </c>
      <c r="L216" s="41" t="s">
        <v>5574</v>
      </c>
      <c r="M216" s="41" t="str">
        <f>HYPERLINK("https://www.ncbi.nlm.nih.gov/nucleotide/OQ554004.1?report=genbank&amp;log$=nucltop&amp;blast_rank=211&amp;RID=K3RYFBUB014","OQ554004.1")</f>
        <v>OQ554004.1</v>
      </c>
      <c r="N216" s="41">
        <v>36.200000000000003</v>
      </c>
      <c r="O216" s="41">
        <v>36.200000000000003</v>
      </c>
      <c r="P216" s="53">
        <v>0.95</v>
      </c>
      <c r="Q216" s="41">
        <v>25</v>
      </c>
      <c r="R216" s="41">
        <v>100</v>
      </c>
      <c r="S216" s="41">
        <v>16386</v>
      </c>
      <c r="U216" s="38" t="s">
        <v>6205</v>
      </c>
      <c r="V216" s="38" t="s">
        <v>2131</v>
      </c>
      <c r="W216" s="38" t="str">
        <f>HYPERLINK("https://www.ncbi.nlm.nih.gov/nucleotide/NC_018556.1?report=genbank&amp;log$=nucltop&amp;blast_rank=211&amp;RID=K3S1J64G014","NC_018556.1")</f>
        <v>NC_018556.1</v>
      </c>
      <c r="X216" s="38">
        <v>36.200000000000003</v>
      </c>
      <c r="Y216" s="38">
        <v>36.200000000000003</v>
      </c>
      <c r="Z216" s="55">
        <v>0.93</v>
      </c>
      <c r="AA216" s="38">
        <v>74</v>
      </c>
      <c r="AB216" s="38">
        <v>92.31</v>
      </c>
      <c r="AC216" s="38">
        <v>16579</v>
      </c>
    </row>
    <row r="217" spans="1:29" x14ac:dyDescent="0.15">
      <c r="A217" s="41" t="s">
        <v>5846</v>
      </c>
      <c r="B217" s="41" t="s">
        <v>5784</v>
      </c>
      <c r="C217" s="41" t="s">
        <v>6543</v>
      </c>
      <c r="D217" s="41">
        <v>34.200000000000003</v>
      </c>
      <c r="E217" s="41">
        <v>34.200000000000003</v>
      </c>
      <c r="F217" s="53">
        <v>0.77</v>
      </c>
      <c r="G217" s="41">
        <v>97</v>
      </c>
      <c r="H217" s="41">
        <v>100</v>
      </c>
      <c r="I217" s="41">
        <v>17020</v>
      </c>
      <c r="K217" s="41" t="s">
        <v>6206</v>
      </c>
      <c r="L217" s="41" t="s">
        <v>5574</v>
      </c>
      <c r="M217" s="41" t="str">
        <f>HYPERLINK("https://www.ncbi.nlm.nih.gov/nucleotide/MW316202.1?report=genbank&amp;log$=nucltop&amp;blast_rank=212&amp;RID=K3RYFBUB014","MW316202.1")</f>
        <v>MW316202.1</v>
      </c>
      <c r="N217" s="41">
        <v>36.200000000000003</v>
      </c>
      <c r="O217" s="41">
        <v>36.200000000000003</v>
      </c>
      <c r="P217" s="53">
        <v>0.95</v>
      </c>
      <c r="Q217" s="41">
        <v>25</v>
      </c>
      <c r="R217" s="41">
        <v>100</v>
      </c>
      <c r="S217" s="41">
        <v>16385</v>
      </c>
      <c r="U217" s="38" t="s">
        <v>3932</v>
      </c>
      <c r="V217" s="38" t="s">
        <v>3933</v>
      </c>
      <c r="W217" s="38" t="str">
        <f>HYPERLINK("https://www.ncbi.nlm.nih.gov/nucleotide/OD574856.1?report=genbank&amp;log$=nucltop&amp;blast_rank=212&amp;RID=K3S1J64G014","OD574856.1")</f>
        <v>OD574856.1</v>
      </c>
      <c r="X217" s="38">
        <v>36.200000000000003</v>
      </c>
      <c r="Y217" s="38">
        <v>36.200000000000003</v>
      </c>
      <c r="Z217" s="55">
        <v>0.64</v>
      </c>
      <c r="AA217" s="38">
        <v>74</v>
      </c>
      <c r="AB217" s="38">
        <v>100</v>
      </c>
      <c r="AC217" s="38">
        <v>9029</v>
      </c>
    </row>
    <row r="218" spans="1:29" x14ac:dyDescent="0.15">
      <c r="A218" s="41" t="s">
        <v>5872</v>
      </c>
      <c r="B218" s="41" t="s">
        <v>5873</v>
      </c>
      <c r="C218" s="41" t="s">
        <v>6544</v>
      </c>
      <c r="D218" s="41">
        <v>34.200000000000003</v>
      </c>
      <c r="E218" s="41">
        <v>34.200000000000003</v>
      </c>
      <c r="F218" s="53">
        <v>0.77</v>
      </c>
      <c r="G218" s="41">
        <v>97</v>
      </c>
      <c r="H218" s="41">
        <v>100</v>
      </c>
      <c r="I218" s="41">
        <v>17241</v>
      </c>
      <c r="K218" s="41" t="s">
        <v>6207</v>
      </c>
      <c r="L218" s="41" t="s">
        <v>5574</v>
      </c>
      <c r="M218" s="41" t="str">
        <f>HYPERLINK("https://www.ncbi.nlm.nih.gov/nucleotide/MW316237.1?report=genbank&amp;log$=nucltop&amp;blast_rank=213&amp;RID=K3RYFBUB014","MW316237.1")</f>
        <v>MW316237.1</v>
      </c>
      <c r="N218" s="41">
        <v>36.200000000000003</v>
      </c>
      <c r="O218" s="41">
        <v>36.200000000000003</v>
      </c>
      <c r="P218" s="53">
        <v>0.95</v>
      </c>
      <c r="Q218" s="41">
        <v>25</v>
      </c>
      <c r="R218" s="41">
        <v>100</v>
      </c>
      <c r="S218" s="41">
        <v>16381</v>
      </c>
      <c r="U218" s="38" t="s">
        <v>6208</v>
      </c>
      <c r="V218" s="38" t="s">
        <v>6209</v>
      </c>
      <c r="W218" s="38" t="str">
        <f>HYPERLINK("https://www.ncbi.nlm.nih.gov/nucleotide/NC_027935.1?report=genbank&amp;log$=nucltop&amp;blast_rank=213&amp;RID=K3S1J64G014","NC_027935.1")</f>
        <v>NC_027935.1</v>
      </c>
      <c r="X218" s="38">
        <v>36.200000000000003</v>
      </c>
      <c r="Y218" s="38">
        <v>36.200000000000003</v>
      </c>
      <c r="Z218" s="55">
        <v>0.79</v>
      </c>
      <c r="AA218" s="38">
        <v>74</v>
      </c>
      <c r="AB218" s="38">
        <v>95.45</v>
      </c>
      <c r="AC218" s="38">
        <v>16667</v>
      </c>
    </row>
    <row r="219" spans="1:29" x14ac:dyDescent="0.15">
      <c r="A219" s="41" t="s">
        <v>6210</v>
      </c>
      <c r="B219" s="41" t="s">
        <v>4635</v>
      </c>
      <c r="C219" s="41" t="s">
        <v>6545</v>
      </c>
      <c r="D219" s="41">
        <v>34.200000000000003</v>
      </c>
      <c r="E219" s="41">
        <v>34.200000000000003</v>
      </c>
      <c r="F219" s="53">
        <v>0.77</v>
      </c>
      <c r="G219" s="41">
        <v>97</v>
      </c>
      <c r="H219" s="41">
        <v>100</v>
      </c>
      <c r="I219" s="41">
        <v>60571216</v>
      </c>
      <c r="K219" s="41" t="s">
        <v>6211</v>
      </c>
      <c r="L219" s="41" t="s">
        <v>5574</v>
      </c>
      <c r="M219" s="41" t="str">
        <f>HYPERLINK("https://www.ncbi.nlm.nih.gov/nucleotide/OQ554105.1?report=genbank&amp;log$=nucltop&amp;blast_rank=214&amp;RID=K3RYFBUB014","OQ554105.1")</f>
        <v>OQ554105.1</v>
      </c>
      <c r="N219" s="41">
        <v>36.200000000000003</v>
      </c>
      <c r="O219" s="41">
        <v>36.200000000000003</v>
      </c>
      <c r="P219" s="53">
        <v>0.95</v>
      </c>
      <c r="Q219" s="41">
        <v>25</v>
      </c>
      <c r="R219" s="41">
        <v>100</v>
      </c>
      <c r="S219" s="41">
        <v>16387</v>
      </c>
      <c r="U219" s="38" t="s">
        <v>5433</v>
      </c>
      <c r="V219" s="38" t="s">
        <v>2115</v>
      </c>
      <c r="W219" s="38" t="str">
        <f>HYPERLINK("https://www.ncbi.nlm.nih.gov/nucleotide/NC_030584.1?report=genbank&amp;log$=nucltop&amp;blast_rank=214&amp;RID=K3S1J64G014","NC_030584.1")</f>
        <v>NC_030584.1</v>
      </c>
      <c r="X219" s="38">
        <v>36.200000000000003</v>
      </c>
      <c r="Y219" s="38">
        <v>36.200000000000003</v>
      </c>
      <c r="Z219" s="55">
        <v>0.93</v>
      </c>
      <c r="AA219" s="38">
        <v>74</v>
      </c>
      <c r="AB219" s="38">
        <v>92.31</v>
      </c>
      <c r="AC219" s="38">
        <v>16583</v>
      </c>
    </row>
    <row r="220" spans="1:29" x14ac:dyDescent="0.15">
      <c r="A220" s="41" t="s">
        <v>6212</v>
      </c>
      <c r="B220" s="41" t="s">
        <v>6038</v>
      </c>
      <c r="C220" s="41" t="s">
        <v>6546</v>
      </c>
      <c r="D220" s="41">
        <v>34.200000000000003</v>
      </c>
      <c r="E220" s="41">
        <v>34.200000000000003</v>
      </c>
      <c r="F220" s="53">
        <v>0.77</v>
      </c>
      <c r="G220" s="41">
        <v>97</v>
      </c>
      <c r="H220" s="41">
        <v>100</v>
      </c>
      <c r="I220" s="41">
        <v>3143665</v>
      </c>
      <c r="K220" s="41" t="s">
        <v>6213</v>
      </c>
      <c r="L220" s="41" t="s">
        <v>5574</v>
      </c>
      <c r="M220" s="41" t="str">
        <f>HYPERLINK("https://www.ncbi.nlm.nih.gov/nucleotide/MW316217.1?report=genbank&amp;log$=nucltop&amp;blast_rank=215&amp;RID=K3RYFBUB014","MW316217.1")</f>
        <v>MW316217.1</v>
      </c>
      <c r="N220" s="41">
        <v>36.200000000000003</v>
      </c>
      <c r="O220" s="41">
        <v>36.200000000000003</v>
      </c>
      <c r="P220" s="53">
        <v>0.95</v>
      </c>
      <c r="Q220" s="41">
        <v>25</v>
      </c>
      <c r="R220" s="41">
        <v>100</v>
      </c>
      <c r="S220" s="41">
        <v>16373</v>
      </c>
      <c r="U220" s="38" t="s">
        <v>6214</v>
      </c>
      <c r="V220" s="38" t="s">
        <v>53</v>
      </c>
      <c r="W220" s="38" t="str">
        <f>HYPERLINK("https://www.ncbi.nlm.nih.gov/nucleotide/NC_018560.1?report=genbank&amp;log$=nucltop&amp;blast_rank=215&amp;RID=K3S1J64G014","NC_018560.1")</f>
        <v>NC_018560.1</v>
      </c>
      <c r="X220" s="38">
        <v>36.200000000000003</v>
      </c>
      <c r="Y220" s="38">
        <v>36.200000000000003</v>
      </c>
      <c r="Z220" s="55">
        <v>0.93</v>
      </c>
      <c r="AA220" s="38">
        <v>74</v>
      </c>
      <c r="AB220" s="38">
        <v>92.31</v>
      </c>
      <c r="AC220" s="38">
        <v>16578</v>
      </c>
    </row>
    <row r="221" spans="1:29" x14ac:dyDescent="0.15">
      <c r="A221" s="41" t="s">
        <v>6215</v>
      </c>
      <c r="B221" s="41" t="s">
        <v>5857</v>
      </c>
      <c r="C221" s="41" t="s">
        <v>6547</v>
      </c>
      <c r="D221" s="41">
        <v>34.200000000000003</v>
      </c>
      <c r="E221" s="41">
        <v>34.200000000000003</v>
      </c>
      <c r="F221" s="53">
        <v>0.95</v>
      </c>
      <c r="G221" s="41">
        <v>97</v>
      </c>
      <c r="H221" s="41">
        <v>95.24</v>
      </c>
      <c r="I221" s="41">
        <v>16606</v>
      </c>
      <c r="K221" s="41" t="s">
        <v>6216</v>
      </c>
      <c r="L221" s="41" t="s">
        <v>5574</v>
      </c>
      <c r="M221" s="41" t="str">
        <f>HYPERLINK("https://www.ncbi.nlm.nih.gov/nucleotide/MW316280.1?report=genbank&amp;log$=nucltop&amp;blast_rank=216&amp;RID=K3RYFBUB014","MW316280.1")</f>
        <v>MW316280.1</v>
      </c>
      <c r="N221" s="41">
        <v>36.200000000000003</v>
      </c>
      <c r="O221" s="41">
        <v>36.200000000000003</v>
      </c>
      <c r="P221" s="53">
        <v>0.95</v>
      </c>
      <c r="Q221" s="41">
        <v>25</v>
      </c>
      <c r="R221" s="41">
        <v>100</v>
      </c>
      <c r="S221" s="41">
        <v>16385</v>
      </c>
      <c r="U221" s="38" t="s">
        <v>4772</v>
      </c>
      <c r="V221" s="38" t="s">
        <v>2133</v>
      </c>
      <c r="W221" s="38" t="str">
        <f>HYPERLINK("https://www.ncbi.nlm.nih.gov/nucleotide/KT715809.1?report=genbank&amp;log$=nucltop&amp;blast_rank=216&amp;RID=K3S1J64G014","KT715809.1")</f>
        <v>KT715809.1</v>
      </c>
      <c r="X221" s="38">
        <v>36.200000000000003</v>
      </c>
      <c r="Y221" s="38">
        <v>36.200000000000003</v>
      </c>
      <c r="Z221" s="55">
        <v>0.93</v>
      </c>
      <c r="AA221" s="38">
        <v>74</v>
      </c>
      <c r="AB221" s="38">
        <v>92.31</v>
      </c>
      <c r="AC221" s="38">
        <v>16702</v>
      </c>
    </row>
    <row r="222" spans="1:29" x14ac:dyDescent="0.15">
      <c r="A222" s="41" t="s">
        <v>6217</v>
      </c>
      <c r="B222" s="41" t="s">
        <v>6038</v>
      </c>
      <c r="C222" s="41" t="s">
        <v>6548</v>
      </c>
      <c r="D222" s="41">
        <v>34.200000000000003</v>
      </c>
      <c r="E222" s="41">
        <v>34.200000000000003</v>
      </c>
      <c r="F222" s="53">
        <v>0.77</v>
      </c>
      <c r="G222" s="41">
        <v>97</v>
      </c>
      <c r="H222" s="41">
        <v>100</v>
      </c>
      <c r="I222" s="41">
        <v>3042110</v>
      </c>
      <c r="K222" s="41" t="s">
        <v>6218</v>
      </c>
      <c r="L222" s="41" t="s">
        <v>5574</v>
      </c>
      <c r="M222" s="41" t="str">
        <f>HYPERLINK("https://www.ncbi.nlm.nih.gov/nucleotide/OQ554183.1?report=genbank&amp;log$=nucltop&amp;blast_rank=217&amp;RID=K3RYFBUB014","OQ554183.1")</f>
        <v>OQ554183.1</v>
      </c>
      <c r="N222" s="41">
        <v>36.200000000000003</v>
      </c>
      <c r="O222" s="41">
        <v>36.200000000000003</v>
      </c>
      <c r="P222" s="53">
        <v>0.95</v>
      </c>
      <c r="Q222" s="41">
        <v>25</v>
      </c>
      <c r="R222" s="41">
        <v>100</v>
      </c>
      <c r="S222" s="41">
        <v>16386</v>
      </c>
      <c r="U222" s="38" t="s">
        <v>6219</v>
      </c>
      <c r="V222" s="38" t="s">
        <v>2109</v>
      </c>
      <c r="W222" s="38" t="str">
        <f>HYPERLINK("https://www.ncbi.nlm.nih.gov/nucleotide/NC_020672.1?report=genbank&amp;log$=nucltop&amp;blast_rank=217&amp;RID=K3S1J64G014","NC_020672.1")</f>
        <v>NC_020672.1</v>
      </c>
      <c r="X222" s="38">
        <v>36.200000000000003</v>
      </c>
      <c r="Y222" s="38">
        <v>36.200000000000003</v>
      </c>
      <c r="Z222" s="55">
        <v>0.93</v>
      </c>
      <c r="AA222" s="38">
        <v>74</v>
      </c>
      <c r="AB222" s="38">
        <v>92.31</v>
      </c>
      <c r="AC222" s="38">
        <v>16582</v>
      </c>
    </row>
    <row r="223" spans="1:29" x14ac:dyDescent="0.15">
      <c r="A223" s="41" t="s">
        <v>6220</v>
      </c>
      <c r="B223" s="41" t="s">
        <v>5951</v>
      </c>
      <c r="C223" s="41" t="s">
        <v>6549</v>
      </c>
      <c r="D223" s="41">
        <v>34.200000000000003</v>
      </c>
      <c r="E223" s="41">
        <v>34.200000000000003</v>
      </c>
      <c r="F223" s="53">
        <v>0.77</v>
      </c>
      <c r="G223" s="41">
        <v>97</v>
      </c>
      <c r="H223" s="41">
        <v>100</v>
      </c>
      <c r="I223" s="41">
        <v>4573</v>
      </c>
      <c r="K223" s="41" t="s">
        <v>6221</v>
      </c>
      <c r="L223" s="41" t="s">
        <v>5574</v>
      </c>
      <c r="M223" s="41" t="str">
        <f>HYPERLINK("https://www.ncbi.nlm.nih.gov/nucleotide/MW316201.1?report=genbank&amp;log$=nucltop&amp;blast_rank=218&amp;RID=K3RYFBUB014","MW316201.1")</f>
        <v>MW316201.1</v>
      </c>
      <c r="N223" s="41">
        <v>36.200000000000003</v>
      </c>
      <c r="O223" s="41">
        <v>36.200000000000003</v>
      </c>
      <c r="P223" s="53">
        <v>0.95</v>
      </c>
      <c r="Q223" s="41">
        <v>25</v>
      </c>
      <c r="R223" s="41">
        <v>100</v>
      </c>
      <c r="S223" s="41">
        <v>16386</v>
      </c>
      <c r="U223" s="38" t="s">
        <v>6222</v>
      </c>
      <c r="V223" s="38" t="s">
        <v>2032</v>
      </c>
      <c r="W223" s="38" t="str">
        <f>HYPERLINK("https://www.ncbi.nlm.nih.gov/nucleotide/PV742845.1?report=genbank&amp;log$=nucltop&amp;blast_rank=218&amp;RID=K3S1J64G014","PV742845.1")</f>
        <v>PV742845.1</v>
      </c>
      <c r="X223" s="38">
        <v>36.200000000000003</v>
      </c>
      <c r="Y223" s="38">
        <v>36.200000000000003</v>
      </c>
      <c r="Z223" s="55">
        <v>0.79</v>
      </c>
      <c r="AA223" s="38">
        <v>74</v>
      </c>
      <c r="AB223" s="38">
        <v>95.45</v>
      </c>
      <c r="AC223" s="38">
        <v>16757</v>
      </c>
    </row>
    <row r="224" spans="1:29" x14ac:dyDescent="0.15">
      <c r="A224" s="41" t="s">
        <v>6223</v>
      </c>
      <c r="B224" s="41" t="s">
        <v>5773</v>
      </c>
      <c r="C224" s="41" t="s">
        <v>6550</v>
      </c>
      <c r="D224" s="41">
        <v>34.200000000000003</v>
      </c>
      <c r="E224" s="41">
        <v>34.200000000000003</v>
      </c>
      <c r="F224" s="53">
        <v>0.77</v>
      </c>
      <c r="G224" s="41">
        <v>97</v>
      </c>
      <c r="H224" s="41">
        <v>100</v>
      </c>
      <c r="I224" s="41">
        <v>16466</v>
      </c>
      <c r="K224" s="41" t="s">
        <v>6224</v>
      </c>
      <c r="L224" s="41" t="s">
        <v>5574</v>
      </c>
      <c r="M224" s="41" t="str">
        <f>HYPERLINK("https://www.ncbi.nlm.nih.gov/nucleotide/OQ554019.1?report=genbank&amp;log$=nucltop&amp;blast_rank=219&amp;RID=K3RYFBUB014","OQ554019.1")</f>
        <v>OQ554019.1</v>
      </c>
      <c r="N224" s="41">
        <v>36.200000000000003</v>
      </c>
      <c r="O224" s="41">
        <v>36.200000000000003</v>
      </c>
      <c r="P224" s="53">
        <v>0.95</v>
      </c>
      <c r="Q224" s="41">
        <v>25</v>
      </c>
      <c r="R224" s="41">
        <v>100</v>
      </c>
      <c r="S224" s="41">
        <v>16387</v>
      </c>
      <c r="U224" s="38" t="s">
        <v>5748</v>
      </c>
      <c r="V224" s="38" t="s">
        <v>2187</v>
      </c>
      <c r="W224" s="38" t="str">
        <f>HYPERLINK("https://www.ncbi.nlm.nih.gov/nucleotide/NC_028011.1?report=genbank&amp;log$=nucltop&amp;blast_rank=219&amp;RID=K3S1J64G014","NC_028011.1")</f>
        <v>NC_028011.1</v>
      </c>
      <c r="X224" s="38">
        <v>36.200000000000003</v>
      </c>
      <c r="Y224" s="38">
        <v>36.200000000000003</v>
      </c>
      <c r="Z224" s="55">
        <v>0.93</v>
      </c>
      <c r="AA224" s="38">
        <v>74</v>
      </c>
      <c r="AB224" s="38">
        <v>92.31</v>
      </c>
      <c r="AC224" s="38">
        <v>16761</v>
      </c>
    </row>
    <row r="225" spans="1:29" x14ac:dyDescent="0.15">
      <c r="A225" s="41" t="s">
        <v>6225</v>
      </c>
      <c r="B225" s="41" t="s">
        <v>5151</v>
      </c>
      <c r="C225" s="41" t="s">
        <v>6551</v>
      </c>
      <c r="D225" s="41">
        <v>34.200000000000003</v>
      </c>
      <c r="E225" s="41">
        <v>34.200000000000003</v>
      </c>
      <c r="F225" s="53">
        <v>0.77</v>
      </c>
      <c r="G225" s="41">
        <v>97</v>
      </c>
      <c r="H225" s="41">
        <v>100</v>
      </c>
      <c r="I225" s="41">
        <v>20671356</v>
      </c>
      <c r="K225" s="41" t="s">
        <v>6226</v>
      </c>
      <c r="L225" s="41" t="s">
        <v>5574</v>
      </c>
      <c r="M225" s="41" t="str">
        <f>HYPERLINK("https://www.ncbi.nlm.nih.gov/nucleotide/OQ554245.1?report=genbank&amp;log$=nucltop&amp;blast_rank=220&amp;RID=K3RYFBUB014","OQ554245.1")</f>
        <v>OQ554245.1</v>
      </c>
      <c r="N225" s="41">
        <v>36.200000000000003</v>
      </c>
      <c r="O225" s="41">
        <v>36.200000000000003</v>
      </c>
      <c r="P225" s="53">
        <v>0.95</v>
      </c>
      <c r="Q225" s="41">
        <v>25</v>
      </c>
      <c r="R225" s="41">
        <v>100</v>
      </c>
      <c r="S225" s="41">
        <v>16386</v>
      </c>
      <c r="U225" s="38" t="s">
        <v>6227</v>
      </c>
      <c r="V225" s="38" t="s">
        <v>2159</v>
      </c>
      <c r="W225" s="38" t="str">
        <f>HYPERLINK("https://www.ncbi.nlm.nih.gov/nucleotide/NC_018563.1?report=genbank&amp;log$=nucltop&amp;blast_rank=220&amp;RID=K3S1J64G014","NC_018563.1")</f>
        <v>NC_018563.1</v>
      </c>
      <c r="X225" s="38">
        <v>36.200000000000003</v>
      </c>
      <c r="Y225" s="38">
        <v>36.200000000000003</v>
      </c>
      <c r="Z225" s="55">
        <v>0.93</v>
      </c>
      <c r="AA225" s="38">
        <v>74</v>
      </c>
      <c r="AB225" s="38">
        <v>92.31</v>
      </c>
      <c r="AC225" s="38">
        <v>16583</v>
      </c>
    </row>
    <row r="226" spans="1:29" x14ac:dyDescent="0.15">
      <c r="A226" s="41" t="s">
        <v>6004</v>
      </c>
      <c r="B226" s="41" t="s">
        <v>6005</v>
      </c>
      <c r="C226" s="41" t="s">
        <v>6552</v>
      </c>
      <c r="D226" s="41">
        <v>34.200000000000003</v>
      </c>
      <c r="E226" s="41">
        <v>34.200000000000003</v>
      </c>
      <c r="F226" s="53">
        <v>0.95</v>
      </c>
      <c r="G226" s="41">
        <v>97</v>
      </c>
      <c r="H226" s="41">
        <v>95.24</v>
      </c>
      <c r="I226" s="41">
        <v>17042</v>
      </c>
      <c r="K226" s="41" t="s">
        <v>6228</v>
      </c>
      <c r="L226" s="41" t="s">
        <v>5574</v>
      </c>
      <c r="M226" s="41" t="str">
        <f>HYPERLINK("https://www.ncbi.nlm.nih.gov/nucleotide/MW316279.1?report=genbank&amp;log$=nucltop&amp;blast_rank=221&amp;RID=K3RYFBUB014","MW316279.1")</f>
        <v>MW316279.1</v>
      </c>
      <c r="N226" s="41">
        <v>36.200000000000003</v>
      </c>
      <c r="O226" s="41">
        <v>36.200000000000003</v>
      </c>
      <c r="P226" s="53">
        <v>0.95</v>
      </c>
      <c r="Q226" s="41">
        <v>25</v>
      </c>
      <c r="R226" s="41">
        <v>100</v>
      </c>
      <c r="S226" s="41">
        <v>16385</v>
      </c>
      <c r="U226" s="38" t="s">
        <v>6229</v>
      </c>
      <c r="V226" s="38" t="s">
        <v>2070</v>
      </c>
      <c r="W226" s="38" t="str">
        <f>HYPERLINK("https://www.ncbi.nlm.nih.gov/nucleotide/NC_008128.1?report=genbank&amp;log$=nucltop&amp;blast_rank=221&amp;RID=K3S1J64G014","NC_008128.1")</f>
        <v>NC_008128.1</v>
      </c>
      <c r="X226" s="38">
        <v>36.200000000000003</v>
      </c>
      <c r="Y226" s="38">
        <v>36.200000000000003</v>
      </c>
      <c r="Z226" s="55">
        <v>0.79</v>
      </c>
      <c r="AA226" s="38">
        <v>74</v>
      </c>
      <c r="AB226" s="38">
        <v>95.45</v>
      </c>
      <c r="AC226" s="38">
        <v>15980</v>
      </c>
    </row>
    <row r="227" spans="1:29" x14ac:dyDescent="0.15">
      <c r="A227" s="41" t="s">
        <v>5962</v>
      </c>
      <c r="B227" s="41" t="s">
        <v>5963</v>
      </c>
      <c r="C227" s="41" t="s">
        <v>6553</v>
      </c>
      <c r="D227" s="41">
        <v>34.200000000000003</v>
      </c>
      <c r="E227" s="41">
        <v>34.200000000000003</v>
      </c>
      <c r="F227" s="53">
        <v>0.95</v>
      </c>
      <c r="G227" s="41">
        <v>97</v>
      </c>
      <c r="H227" s="41">
        <v>95.24</v>
      </c>
      <c r="I227" s="41">
        <v>17063</v>
      </c>
      <c r="K227" s="41" t="s">
        <v>6230</v>
      </c>
      <c r="L227" s="41" t="s">
        <v>5574</v>
      </c>
      <c r="M227" s="41" t="str">
        <f>HYPERLINK("https://www.ncbi.nlm.nih.gov/nucleotide/MW316251.1?report=genbank&amp;log$=nucltop&amp;blast_rank=222&amp;RID=K3RYFBUB014","MW316251.1")</f>
        <v>MW316251.1</v>
      </c>
      <c r="N227" s="41">
        <v>36.200000000000003</v>
      </c>
      <c r="O227" s="41">
        <v>36.200000000000003</v>
      </c>
      <c r="P227" s="53">
        <v>0.95</v>
      </c>
      <c r="Q227" s="41">
        <v>25</v>
      </c>
      <c r="R227" s="41">
        <v>100</v>
      </c>
      <c r="S227" s="41">
        <v>16381</v>
      </c>
      <c r="U227" s="38" t="s">
        <v>6231</v>
      </c>
      <c r="V227" s="38" t="s">
        <v>2105</v>
      </c>
      <c r="W227" s="38" t="str">
        <f>HYPERLINK("https://www.ncbi.nlm.nih.gov/nucleotide/OZ245602.1?report=genbank&amp;log$=nucltop&amp;blast_rank=222&amp;RID=K3S1J64G014","OZ245602.1")</f>
        <v>OZ245602.1</v>
      </c>
      <c r="X227" s="38">
        <v>36.200000000000003</v>
      </c>
      <c r="Y227" s="38">
        <v>36.200000000000003</v>
      </c>
      <c r="Z227" s="55">
        <v>0.93</v>
      </c>
      <c r="AA227" s="38">
        <v>74</v>
      </c>
      <c r="AB227" s="38">
        <v>92.31</v>
      </c>
      <c r="AC227" s="38">
        <v>16584</v>
      </c>
    </row>
    <row r="228" spans="1:29" x14ac:dyDescent="0.15">
      <c r="A228" s="41" t="s">
        <v>6232</v>
      </c>
      <c r="B228" s="41" t="s">
        <v>6233</v>
      </c>
      <c r="C228" s="41" t="s">
        <v>6554</v>
      </c>
      <c r="D228" s="41">
        <v>34.200000000000003</v>
      </c>
      <c r="E228" s="41">
        <v>34.200000000000003</v>
      </c>
      <c r="F228" s="53">
        <v>0.77</v>
      </c>
      <c r="G228" s="41">
        <v>97</v>
      </c>
      <c r="H228" s="41">
        <v>100</v>
      </c>
      <c r="I228" s="41">
        <v>17109</v>
      </c>
      <c r="K228" s="41" t="s">
        <v>6234</v>
      </c>
      <c r="L228" s="41" t="s">
        <v>5574</v>
      </c>
      <c r="M228" s="41" t="str">
        <f>HYPERLINK("https://www.ncbi.nlm.nih.gov/nucleotide/OQ554035.1?report=genbank&amp;log$=nucltop&amp;blast_rank=223&amp;RID=K3RYFBUB014","OQ554035.1")</f>
        <v>OQ554035.1</v>
      </c>
      <c r="N228" s="41">
        <v>36.200000000000003</v>
      </c>
      <c r="O228" s="41">
        <v>36.200000000000003</v>
      </c>
      <c r="P228" s="53">
        <v>0.95</v>
      </c>
      <c r="Q228" s="41">
        <v>25</v>
      </c>
      <c r="R228" s="41">
        <v>100</v>
      </c>
      <c r="S228" s="41">
        <v>16387</v>
      </c>
      <c r="U228" s="38" t="s">
        <v>6235</v>
      </c>
      <c r="V228" s="38" t="s">
        <v>2137</v>
      </c>
      <c r="W228" s="38" t="str">
        <f>HYPERLINK("https://www.ncbi.nlm.nih.gov/nucleotide/AB915413.1?report=genbank&amp;log$=nucltop&amp;blast_rank=223&amp;RID=K3S1J64G014","AB915413.1")</f>
        <v>AB915413.1</v>
      </c>
      <c r="X228" s="38">
        <v>36.200000000000003</v>
      </c>
      <c r="Y228" s="38">
        <v>36.200000000000003</v>
      </c>
      <c r="Z228" s="55">
        <v>0.93</v>
      </c>
      <c r="AA228" s="38">
        <v>74</v>
      </c>
      <c r="AB228" s="38">
        <v>92.31</v>
      </c>
      <c r="AC228" s="38">
        <v>795</v>
      </c>
    </row>
    <row r="229" spans="1:29" x14ac:dyDescent="0.15">
      <c r="A229" s="41" t="s">
        <v>6236</v>
      </c>
      <c r="B229" s="41" t="s">
        <v>6080</v>
      </c>
      <c r="C229" s="41" t="s">
        <v>6555</v>
      </c>
      <c r="D229" s="41">
        <v>34.200000000000003</v>
      </c>
      <c r="E229" s="41">
        <v>34.200000000000003</v>
      </c>
      <c r="F229" s="53">
        <v>0.77</v>
      </c>
      <c r="G229" s="41">
        <v>97</v>
      </c>
      <c r="H229" s="41">
        <v>100</v>
      </c>
      <c r="I229" s="41">
        <v>16470</v>
      </c>
      <c r="K229" s="41" t="s">
        <v>6237</v>
      </c>
      <c r="L229" s="41" t="s">
        <v>5574</v>
      </c>
      <c r="M229" s="41" t="str">
        <f>HYPERLINK("https://www.ncbi.nlm.nih.gov/nucleotide/OQ554127.1?report=genbank&amp;log$=nucltop&amp;blast_rank=224&amp;RID=K3RYFBUB014","OQ554127.1")</f>
        <v>OQ554127.1</v>
      </c>
      <c r="N229" s="41">
        <v>36.200000000000003</v>
      </c>
      <c r="O229" s="41">
        <v>36.200000000000003</v>
      </c>
      <c r="P229" s="53">
        <v>0.95</v>
      </c>
      <c r="Q229" s="41">
        <v>25</v>
      </c>
      <c r="R229" s="41">
        <v>100</v>
      </c>
      <c r="S229" s="41">
        <v>16387</v>
      </c>
      <c r="U229" s="38" t="s">
        <v>6238</v>
      </c>
      <c r="V229" s="38" t="s">
        <v>6183</v>
      </c>
      <c r="W229" s="38" t="str">
        <f>HYPERLINK("https://www.ncbi.nlm.nih.gov/nucleotide/XM_040008461.1?report=genbank&amp;log$=nucltop&amp;blast_rank=224&amp;RID=K3S1J64G014","XM_040008461.1")</f>
        <v>XM_040008461.1</v>
      </c>
      <c r="X229" s="38">
        <v>36.200000000000003</v>
      </c>
      <c r="Y229" s="38">
        <v>36.200000000000003</v>
      </c>
      <c r="Z229" s="55">
        <v>0.93</v>
      </c>
      <c r="AA229" s="38">
        <v>74</v>
      </c>
      <c r="AB229" s="38">
        <v>92.31</v>
      </c>
      <c r="AC229" s="38">
        <v>6080</v>
      </c>
    </row>
    <row r="230" spans="1:29" x14ac:dyDescent="0.15">
      <c r="A230" s="41" t="s">
        <v>6239</v>
      </c>
      <c r="B230" s="41" t="s">
        <v>6240</v>
      </c>
      <c r="C230" s="41" t="s">
        <v>6556</v>
      </c>
      <c r="D230" s="41">
        <v>34.200000000000003</v>
      </c>
      <c r="E230" s="41">
        <v>34.200000000000003</v>
      </c>
      <c r="F230" s="53">
        <v>0.77</v>
      </c>
      <c r="G230" s="41">
        <v>97</v>
      </c>
      <c r="H230" s="41">
        <v>100</v>
      </c>
      <c r="I230" s="41">
        <v>5951045</v>
      </c>
      <c r="K230" s="41" t="s">
        <v>6241</v>
      </c>
      <c r="L230" s="41" t="s">
        <v>5574</v>
      </c>
      <c r="M230" s="41" t="str">
        <f>HYPERLINK("https://www.ncbi.nlm.nih.gov/nucleotide/MW316240.1?report=genbank&amp;log$=nucltop&amp;blast_rank=225&amp;RID=K3RYFBUB014","MW316240.1")</f>
        <v>MW316240.1</v>
      </c>
      <c r="N230" s="41">
        <v>36.200000000000003</v>
      </c>
      <c r="O230" s="41">
        <v>36.200000000000003</v>
      </c>
      <c r="P230" s="53">
        <v>0.95</v>
      </c>
      <c r="Q230" s="41">
        <v>25</v>
      </c>
      <c r="R230" s="41">
        <v>100</v>
      </c>
      <c r="S230" s="41">
        <v>16379</v>
      </c>
      <c r="U230" s="38" t="s">
        <v>6242</v>
      </c>
      <c r="V230" s="38" t="s">
        <v>2125</v>
      </c>
      <c r="W230" s="38" t="str">
        <f>HYPERLINK("https://www.ncbi.nlm.nih.gov/nucleotide/NC_018564.1?report=genbank&amp;log$=nucltop&amp;blast_rank=225&amp;RID=K3S1J64G014","NC_018564.1")</f>
        <v>NC_018564.1</v>
      </c>
      <c r="X230" s="38">
        <v>36.200000000000003</v>
      </c>
      <c r="Y230" s="38">
        <v>36.200000000000003</v>
      </c>
      <c r="Z230" s="55">
        <v>0.93</v>
      </c>
      <c r="AA230" s="38">
        <v>74</v>
      </c>
      <c r="AB230" s="38">
        <v>92.31</v>
      </c>
      <c r="AC230" s="38">
        <v>16585</v>
      </c>
    </row>
    <row r="231" spans="1:29" x14ac:dyDescent="0.15">
      <c r="A231" s="41" t="s">
        <v>6243</v>
      </c>
      <c r="B231" s="41" t="s">
        <v>6244</v>
      </c>
      <c r="C231" s="41" t="s">
        <v>6557</v>
      </c>
      <c r="D231" s="41">
        <v>34.200000000000003</v>
      </c>
      <c r="E231" s="41">
        <v>34.200000000000003</v>
      </c>
      <c r="F231" s="53">
        <v>0.77</v>
      </c>
      <c r="G231" s="41">
        <v>97</v>
      </c>
      <c r="H231" s="41">
        <v>100</v>
      </c>
      <c r="I231" s="41">
        <v>2054</v>
      </c>
      <c r="K231" s="41" t="s">
        <v>6245</v>
      </c>
      <c r="L231" s="41" t="s">
        <v>5574</v>
      </c>
      <c r="M231" s="41" t="str">
        <f>HYPERLINK("https://www.ncbi.nlm.nih.gov/nucleotide/OQ553967.1?report=genbank&amp;log$=nucltop&amp;blast_rank=226&amp;RID=K3RYFBUB014","OQ553967.1")</f>
        <v>OQ553967.1</v>
      </c>
      <c r="N231" s="41">
        <v>36.200000000000003</v>
      </c>
      <c r="O231" s="41">
        <v>36.200000000000003</v>
      </c>
      <c r="P231" s="53">
        <v>0.95</v>
      </c>
      <c r="Q231" s="41">
        <v>25</v>
      </c>
      <c r="R231" s="41">
        <v>100</v>
      </c>
      <c r="S231" s="41">
        <v>16386</v>
      </c>
      <c r="U231" s="38" t="s">
        <v>6246</v>
      </c>
      <c r="V231" s="38" t="s">
        <v>6247</v>
      </c>
      <c r="W231" s="38" t="str">
        <f>HYPERLINK("https://www.ncbi.nlm.nih.gov/nucleotide/PP060929.1?report=genbank&amp;log$=nucltop&amp;blast_rank=226&amp;RID=K3S1J64G014","PP060929.1")</f>
        <v>PP060929.1</v>
      </c>
      <c r="X231" s="38">
        <v>36.200000000000003</v>
      </c>
      <c r="Y231" s="38">
        <v>36.200000000000003</v>
      </c>
      <c r="Z231" s="55">
        <v>0.79</v>
      </c>
      <c r="AA231" s="38">
        <v>74</v>
      </c>
      <c r="AB231" s="38">
        <v>95.45</v>
      </c>
      <c r="AC231" s="38">
        <v>16955</v>
      </c>
    </row>
    <row r="232" spans="1:29" x14ac:dyDescent="0.15">
      <c r="A232" s="41" t="s">
        <v>6248</v>
      </c>
      <c r="B232" s="41" t="s">
        <v>5151</v>
      </c>
      <c r="C232" s="41" t="s">
        <v>6558</v>
      </c>
      <c r="D232" s="41">
        <v>34.200000000000003</v>
      </c>
      <c r="E232" s="41">
        <v>34.200000000000003</v>
      </c>
      <c r="F232" s="53">
        <v>0.77</v>
      </c>
      <c r="G232" s="41">
        <v>97</v>
      </c>
      <c r="H232" s="41">
        <v>100</v>
      </c>
      <c r="I232" s="41">
        <v>18732336</v>
      </c>
      <c r="K232" s="41" t="s">
        <v>6249</v>
      </c>
      <c r="L232" s="41" t="s">
        <v>5574</v>
      </c>
      <c r="M232" s="41" t="str">
        <f>HYPERLINK("https://www.ncbi.nlm.nih.gov/nucleotide/OQ554054.1?report=genbank&amp;log$=nucltop&amp;blast_rank=227&amp;RID=K3RYFBUB014","OQ554054.1")</f>
        <v>OQ554054.1</v>
      </c>
      <c r="N232" s="41">
        <v>36.200000000000003</v>
      </c>
      <c r="O232" s="41">
        <v>36.200000000000003</v>
      </c>
      <c r="P232" s="53">
        <v>0.95</v>
      </c>
      <c r="Q232" s="41">
        <v>25</v>
      </c>
      <c r="R232" s="41">
        <v>100</v>
      </c>
      <c r="S232" s="41">
        <v>16386</v>
      </c>
      <c r="U232" s="38" t="s">
        <v>5756</v>
      </c>
      <c r="V232" s="38" t="s">
        <v>2185</v>
      </c>
      <c r="W232" s="38" t="str">
        <f>HYPERLINK("https://www.ncbi.nlm.nih.gov/nucleotide/AB915412.1?report=genbank&amp;log$=nucltop&amp;blast_rank=227&amp;RID=K3S1J64G014","AB915412.1")</f>
        <v>AB915412.1</v>
      </c>
      <c r="X232" s="38">
        <v>36.200000000000003</v>
      </c>
      <c r="Y232" s="38">
        <v>36.200000000000003</v>
      </c>
      <c r="Z232" s="55">
        <v>0.93</v>
      </c>
      <c r="AA232" s="38">
        <v>74</v>
      </c>
      <c r="AB232" s="38">
        <v>92.31</v>
      </c>
      <c r="AC232" s="38">
        <v>795</v>
      </c>
    </row>
    <row r="233" spans="1:29" x14ac:dyDescent="0.15">
      <c r="A233" s="41" t="s">
        <v>6094</v>
      </c>
      <c r="B233" s="41" t="s">
        <v>6095</v>
      </c>
      <c r="C233" s="41" t="s">
        <v>6559</v>
      </c>
      <c r="D233" s="41">
        <v>34.200000000000003</v>
      </c>
      <c r="E233" s="41">
        <v>34.200000000000003</v>
      </c>
      <c r="F233" s="53">
        <v>0.95</v>
      </c>
      <c r="G233" s="41">
        <v>97</v>
      </c>
      <c r="H233" s="41">
        <v>95.24</v>
      </c>
      <c r="I233" s="41">
        <v>17063</v>
      </c>
      <c r="K233" s="41" t="s">
        <v>6250</v>
      </c>
      <c r="L233" s="41" t="s">
        <v>5574</v>
      </c>
      <c r="M233" s="41" t="str">
        <f>HYPERLINK("https://www.ncbi.nlm.nih.gov/nucleotide/MW316236.1?report=genbank&amp;log$=nucltop&amp;blast_rank=228&amp;RID=K3RYFBUB014","MW316236.1")</f>
        <v>MW316236.1</v>
      </c>
      <c r="N233" s="41">
        <v>36.200000000000003</v>
      </c>
      <c r="O233" s="41">
        <v>36.200000000000003</v>
      </c>
      <c r="P233" s="53">
        <v>0.95</v>
      </c>
      <c r="Q233" s="41">
        <v>25</v>
      </c>
      <c r="R233" s="41">
        <v>100</v>
      </c>
      <c r="S233" s="41">
        <v>16384</v>
      </c>
      <c r="U233" s="38" t="s">
        <v>6251</v>
      </c>
      <c r="V233" s="38" t="s">
        <v>4381</v>
      </c>
      <c r="W233" s="38" t="str">
        <f>HYPERLINK("https://www.ncbi.nlm.nih.gov/nucleotide/OZ274284.1?report=genbank&amp;log$=nucltop&amp;blast_rank=228&amp;RID=K3S1J64G014","OZ274284.1")</f>
        <v>OZ274284.1</v>
      </c>
      <c r="X233" s="38">
        <v>36.200000000000003</v>
      </c>
      <c r="Y233" s="38">
        <v>36.200000000000003</v>
      </c>
      <c r="Z233" s="55">
        <v>0.64</v>
      </c>
      <c r="AA233" s="38">
        <v>74</v>
      </c>
      <c r="AB233" s="38">
        <v>100</v>
      </c>
      <c r="AC233" s="38">
        <v>99993016</v>
      </c>
    </row>
    <row r="234" spans="1:29" x14ac:dyDescent="0.15">
      <c r="A234" s="41" t="s">
        <v>6252</v>
      </c>
      <c r="B234" s="41" t="s">
        <v>6080</v>
      </c>
      <c r="C234" s="41" t="s">
        <v>6560</v>
      </c>
      <c r="D234" s="41">
        <v>34.200000000000003</v>
      </c>
      <c r="E234" s="41">
        <v>34.200000000000003</v>
      </c>
      <c r="F234" s="53">
        <v>0.77</v>
      </c>
      <c r="G234" s="41">
        <v>97</v>
      </c>
      <c r="H234" s="41">
        <v>100</v>
      </c>
      <c r="I234" s="41">
        <v>16469</v>
      </c>
      <c r="K234" s="41" t="s">
        <v>6253</v>
      </c>
      <c r="L234" s="41" t="s">
        <v>5574</v>
      </c>
      <c r="M234" s="41" t="str">
        <f>HYPERLINK("https://www.ncbi.nlm.nih.gov/nucleotide/OQ554115.1?report=genbank&amp;log$=nucltop&amp;blast_rank=229&amp;RID=K3RYFBUB014","OQ554115.1")</f>
        <v>OQ554115.1</v>
      </c>
      <c r="N234" s="41">
        <v>36.200000000000003</v>
      </c>
      <c r="O234" s="41">
        <v>36.200000000000003</v>
      </c>
      <c r="P234" s="53">
        <v>0.95</v>
      </c>
      <c r="Q234" s="41">
        <v>25</v>
      </c>
      <c r="R234" s="41">
        <v>100</v>
      </c>
      <c r="S234" s="41">
        <v>16386</v>
      </c>
      <c r="U234" s="38" t="s">
        <v>6254</v>
      </c>
      <c r="V234" s="38" t="s">
        <v>3779</v>
      </c>
      <c r="W234" s="38" t="str">
        <f>HYPERLINK("https://www.ncbi.nlm.nih.gov/nucleotide/OZ030370.2?report=genbank&amp;log$=nucltop&amp;blast_rank=229&amp;RID=K3S1J64G014","OZ030370.2")</f>
        <v>OZ030370.2</v>
      </c>
      <c r="X234" s="38">
        <v>34.200000000000003</v>
      </c>
      <c r="Y234" s="38">
        <v>34.200000000000003</v>
      </c>
      <c r="Z234" s="55">
        <v>0.61</v>
      </c>
      <c r="AA234" s="38">
        <v>291</v>
      </c>
      <c r="AB234" s="38">
        <v>100</v>
      </c>
      <c r="AC234" s="38">
        <v>38782471</v>
      </c>
    </row>
    <row r="235" spans="1:29" x14ac:dyDescent="0.15">
      <c r="A235" s="41" t="s">
        <v>6255</v>
      </c>
      <c r="B235" s="41" t="s">
        <v>4177</v>
      </c>
      <c r="C235" s="41" t="s">
        <v>6561</v>
      </c>
      <c r="D235" s="41">
        <v>34.200000000000003</v>
      </c>
      <c r="E235" s="41">
        <v>34.200000000000003</v>
      </c>
      <c r="F235" s="53">
        <v>0.77</v>
      </c>
      <c r="G235" s="41">
        <v>97</v>
      </c>
      <c r="H235" s="41">
        <v>100</v>
      </c>
      <c r="I235" s="41">
        <v>6604190</v>
      </c>
      <c r="K235" s="41" t="s">
        <v>6256</v>
      </c>
      <c r="L235" s="41" t="s">
        <v>5574</v>
      </c>
      <c r="M235" s="41" t="str">
        <f>HYPERLINK("https://www.ncbi.nlm.nih.gov/nucleotide/MW316267.1?report=genbank&amp;log$=nucltop&amp;blast_rank=230&amp;RID=K3RYFBUB014","MW316267.1")</f>
        <v>MW316267.1</v>
      </c>
      <c r="N235" s="41">
        <v>36.200000000000003</v>
      </c>
      <c r="O235" s="41">
        <v>36.200000000000003</v>
      </c>
      <c r="P235" s="53">
        <v>0.95</v>
      </c>
      <c r="Q235" s="41">
        <v>25</v>
      </c>
      <c r="R235" s="41">
        <v>100</v>
      </c>
      <c r="S235" s="41">
        <v>16385</v>
      </c>
      <c r="U235" s="38" t="s">
        <v>6257</v>
      </c>
      <c r="V235" s="38" t="s">
        <v>4048</v>
      </c>
      <c r="W235" s="38" t="str">
        <f>HYPERLINK("https://www.ncbi.nlm.nih.gov/nucleotide/OZ310768.1?report=genbank&amp;log$=nucltop&amp;blast_rank=230&amp;RID=K3S1J64G014","OZ310768.1")</f>
        <v>OZ310768.1</v>
      </c>
      <c r="X235" s="38">
        <v>34.200000000000003</v>
      </c>
      <c r="Y235" s="38">
        <v>34.200000000000003</v>
      </c>
      <c r="Z235" s="55">
        <v>0.75</v>
      </c>
      <c r="AA235" s="38">
        <v>291</v>
      </c>
      <c r="AB235" s="38">
        <v>95.24</v>
      </c>
      <c r="AC235" s="38">
        <v>22122211</v>
      </c>
    </row>
    <row r="236" spans="1:29" x14ac:dyDescent="0.15">
      <c r="A236" s="41" t="s">
        <v>6258</v>
      </c>
      <c r="B236" s="41" t="s">
        <v>6107</v>
      </c>
      <c r="C236" s="41" t="s">
        <v>6562</v>
      </c>
      <c r="D236" s="41">
        <v>34.200000000000003</v>
      </c>
      <c r="E236" s="41">
        <v>34.200000000000003</v>
      </c>
      <c r="F236" s="53">
        <v>0.77</v>
      </c>
      <c r="G236" s="41">
        <v>97</v>
      </c>
      <c r="H236" s="41">
        <v>100</v>
      </c>
      <c r="I236" s="41">
        <v>4512651</v>
      </c>
      <c r="K236" s="41" t="s">
        <v>6259</v>
      </c>
      <c r="L236" s="41" t="s">
        <v>5574</v>
      </c>
      <c r="M236" s="41" t="str">
        <f>HYPERLINK("https://www.ncbi.nlm.nih.gov/nucleotide/OQ554151.1?report=genbank&amp;log$=nucltop&amp;blast_rank=231&amp;RID=K3RYFBUB014","OQ554151.1")</f>
        <v>OQ554151.1</v>
      </c>
      <c r="N236" s="41">
        <v>36.200000000000003</v>
      </c>
      <c r="O236" s="41">
        <v>36.200000000000003</v>
      </c>
      <c r="P236" s="53">
        <v>0.95</v>
      </c>
      <c r="Q236" s="41">
        <v>25</v>
      </c>
      <c r="R236" s="41">
        <v>100</v>
      </c>
      <c r="S236" s="41">
        <v>16386</v>
      </c>
      <c r="U236" s="38" t="s">
        <v>6260</v>
      </c>
      <c r="V236" s="38" t="s">
        <v>6261</v>
      </c>
      <c r="W236" s="38" t="str">
        <f>HYPERLINK("https://www.ncbi.nlm.nih.gov/nucleotide/XM_073547081.1?report=genbank&amp;log$=nucltop&amp;blast_rank=231&amp;RID=K3S1J64G014","XM_073547081.1")</f>
        <v>XM_073547081.1</v>
      </c>
      <c r="X236" s="38">
        <v>34.200000000000003</v>
      </c>
      <c r="Y236" s="38">
        <v>34.200000000000003</v>
      </c>
      <c r="Z236" s="55">
        <v>0.61</v>
      </c>
      <c r="AA236" s="38">
        <v>291</v>
      </c>
      <c r="AB236" s="38">
        <v>100</v>
      </c>
      <c r="AC236" s="38">
        <v>10728</v>
      </c>
    </row>
    <row r="237" spans="1:29" x14ac:dyDescent="0.15">
      <c r="A237" s="41" t="s">
        <v>5772</v>
      </c>
      <c r="B237" s="41" t="s">
        <v>5773</v>
      </c>
      <c r="C237" s="41" t="s">
        <v>6563</v>
      </c>
      <c r="D237" s="41">
        <v>34.200000000000003</v>
      </c>
      <c r="E237" s="41">
        <v>34.200000000000003</v>
      </c>
      <c r="F237" s="53">
        <v>0.77</v>
      </c>
      <c r="G237" s="41">
        <v>97</v>
      </c>
      <c r="H237" s="41">
        <v>100</v>
      </c>
      <c r="I237" s="41">
        <v>16466</v>
      </c>
      <c r="K237" s="41" t="s">
        <v>6262</v>
      </c>
      <c r="L237" s="41" t="s">
        <v>5574</v>
      </c>
      <c r="M237" s="41" t="str">
        <f>HYPERLINK("https://www.ncbi.nlm.nih.gov/nucleotide/OQ554153.1?report=genbank&amp;log$=nucltop&amp;blast_rank=232&amp;RID=K3RYFBUB014","OQ554153.1")</f>
        <v>OQ554153.1</v>
      </c>
      <c r="N237" s="41">
        <v>36.200000000000003</v>
      </c>
      <c r="O237" s="41">
        <v>36.200000000000003</v>
      </c>
      <c r="P237" s="53">
        <v>0.95</v>
      </c>
      <c r="Q237" s="41">
        <v>25</v>
      </c>
      <c r="R237" s="41">
        <v>100</v>
      </c>
      <c r="S237" s="41">
        <v>16387</v>
      </c>
      <c r="U237" s="38" t="s">
        <v>6263</v>
      </c>
      <c r="V237" s="38" t="s">
        <v>4635</v>
      </c>
      <c r="W237" s="38" t="str">
        <f>HYPERLINK("https://www.ncbi.nlm.nih.gov/nucleotide/OZ291596.1?report=genbank&amp;log$=nucltop&amp;blast_rank=232&amp;RID=K3S1J64G014","OZ291596.1")</f>
        <v>OZ291596.1</v>
      </c>
      <c r="X237" s="38">
        <v>34.200000000000003</v>
      </c>
      <c r="Y237" s="38">
        <v>34.200000000000003</v>
      </c>
      <c r="Z237" s="55">
        <v>0.61</v>
      </c>
      <c r="AA237" s="38">
        <v>291</v>
      </c>
      <c r="AB237" s="38">
        <v>100</v>
      </c>
      <c r="AC237" s="38">
        <v>46778043</v>
      </c>
    </row>
    <row r="238" spans="1:29" x14ac:dyDescent="0.15">
      <c r="A238" s="41" t="s">
        <v>6264</v>
      </c>
      <c r="B238" s="41" t="s">
        <v>6055</v>
      </c>
      <c r="C238" s="41" t="s">
        <v>6564</v>
      </c>
      <c r="D238" s="41">
        <v>34.200000000000003</v>
      </c>
      <c r="E238" s="41">
        <v>34.200000000000003</v>
      </c>
      <c r="F238" s="53">
        <v>0.77</v>
      </c>
      <c r="G238" s="41">
        <v>97</v>
      </c>
      <c r="H238" s="41">
        <v>100</v>
      </c>
      <c r="I238" s="41">
        <v>17241</v>
      </c>
      <c r="K238" s="41" t="s">
        <v>6265</v>
      </c>
      <c r="L238" s="41" t="s">
        <v>5574</v>
      </c>
      <c r="M238" s="41" t="str">
        <f>HYPERLINK("https://www.ncbi.nlm.nih.gov/nucleotide/MW316234.1?report=genbank&amp;log$=nucltop&amp;blast_rank=233&amp;RID=K3RYFBUB014","MW316234.1")</f>
        <v>MW316234.1</v>
      </c>
      <c r="N238" s="41">
        <v>36.200000000000003</v>
      </c>
      <c r="O238" s="41">
        <v>36.200000000000003</v>
      </c>
      <c r="P238" s="53">
        <v>0.95</v>
      </c>
      <c r="Q238" s="41">
        <v>25</v>
      </c>
      <c r="R238" s="41">
        <v>100</v>
      </c>
      <c r="S238" s="41">
        <v>16385</v>
      </c>
      <c r="U238" s="38" t="s">
        <v>6266</v>
      </c>
      <c r="V238" s="38" t="s">
        <v>6267</v>
      </c>
      <c r="W238" s="38" t="str">
        <f>HYPERLINK("https://www.ncbi.nlm.nih.gov/nucleotide/OZ238772.1?report=genbank&amp;log$=nucltop&amp;blast_rank=233&amp;RID=K3S1J64G014","OZ238772.1")</f>
        <v>OZ238772.1</v>
      </c>
      <c r="X238" s="38">
        <v>34.200000000000003</v>
      </c>
      <c r="Y238" s="38">
        <v>34.200000000000003</v>
      </c>
      <c r="Z238" s="55">
        <v>0.75</v>
      </c>
      <c r="AA238" s="38">
        <v>291</v>
      </c>
      <c r="AB238" s="38">
        <v>95.24</v>
      </c>
      <c r="AC238" s="38">
        <v>37189634</v>
      </c>
    </row>
    <row r="239" spans="1:29" x14ac:dyDescent="0.15">
      <c r="A239" s="41" t="s">
        <v>6268</v>
      </c>
      <c r="B239" s="41" t="s">
        <v>6080</v>
      </c>
      <c r="C239" s="41" t="s">
        <v>6565</v>
      </c>
      <c r="D239" s="41">
        <v>34.200000000000003</v>
      </c>
      <c r="E239" s="41">
        <v>34.200000000000003</v>
      </c>
      <c r="F239" s="53">
        <v>0.77</v>
      </c>
      <c r="G239" s="41">
        <v>97</v>
      </c>
      <c r="H239" s="41">
        <v>100</v>
      </c>
      <c r="I239" s="41">
        <v>16469</v>
      </c>
      <c r="K239" s="41" t="s">
        <v>6269</v>
      </c>
      <c r="L239" s="41" t="s">
        <v>5574</v>
      </c>
      <c r="M239" s="41" t="str">
        <f>HYPERLINK("https://www.ncbi.nlm.nih.gov/nucleotide/OQ554156.1?report=genbank&amp;log$=nucltop&amp;blast_rank=234&amp;RID=K3RYFBUB014","OQ554156.1")</f>
        <v>OQ554156.1</v>
      </c>
      <c r="N239" s="41">
        <v>36.200000000000003</v>
      </c>
      <c r="O239" s="41">
        <v>36.200000000000003</v>
      </c>
      <c r="P239" s="53">
        <v>0.95</v>
      </c>
      <c r="Q239" s="41">
        <v>25</v>
      </c>
      <c r="R239" s="41">
        <v>100</v>
      </c>
      <c r="S239" s="41">
        <v>16386</v>
      </c>
      <c r="U239" s="38" t="s">
        <v>6270</v>
      </c>
      <c r="V239" s="38" t="s">
        <v>4172</v>
      </c>
      <c r="W239" s="38" t="str">
        <f>HYPERLINK("https://www.ncbi.nlm.nih.gov/nucleotide/OZ290788.1?report=genbank&amp;log$=nucltop&amp;blast_rank=234&amp;RID=K3S1J64G014","OZ290788.1")</f>
        <v>OZ290788.1</v>
      </c>
      <c r="X239" s="38">
        <v>34.200000000000003</v>
      </c>
      <c r="Y239" s="38">
        <v>34.200000000000003</v>
      </c>
      <c r="Z239" s="55">
        <v>0.61</v>
      </c>
      <c r="AA239" s="38">
        <v>291</v>
      </c>
      <c r="AB239" s="38">
        <v>100</v>
      </c>
      <c r="AC239" s="38">
        <v>44959807</v>
      </c>
    </row>
    <row r="240" spans="1:29" x14ac:dyDescent="0.15">
      <c r="A240" s="57" t="s">
        <v>6271</v>
      </c>
      <c r="B240" s="57" t="s">
        <v>69</v>
      </c>
      <c r="C240" s="41" t="s">
        <v>6566</v>
      </c>
      <c r="D240" s="41">
        <v>34.200000000000003</v>
      </c>
      <c r="E240" s="41">
        <v>34.200000000000003</v>
      </c>
      <c r="F240" s="53">
        <v>0.95</v>
      </c>
      <c r="G240" s="41">
        <v>97</v>
      </c>
      <c r="H240" s="41">
        <v>95.24</v>
      </c>
      <c r="I240" s="41">
        <v>975</v>
      </c>
      <c r="K240" s="41" t="s">
        <v>6272</v>
      </c>
      <c r="L240" s="41" t="s">
        <v>6273</v>
      </c>
      <c r="M240" s="41" t="str">
        <f>HYPERLINK("https://www.ncbi.nlm.nih.gov/nucleotide/NC_063943.1?report=genbank&amp;log$=nucltop&amp;blast_rank=235&amp;RID=K3RYFBUB014","NC_063943.1")</f>
        <v>NC_063943.1</v>
      </c>
      <c r="N240" s="41">
        <v>36.200000000000003</v>
      </c>
      <c r="O240" s="41">
        <v>36.200000000000003</v>
      </c>
      <c r="P240" s="53">
        <v>0.95</v>
      </c>
      <c r="Q240" s="41">
        <v>25</v>
      </c>
      <c r="R240" s="41">
        <v>100</v>
      </c>
      <c r="S240" s="41">
        <v>16697</v>
      </c>
      <c r="U240" s="38" t="s">
        <v>6274</v>
      </c>
      <c r="V240" s="38" t="s">
        <v>6275</v>
      </c>
      <c r="W240" s="38" t="str">
        <f>HYPERLINK("https://www.ncbi.nlm.nih.gov/nucleotide/OZ295842.1?report=genbank&amp;log$=nucltop&amp;blast_rank=235&amp;RID=K3S1J64G014","OZ295842.1")</f>
        <v>OZ295842.1</v>
      </c>
      <c r="X240" s="38">
        <v>34.200000000000003</v>
      </c>
      <c r="Y240" s="38">
        <v>68.400000000000006</v>
      </c>
      <c r="Z240" s="55">
        <v>0.61</v>
      </c>
      <c r="AA240" s="38">
        <v>291</v>
      </c>
      <c r="AB240" s="38">
        <v>100</v>
      </c>
      <c r="AC240" s="38">
        <v>35444730</v>
      </c>
    </row>
    <row r="241" spans="1:29" x14ac:dyDescent="0.15">
      <c r="A241" s="41" t="s">
        <v>6276</v>
      </c>
      <c r="B241" s="41" t="s">
        <v>2918</v>
      </c>
      <c r="C241" s="41" t="s">
        <v>6567</v>
      </c>
      <c r="D241" s="41">
        <v>34.200000000000003</v>
      </c>
      <c r="E241" s="41">
        <v>34.200000000000003</v>
      </c>
      <c r="F241" s="53">
        <v>0.77</v>
      </c>
      <c r="G241" s="41">
        <v>97</v>
      </c>
      <c r="H241" s="41">
        <v>100</v>
      </c>
      <c r="I241" s="41">
        <v>7486</v>
      </c>
      <c r="K241" s="41" t="s">
        <v>6277</v>
      </c>
      <c r="L241" s="41" t="s">
        <v>5574</v>
      </c>
      <c r="M241" s="41" t="str">
        <f>HYPERLINK("https://www.ncbi.nlm.nih.gov/nucleotide/OQ554068.1?report=genbank&amp;log$=nucltop&amp;blast_rank=236&amp;RID=K3RYFBUB014","OQ554068.1")</f>
        <v>OQ554068.1</v>
      </c>
      <c r="N241" s="41">
        <v>36.200000000000003</v>
      </c>
      <c r="O241" s="41">
        <v>36.200000000000003</v>
      </c>
      <c r="P241" s="53">
        <v>0.95</v>
      </c>
      <c r="Q241" s="41">
        <v>25</v>
      </c>
      <c r="R241" s="41">
        <v>100</v>
      </c>
      <c r="S241" s="41">
        <v>16387</v>
      </c>
      <c r="U241" s="38" t="s">
        <v>6278</v>
      </c>
      <c r="V241" s="38" t="s">
        <v>4172</v>
      </c>
      <c r="W241" s="38" t="str">
        <f>HYPERLINK("https://www.ncbi.nlm.nih.gov/nucleotide/OZ291543.1?report=genbank&amp;log$=nucltop&amp;blast_rank=236&amp;RID=K3S1J64G014","OZ291543.1")</f>
        <v>OZ291543.1</v>
      </c>
      <c r="X241" s="38">
        <v>34.200000000000003</v>
      </c>
      <c r="Y241" s="38">
        <v>34.200000000000003</v>
      </c>
      <c r="Z241" s="55">
        <v>0.61</v>
      </c>
      <c r="AA241" s="38">
        <v>291</v>
      </c>
      <c r="AB241" s="38">
        <v>100</v>
      </c>
      <c r="AC241" s="38">
        <v>52027172</v>
      </c>
    </row>
    <row r="242" spans="1:29" x14ac:dyDescent="0.15">
      <c r="A242" s="41" t="s">
        <v>6279</v>
      </c>
      <c r="B242" s="41" t="s">
        <v>6280</v>
      </c>
      <c r="C242" s="41" t="s">
        <v>6568</v>
      </c>
      <c r="D242" s="41">
        <v>34.200000000000003</v>
      </c>
      <c r="E242" s="41">
        <v>34.200000000000003</v>
      </c>
      <c r="F242" s="53">
        <v>0.77</v>
      </c>
      <c r="G242" s="41">
        <v>97</v>
      </c>
      <c r="H242" s="41">
        <v>100</v>
      </c>
      <c r="I242" s="41">
        <v>2453</v>
      </c>
      <c r="K242" s="41" t="s">
        <v>6281</v>
      </c>
      <c r="L242" s="41" t="s">
        <v>5574</v>
      </c>
      <c r="M242" s="41" t="str">
        <f>HYPERLINK("https://www.ncbi.nlm.nih.gov/nucleotide/OQ554236.1?report=genbank&amp;log$=nucltop&amp;blast_rank=237&amp;RID=K3RYFBUB014","OQ554236.1")</f>
        <v>OQ554236.1</v>
      </c>
      <c r="N242" s="41">
        <v>36.200000000000003</v>
      </c>
      <c r="O242" s="41">
        <v>36.200000000000003</v>
      </c>
      <c r="P242" s="53">
        <v>0.95</v>
      </c>
      <c r="Q242" s="41">
        <v>25</v>
      </c>
      <c r="R242" s="41">
        <v>100</v>
      </c>
      <c r="S242" s="41">
        <v>16386</v>
      </c>
      <c r="U242" s="38" t="s">
        <v>6282</v>
      </c>
      <c r="V242" s="38" t="s">
        <v>6283</v>
      </c>
      <c r="W242" s="38" t="str">
        <f>HYPERLINK("https://www.ncbi.nlm.nih.gov/nucleotide/OZ228784.1?report=genbank&amp;log$=nucltop&amp;blast_rank=237&amp;RID=K3S1J64G014","OZ228784.1")</f>
        <v>OZ228784.1</v>
      </c>
      <c r="X242" s="38">
        <v>34.200000000000003</v>
      </c>
      <c r="Y242" s="38">
        <v>34.200000000000003</v>
      </c>
      <c r="Z242" s="55">
        <v>0.61</v>
      </c>
      <c r="AA242" s="38">
        <v>291</v>
      </c>
      <c r="AB242" s="38">
        <v>100</v>
      </c>
      <c r="AC242" s="38">
        <v>73462627</v>
      </c>
    </row>
    <row r="243" spans="1:29" x14ac:dyDescent="0.15">
      <c r="A243" s="41" t="s">
        <v>6284</v>
      </c>
      <c r="B243" s="41" t="s">
        <v>6285</v>
      </c>
      <c r="C243" s="41" t="s">
        <v>6569</v>
      </c>
      <c r="D243" s="41">
        <v>34.200000000000003</v>
      </c>
      <c r="E243" s="41">
        <v>34.200000000000003</v>
      </c>
      <c r="F243" s="53">
        <v>0.77</v>
      </c>
      <c r="G243" s="41">
        <v>97</v>
      </c>
      <c r="H243" s="41">
        <v>100</v>
      </c>
      <c r="I243" s="41">
        <v>16772</v>
      </c>
      <c r="K243" s="41" t="s">
        <v>6286</v>
      </c>
      <c r="L243" s="41" t="s">
        <v>5574</v>
      </c>
      <c r="M243" s="41" t="str">
        <f>HYPERLINK("https://www.ncbi.nlm.nih.gov/nucleotide/OQ554314.1?report=genbank&amp;log$=nucltop&amp;blast_rank=238&amp;RID=K3RYFBUB014","OQ554314.1")</f>
        <v>OQ554314.1</v>
      </c>
      <c r="N243" s="41">
        <v>36.200000000000003</v>
      </c>
      <c r="O243" s="41">
        <v>36.200000000000003</v>
      </c>
      <c r="P243" s="53">
        <v>0.95</v>
      </c>
      <c r="Q243" s="41">
        <v>25</v>
      </c>
      <c r="R243" s="41">
        <v>100</v>
      </c>
      <c r="S243" s="41">
        <v>16386</v>
      </c>
      <c r="U243" s="38" t="s">
        <v>6287</v>
      </c>
      <c r="V243" s="38" t="s">
        <v>6261</v>
      </c>
      <c r="W243" s="38" t="str">
        <f>HYPERLINK("https://www.ncbi.nlm.nih.gov/nucleotide/XM_073547084.1?report=genbank&amp;log$=nucltop&amp;blast_rank=238&amp;RID=K3S1J64G014","XM_073547084.1")</f>
        <v>XM_073547084.1</v>
      </c>
      <c r="X243" s="38">
        <v>34.200000000000003</v>
      </c>
      <c r="Y243" s="38">
        <v>34.200000000000003</v>
      </c>
      <c r="Z243" s="55">
        <v>0.61</v>
      </c>
      <c r="AA243" s="38">
        <v>291</v>
      </c>
      <c r="AB243" s="38">
        <v>100</v>
      </c>
      <c r="AC243" s="38">
        <v>10494</v>
      </c>
    </row>
    <row r="244" spans="1:29" x14ac:dyDescent="0.15">
      <c r="A244" s="41" t="s">
        <v>6288</v>
      </c>
      <c r="B244" s="41" t="s">
        <v>6080</v>
      </c>
      <c r="C244" s="41" t="s">
        <v>6570</v>
      </c>
      <c r="D244" s="41">
        <v>34.200000000000003</v>
      </c>
      <c r="E244" s="41">
        <v>34.200000000000003</v>
      </c>
      <c r="F244" s="53">
        <v>0.77</v>
      </c>
      <c r="G244" s="41">
        <v>97</v>
      </c>
      <c r="H244" s="41">
        <v>100</v>
      </c>
      <c r="I244" s="41">
        <v>16469</v>
      </c>
      <c r="K244" s="41" t="s">
        <v>6289</v>
      </c>
      <c r="L244" s="41" t="s">
        <v>5574</v>
      </c>
      <c r="M244" s="41" t="str">
        <f>HYPERLINK("https://www.ncbi.nlm.nih.gov/nucleotide/OQ554119.1?report=genbank&amp;log$=nucltop&amp;blast_rank=239&amp;RID=K3RYFBUB014","OQ554119.1")</f>
        <v>OQ554119.1</v>
      </c>
      <c r="N244" s="41">
        <v>36.200000000000003</v>
      </c>
      <c r="O244" s="41">
        <v>36.200000000000003</v>
      </c>
      <c r="P244" s="53">
        <v>0.95</v>
      </c>
      <c r="Q244" s="41">
        <v>25</v>
      </c>
      <c r="R244" s="41">
        <v>100</v>
      </c>
      <c r="S244" s="41">
        <v>16386</v>
      </c>
      <c r="U244" s="38" t="s">
        <v>6290</v>
      </c>
      <c r="V244" s="38" t="s">
        <v>6261</v>
      </c>
      <c r="W244" s="38" t="str">
        <f>HYPERLINK("https://www.ncbi.nlm.nih.gov/nucleotide/XM_073547083.1?report=genbank&amp;log$=nucltop&amp;blast_rank=239&amp;RID=K3S1J64G014","XM_073547083.1")</f>
        <v>XM_073547083.1</v>
      </c>
      <c r="X244" s="38">
        <v>34.200000000000003</v>
      </c>
      <c r="Y244" s="38">
        <v>34.200000000000003</v>
      </c>
      <c r="Z244" s="55">
        <v>0.61</v>
      </c>
      <c r="AA244" s="38">
        <v>291</v>
      </c>
      <c r="AB244" s="38">
        <v>100</v>
      </c>
      <c r="AC244" s="38">
        <v>10641</v>
      </c>
    </row>
    <row r="245" spans="1:29" x14ac:dyDescent="0.15">
      <c r="A245" s="41" t="s">
        <v>6291</v>
      </c>
      <c r="B245" s="41" t="s">
        <v>6005</v>
      </c>
      <c r="C245" s="41" t="s">
        <v>6571</v>
      </c>
      <c r="D245" s="41">
        <v>34.200000000000003</v>
      </c>
      <c r="E245" s="41">
        <v>34.200000000000003</v>
      </c>
      <c r="F245" s="53">
        <v>0.95</v>
      </c>
      <c r="G245" s="41">
        <v>97</v>
      </c>
      <c r="H245" s="41">
        <v>95.24</v>
      </c>
      <c r="I245" s="41">
        <v>17042</v>
      </c>
      <c r="K245" s="41" t="s">
        <v>6292</v>
      </c>
      <c r="L245" s="41" t="s">
        <v>5574</v>
      </c>
      <c r="M245" s="41" t="str">
        <f>HYPERLINK("https://www.ncbi.nlm.nih.gov/nucleotide/OQ554055.1?report=genbank&amp;log$=nucltop&amp;blast_rank=240&amp;RID=K3RYFBUB014","OQ554055.1")</f>
        <v>OQ554055.1</v>
      </c>
      <c r="N245" s="41">
        <v>36.200000000000003</v>
      </c>
      <c r="O245" s="41">
        <v>36.200000000000003</v>
      </c>
      <c r="P245" s="53">
        <v>0.95</v>
      </c>
      <c r="Q245" s="41">
        <v>25</v>
      </c>
      <c r="R245" s="41">
        <v>100</v>
      </c>
      <c r="S245" s="41">
        <v>16386</v>
      </c>
      <c r="U245" s="38" t="s">
        <v>6293</v>
      </c>
      <c r="V245" s="38" t="s">
        <v>6294</v>
      </c>
      <c r="W245" s="38" t="str">
        <f>HYPERLINK("https://www.ncbi.nlm.nih.gov/nucleotide/OZ228661.1?report=genbank&amp;log$=nucltop&amp;blast_rank=240&amp;RID=K3S1J64G014","OZ228661.1")</f>
        <v>OZ228661.1</v>
      </c>
      <c r="X245" s="38">
        <v>34.200000000000003</v>
      </c>
      <c r="Y245" s="38">
        <v>34.200000000000003</v>
      </c>
      <c r="Z245" s="55">
        <v>0.61</v>
      </c>
      <c r="AA245" s="38">
        <v>291</v>
      </c>
      <c r="AB245" s="38">
        <v>100</v>
      </c>
      <c r="AC245" s="38">
        <v>52523812</v>
      </c>
    </row>
    <row r="246" spans="1:29" x14ac:dyDescent="0.15">
      <c r="A246" s="41" t="s">
        <v>6295</v>
      </c>
      <c r="B246" s="41" t="s">
        <v>6183</v>
      </c>
      <c r="C246" s="41" t="s">
        <v>6572</v>
      </c>
      <c r="D246" s="41">
        <v>34.200000000000003</v>
      </c>
      <c r="E246" s="41">
        <v>34.200000000000003</v>
      </c>
      <c r="F246" s="53">
        <v>0.77</v>
      </c>
      <c r="G246" s="41">
        <v>97</v>
      </c>
      <c r="H246" s="41">
        <v>100</v>
      </c>
      <c r="I246" s="41">
        <v>2503</v>
      </c>
      <c r="K246" s="41" t="s">
        <v>6296</v>
      </c>
      <c r="L246" s="41" t="s">
        <v>5574</v>
      </c>
      <c r="M246" s="41" t="str">
        <f>HYPERLINK("https://www.ncbi.nlm.nih.gov/nucleotide/OQ554036.1?report=genbank&amp;log$=nucltop&amp;blast_rank=241&amp;RID=K3RYFBUB014","OQ554036.1")</f>
        <v>OQ554036.1</v>
      </c>
      <c r="N246" s="41">
        <v>36.200000000000003</v>
      </c>
      <c r="O246" s="41">
        <v>36.200000000000003</v>
      </c>
      <c r="P246" s="53">
        <v>0.95</v>
      </c>
      <c r="Q246" s="41">
        <v>25</v>
      </c>
      <c r="R246" s="41">
        <v>100</v>
      </c>
      <c r="S246" s="41">
        <v>16387</v>
      </c>
      <c r="U246" s="38" t="s">
        <v>6297</v>
      </c>
      <c r="V246" s="38" t="s">
        <v>6298</v>
      </c>
      <c r="W246" s="38" t="str">
        <f>HYPERLINK("https://www.ncbi.nlm.nih.gov/nucleotide/XR_012095622.1?report=genbank&amp;log$=nucltop&amp;blast_rank=241&amp;RID=K3S1J64G014","XR_012095622.1")</f>
        <v>XR_012095622.1</v>
      </c>
      <c r="X246" s="38">
        <v>34.200000000000003</v>
      </c>
      <c r="Y246" s="38">
        <v>34.200000000000003</v>
      </c>
      <c r="Z246" s="55">
        <v>0.75</v>
      </c>
      <c r="AA246" s="38">
        <v>291</v>
      </c>
      <c r="AB246" s="38">
        <v>95.24</v>
      </c>
      <c r="AC246" s="38">
        <v>1412</v>
      </c>
    </row>
    <row r="247" spans="1:29" x14ac:dyDescent="0.15">
      <c r="A247" s="41" t="s">
        <v>6299</v>
      </c>
      <c r="B247" s="41" t="s">
        <v>4106</v>
      </c>
      <c r="C247" s="41" t="s">
        <v>6573</v>
      </c>
      <c r="D247" s="41">
        <v>34.200000000000003</v>
      </c>
      <c r="E247" s="41">
        <v>34.200000000000003</v>
      </c>
      <c r="F247" s="53">
        <v>0.77</v>
      </c>
      <c r="G247" s="41">
        <v>97</v>
      </c>
      <c r="H247" s="41">
        <v>100</v>
      </c>
      <c r="I247" s="41">
        <v>6279</v>
      </c>
      <c r="K247" s="41" t="s">
        <v>6300</v>
      </c>
      <c r="L247" s="41" t="s">
        <v>5574</v>
      </c>
      <c r="M247" s="41" t="str">
        <f>HYPERLINK("https://www.ncbi.nlm.nih.gov/nucleotide/OQ554176.1?report=genbank&amp;log$=nucltop&amp;blast_rank=242&amp;RID=K3RYFBUB014","OQ554176.1")</f>
        <v>OQ554176.1</v>
      </c>
      <c r="N247" s="41">
        <v>36.200000000000003</v>
      </c>
      <c r="O247" s="41">
        <v>36.200000000000003</v>
      </c>
      <c r="P247" s="53">
        <v>0.95</v>
      </c>
      <c r="Q247" s="41">
        <v>25</v>
      </c>
      <c r="R247" s="41">
        <v>100</v>
      </c>
      <c r="S247" s="41">
        <v>16387</v>
      </c>
      <c r="U247" s="38" t="s">
        <v>6301</v>
      </c>
      <c r="V247" s="38" t="s">
        <v>6261</v>
      </c>
      <c r="W247" s="38" t="str">
        <f>HYPERLINK("https://www.ncbi.nlm.nih.gov/nucleotide/XM_073547085.1?report=genbank&amp;log$=nucltop&amp;blast_rank=242&amp;RID=K3S1J64G014","XM_073547085.1")</f>
        <v>XM_073547085.1</v>
      </c>
      <c r="X247" s="38">
        <v>34.200000000000003</v>
      </c>
      <c r="Y247" s="38">
        <v>34.200000000000003</v>
      </c>
      <c r="Z247" s="55">
        <v>0.61</v>
      </c>
      <c r="AA247" s="38">
        <v>291</v>
      </c>
      <c r="AB247" s="38">
        <v>100</v>
      </c>
      <c r="AC247" s="38">
        <v>10382</v>
      </c>
    </row>
    <row r="248" spans="1:29" x14ac:dyDescent="0.15">
      <c r="A248" s="41" t="s">
        <v>6302</v>
      </c>
      <c r="B248" s="41" t="s">
        <v>5773</v>
      </c>
      <c r="C248" s="41" t="s">
        <v>6574</v>
      </c>
      <c r="D248" s="41">
        <v>34.200000000000003</v>
      </c>
      <c r="E248" s="41">
        <v>34.200000000000003</v>
      </c>
      <c r="F248" s="53">
        <v>0.77</v>
      </c>
      <c r="G248" s="41">
        <v>97</v>
      </c>
      <c r="H248" s="41">
        <v>100</v>
      </c>
      <c r="I248" s="41">
        <v>16465</v>
      </c>
      <c r="K248" s="41" t="s">
        <v>6303</v>
      </c>
      <c r="L248" s="41" t="s">
        <v>5574</v>
      </c>
      <c r="M248" s="41" t="str">
        <f>HYPERLINK("https://www.ncbi.nlm.nih.gov/nucleotide/OQ553990.1?report=genbank&amp;log$=nucltop&amp;blast_rank=243&amp;RID=K3RYFBUB014","OQ553990.1")</f>
        <v>OQ553990.1</v>
      </c>
      <c r="N248" s="41">
        <v>36.200000000000003</v>
      </c>
      <c r="O248" s="41">
        <v>36.200000000000003</v>
      </c>
      <c r="P248" s="53">
        <v>0.95</v>
      </c>
      <c r="Q248" s="41">
        <v>25</v>
      </c>
      <c r="R248" s="41">
        <v>100</v>
      </c>
      <c r="S248" s="41">
        <v>16386</v>
      </c>
      <c r="U248" s="38" t="s">
        <v>6304</v>
      </c>
      <c r="V248" s="38" t="s">
        <v>6305</v>
      </c>
      <c r="W248" s="38" t="str">
        <f>HYPERLINK("https://www.ncbi.nlm.nih.gov/nucleotide/XM_073593119.1?report=genbank&amp;log$=nucltop&amp;blast_rank=243&amp;RID=K3S1J64G014","XM_073593119.1")</f>
        <v>XM_073593119.1</v>
      </c>
      <c r="X248" s="38">
        <v>34.200000000000003</v>
      </c>
      <c r="Y248" s="38">
        <v>34.200000000000003</v>
      </c>
      <c r="Z248" s="55">
        <v>0.61</v>
      </c>
      <c r="AA248" s="38">
        <v>291</v>
      </c>
      <c r="AB248" s="38">
        <v>100</v>
      </c>
      <c r="AC248" s="38">
        <v>6109</v>
      </c>
    </row>
    <row r="249" spans="1:29" x14ac:dyDescent="0.15">
      <c r="A249" s="41" t="s">
        <v>6306</v>
      </c>
      <c r="B249" s="41" t="s">
        <v>6185</v>
      </c>
      <c r="C249" s="41" t="s">
        <v>6575</v>
      </c>
      <c r="D249" s="41">
        <v>34.200000000000003</v>
      </c>
      <c r="E249" s="41">
        <v>34.200000000000003</v>
      </c>
      <c r="F249" s="53">
        <v>0.77</v>
      </c>
      <c r="G249" s="41">
        <v>97</v>
      </c>
      <c r="H249" s="41">
        <v>100</v>
      </c>
      <c r="I249" s="41">
        <v>3749</v>
      </c>
      <c r="K249" s="41" t="s">
        <v>6307</v>
      </c>
      <c r="L249" s="41" t="s">
        <v>5574</v>
      </c>
      <c r="M249" s="41" t="str">
        <f>HYPERLINK("https://www.ncbi.nlm.nih.gov/nucleotide/MW316263.1?report=genbank&amp;log$=nucltop&amp;blast_rank=244&amp;RID=K3RYFBUB014","MW316263.1")</f>
        <v>MW316263.1</v>
      </c>
      <c r="N249" s="41">
        <v>36.200000000000003</v>
      </c>
      <c r="O249" s="41">
        <v>36.200000000000003</v>
      </c>
      <c r="P249" s="53">
        <v>0.95</v>
      </c>
      <c r="Q249" s="41">
        <v>25</v>
      </c>
      <c r="R249" s="41">
        <v>100</v>
      </c>
      <c r="S249" s="41">
        <v>16386</v>
      </c>
      <c r="U249" s="38" t="s">
        <v>6308</v>
      </c>
      <c r="V249" s="38" t="s">
        <v>6298</v>
      </c>
      <c r="W249" s="38" t="str">
        <f>HYPERLINK("https://www.ncbi.nlm.nih.gov/nucleotide/XR_012095619.1?report=genbank&amp;log$=nucltop&amp;blast_rank=244&amp;RID=K3S1J64G014","XR_012095619.1")</f>
        <v>XR_012095619.1</v>
      </c>
      <c r="X249" s="38">
        <v>34.200000000000003</v>
      </c>
      <c r="Y249" s="38">
        <v>34.200000000000003</v>
      </c>
      <c r="Z249" s="55">
        <v>0.75</v>
      </c>
      <c r="AA249" s="38">
        <v>291</v>
      </c>
      <c r="AB249" s="38">
        <v>95.24</v>
      </c>
      <c r="AC249" s="38">
        <v>1893</v>
      </c>
    </row>
    <row r="250" spans="1:29" x14ac:dyDescent="0.15">
      <c r="A250" s="41" t="s">
        <v>6309</v>
      </c>
      <c r="B250" s="41" t="s">
        <v>6080</v>
      </c>
      <c r="C250" s="41" t="s">
        <v>6576</v>
      </c>
      <c r="D250" s="41">
        <v>34.200000000000003</v>
      </c>
      <c r="E250" s="41">
        <v>34.200000000000003</v>
      </c>
      <c r="F250" s="53">
        <v>0.77</v>
      </c>
      <c r="G250" s="41">
        <v>97</v>
      </c>
      <c r="H250" s="41">
        <v>100</v>
      </c>
      <c r="I250" s="41">
        <v>16470</v>
      </c>
      <c r="K250" s="41" t="s">
        <v>6310</v>
      </c>
      <c r="L250" s="41" t="s">
        <v>5574</v>
      </c>
      <c r="M250" s="41" t="str">
        <f>HYPERLINK("https://www.ncbi.nlm.nih.gov/nucleotide/MW316219.1?report=genbank&amp;log$=nucltop&amp;blast_rank=245&amp;RID=K3RYFBUB014","MW316219.1")</f>
        <v>MW316219.1</v>
      </c>
      <c r="N250" s="41">
        <v>36.200000000000003</v>
      </c>
      <c r="O250" s="41">
        <v>36.200000000000003</v>
      </c>
      <c r="P250" s="53">
        <v>0.95</v>
      </c>
      <c r="Q250" s="41">
        <v>25</v>
      </c>
      <c r="R250" s="41">
        <v>100</v>
      </c>
      <c r="S250" s="41">
        <v>16384</v>
      </c>
      <c r="U250" s="38" t="s">
        <v>6311</v>
      </c>
      <c r="V250" s="38" t="s">
        <v>6305</v>
      </c>
      <c r="W250" s="38" t="str">
        <f>HYPERLINK("https://www.ncbi.nlm.nih.gov/nucleotide/XM_073593118.1?report=genbank&amp;log$=nucltop&amp;blast_rank=245&amp;RID=K3S1J64G014","XM_073593118.1")</f>
        <v>XM_073593118.1</v>
      </c>
      <c r="X250" s="38">
        <v>34.200000000000003</v>
      </c>
      <c r="Y250" s="38">
        <v>34.200000000000003</v>
      </c>
      <c r="Z250" s="55">
        <v>0.61</v>
      </c>
      <c r="AA250" s="38">
        <v>291</v>
      </c>
      <c r="AB250" s="38">
        <v>100</v>
      </c>
      <c r="AC250" s="38">
        <v>6124</v>
      </c>
    </row>
    <row r="251" spans="1:29" x14ac:dyDescent="0.15">
      <c r="A251" s="41" t="s">
        <v>6312</v>
      </c>
      <c r="B251" s="41" t="s">
        <v>5843</v>
      </c>
      <c r="C251" s="41" t="s">
        <v>6577</v>
      </c>
      <c r="D251" s="41">
        <v>34.200000000000003</v>
      </c>
      <c r="E251" s="41">
        <v>34.200000000000003</v>
      </c>
      <c r="F251" s="53">
        <v>0.77</v>
      </c>
      <c r="G251" s="41">
        <v>97</v>
      </c>
      <c r="H251" s="41">
        <v>100</v>
      </c>
      <c r="I251" s="41">
        <v>4461</v>
      </c>
      <c r="K251" s="41" t="s">
        <v>6313</v>
      </c>
      <c r="L251" s="41" t="s">
        <v>5574</v>
      </c>
      <c r="M251" s="41" t="str">
        <f>HYPERLINK("https://www.ncbi.nlm.nih.gov/nucleotide/OQ554062.1?report=genbank&amp;log$=nucltop&amp;blast_rank=246&amp;RID=K3RYFBUB014","OQ554062.1")</f>
        <v>OQ554062.1</v>
      </c>
      <c r="N251" s="41">
        <v>36.200000000000003</v>
      </c>
      <c r="O251" s="41">
        <v>36.200000000000003</v>
      </c>
      <c r="P251" s="53">
        <v>0.95</v>
      </c>
      <c r="Q251" s="41">
        <v>25</v>
      </c>
      <c r="R251" s="41">
        <v>100</v>
      </c>
      <c r="S251" s="41">
        <v>16386</v>
      </c>
      <c r="U251" s="38" t="s">
        <v>6278</v>
      </c>
      <c r="V251" s="38" t="s">
        <v>4172</v>
      </c>
      <c r="W251" s="38" t="str">
        <f>HYPERLINK("https://www.ncbi.nlm.nih.gov/nucleotide/OZ290784.1?report=genbank&amp;log$=nucltop&amp;blast_rank=246&amp;RID=K3S1J64G014","OZ290784.1")</f>
        <v>OZ290784.1</v>
      </c>
      <c r="X251" s="38">
        <v>34.200000000000003</v>
      </c>
      <c r="Y251" s="38">
        <v>34.200000000000003</v>
      </c>
      <c r="Z251" s="55">
        <v>0.61</v>
      </c>
      <c r="AA251" s="38">
        <v>291</v>
      </c>
      <c r="AB251" s="38">
        <v>100</v>
      </c>
      <c r="AC251" s="38">
        <v>51861926</v>
      </c>
    </row>
    <row r="252" spans="1:29" x14ac:dyDescent="0.15">
      <c r="A252" s="41" t="s">
        <v>6314</v>
      </c>
      <c r="B252" s="41" t="s">
        <v>6315</v>
      </c>
      <c r="C252" s="41" t="s">
        <v>6578</v>
      </c>
      <c r="D252" s="41">
        <v>34.200000000000003</v>
      </c>
      <c r="E252" s="41">
        <v>34.200000000000003</v>
      </c>
      <c r="F252" s="53">
        <v>0.77</v>
      </c>
      <c r="G252" s="41">
        <v>97</v>
      </c>
      <c r="H252" s="41">
        <v>100</v>
      </c>
      <c r="I252" s="41">
        <v>16624</v>
      </c>
      <c r="K252" s="41" t="s">
        <v>6316</v>
      </c>
      <c r="L252" s="41" t="s">
        <v>5574</v>
      </c>
      <c r="M252" s="41" t="str">
        <f>HYPERLINK("https://www.ncbi.nlm.nih.gov/nucleotide/OQ554323.1?report=genbank&amp;log$=nucltop&amp;blast_rank=247&amp;RID=K3RYFBUB014","OQ554323.1")</f>
        <v>OQ554323.1</v>
      </c>
      <c r="N252" s="41">
        <v>36.200000000000003</v>
      </c>
      <c r="O252" s="41">
        <v>36.200000000000003</v>
      </c>
      <c r="P252" s="53">
        <v>0.95</v>
      </c>
      <c r="Q252" s="41">
        <v>25</v>
      </c>
      <c r="R252" s="41">
        <v>100</v>
      </c>
      <c r="S252" s="41">
        <v>16386</v>
      </c>
      <c r="U252" s="38" t="s">
        <v>6317</v>
      </c>
      <c r="V252" s="38" t="s">
        <v>4177</v>
      </c>
      <c r="W252" s="38" t="str">
        <f>HYPERLINK("https://www.ncbi.nlm.nih.gov/nucleotide/OZ310726.1?report=genbank&amp;log$=nucltop&amp;blast_rank=247&amp;RID=K3S1J64G014","OZ310726.1")</f>
        <v>OZ310726.1</v>
      </c>
      <c r="X252" s="38">
        <v>34.200000000000003</v>
      </c>
      <c r="Y252" s="38">
        <v>34.200000000000003</v>
      </c>
      <c r="Z252" s="55">
        <v>0.61</v>
      </c>
      <c r="AA252" s="38">
        <v>291</v>
      </c>
      <c r="AB252" s="38">
        <v>100</v>
      </c>
      <c r="AC252" s="38">
        <v>85924815</v>
      </c>
    </row>
    <row r="253" spans="1:29" x14ac:dyDescent="0.15">
      <c r="A253" s="41" t="s">
        <v>3639</v>
      </c>
      <c r="B253" s="41" t="s">
        <v>3640</v>
      </c>
      <c r="C253" s="41" t="s">
        <v>6579</v>
      </c>
      <c r="D253" s="41">
        <v>34.200000000000003</v>
      </c>
      <c r="E253" s="41">
        <v>34.200000000000003</v>
      </c>
      <c r="F253" s="53">
        <v>0.77</v>
      </c>
      <c r="G253" s="41">
        <v>97</v>
      </c>
      <c r="H253" s="41">
        <v>100</v>
      </c>
      <c r="I253" s="41">
        <v>96089878</v>
      </c>
      <c r="K253" s="41" t="s">
        <v>6318</v>
      </c>
      <c r="L253" s="41" t="s">
        <v>5574</v>
      </c>
      <c r="M253" s="41" t="str">
        <f>HYPERLINK("https://www.ncbi.nlm.nih.gov/nucleotide/OQ554070.1?report=genbank&amp;log$=nucltop&amp;blast_rank=248&amp;RID=K3RYFBUB014","OQ554070.1")</f>
        <v>OQ554070.1</v>
      </c>
      <c r="N253" s="41">
        <v>36.200000000000003</v>
      </c>
      <c r="O253" s="41">
        <v>36.200000000000003</v>
      </c>
      <c r="P253" s="53">
        <v>0.95</v>
      </c>
      <c r="Q253" s="41">
        <v>25</v>
      </c>
      <c r="R253" s="41">
        <v>100</v>
      </c>
      <c r="S253" s="41">
        <v>16386</v>
      </c>
      <c r="U253" s="38" t="s">
        <v>6319</v>
      </c>
      <c r="V253" s="38" t="s">
        <v>6294</v>
      </c>
      <c r="W253" s="38" t="str">
        <f>HYPERLINK("https://www.ncbi.nlm.nih.gov/nucleotide/OZ228663.1?report=genbank&amp;log$=nucltop&amp;blast_rank=248&amp;RID=K3S1J64G014","OZ228663.1")</f>
        <v>OZ228663.1</v>
      </c>
      <c r="X253" s="38">
        <v>34.200000000000003</v>
      </c>
      <c r="Y253" s="38">
        <v>34.200000000000003</v>
      </c>
      <c r="Z253" s="55">
        <v>0.61</v>
      </c>
      <c r="AA253" s="38">
        <v>291</v>
      </c>
      <c r="AB253" s="38">
        <v>100</v>
      </c>
      <c r="AC253" s="38">
        <v>35559242</v>
      </c>
    </row>
    <row r="254" spans="1:29" x14ac:dyDescent="0.15">
      <c r="A254" s="41" t="s">
        <v>6320</v>
      </c>
      <c r="B254" s="41" t="s">
        <v>6321</v>
      </c>
      <c r="C254" s="41" t="s">
        <v>6580</v>
      </c>
      <c r="D254" s="41">
        <v>34.200000000000003</v>
      </c>
      <c r="E254" s="41">
        <v>34.200000000000003</v>
      </c>
      <c r="F254" s="53">
        <v>0.95</v>
      </c>
      <c r="G254" s="41">
        <v>97</v>
      </c>
      <c r="H254" s="41">
        <v>95.24</v>
      </c>
      <c r="I254" s="41">
        <v>16597</v>
      </c>
      <c r="K254" s="41" t="s">
        <v>6322</v>
      </c>
      <c r="L254" s="41" t="s">
        <v>5574</v>
      </c>
      <c r="M254" s="41" t="str">
        <f>HYPERLINK("https://www.ncbi.nlm.nih.gov/nucleotide/OQ554051.1?report=genbank&amp;log$=nucltop&amp;blast_rank=249&amp;RID=K3RYFBUB014","OQ554051.1")</f>
        <v>OQ554051.1</v>
      </c>
      <c r="N254" s="41">
        <v>36.200000000000003</v>
      </c>
      <c r="O254" s="41">
        <v>36.200000000000003</v>
      </c>
      <c r="P254" s="53">
        <v>0.95</v>
      </c>
      <c r="Q254" s="41">
        <v>25</v>
      </c>
      <c r="R254" s="41">
        <v>100</v>
      </c>
      <c r="S254" s="41">
        <v>16387</v>
      </c>
      <c r="U254" s="38" t="s">
        <v>6323</v>
      </c>
      <c r="V254" s="38" t="s">
        <v>6324</v>
      </c>
      <c r="W254" s="38" t="str">
        <f>HYPERLINK("https://www.ncbi.nlm.nih.gov/nucleotide/OZ296748.1?report=genbank&amp;log$=nucltop&amp;blast_rank=249&amp;RID=K3S1J64G014","OZ296748.1")</f>
        <v>OZ296748.1</v>
      </c>
      <c r="X254" s="38">
        <v>34.200000000000003</v>
      </c>
      <c r="Y254" s="38">
        <v>34.200000000000003</v>
      </c>
      <c r="Z254" s="55">
        <v>0.61</v>
      </c>
      <c r="AA254" s="38">
        <v>291</v>
      </c>
      <c r="AB254" s="38">
        <v>100</v>
      </c>
      <c r="AC254" s="38">
        <v>77266637</v>
      </c>
    </row>
    <row r="255" spans="1:29" x14ac:dyDescent="0.15">
      <c r="A255" s="41" t="s">
        <v>6325</v>
      </c>
      <c r="B255" s="41" t="s">
        <v>3223</v>
      </c>
      <c r="C255" s="41" t="s">
        <v>6581</v>
      </c>
      <c r="D255" s="41">
        <v>34.200000000000003</v>
      </c>
      <c r="E255" s="41">
        <v>34.200000000000003</v>
      </c>
      <c r="F255" s="53">
        <v>0.77</v>
      </c>
      <c r="G255" s="41">
        <v>97</v>
      </c>
      <c r="H255" s="41">
        <v>100</v>
      </c>
      <c r="I255" s="41">
        <v>31916670</v>
      </c>
      <c r="K255" s="41" t="s">
        <v>6326</v>
      </c>
      <c r="L255" s="41" t="s">
        <v>5574</v>
      </c>
      <c r="M255" s="41" t="str">
        <f>HYPERLINK("https://www.ncbi.nlm.nih.gov/nucleotide/MW316247.1?report=genbank&amp;log$=nucltop&amp;blast_rank=250&amp;RID=K3RYFBUB014","MW316247.1")</f>
        <v>MW316247.1</v>
      </c>
      <c r="N255" s="41">
        <v>36.200000000000003</v>
      </c>
      <c r="O255" s="41">
        <v>36.200000000000003</v>
      </c>
      <c r="P255" s="53">
        <v>0.95</v>
      </c>
      <c r="Q255" s="41">
        <v>25</v>
      </c>
      <c r="R255" s="41">
        <v>100</v>
      </c>
      <c r="S255" s="41">
        <v>16385</v>
      </c>
      <c r="U255" s="38" t="s">
        <v>6327</v>
      </c>
      <c r="V255" s="38" t="s">
        <v>6328</v>
      </c>
      <c r="W255" s="38" t="str">
        <f>HYPERLINK("https://www.ncbi.nlm.nih.gov/nucleotide/OZ246009.1?report=genbank&amp;log$=nucltop&amp;blast_rank=250&amp;RID=K3S1J64G014","OZ246009.1")</f>
        <v>OZ246009.1</v>
      </c>
      <c r="X255" s="38">
        <v>34.200000000000003</v>
      </c>
      <c r="Y255" s="38">
        <v>34.200000000000003</v>
      </c>
      <c r="Z255" s="55">
        <v>0.61</v>
      </c>
      <c r="AA255" s="38">
        <v>291</v>
      </c>
      <c r="AB255" s="38">
        <v>100</v>
      </c>
      <c r="AC255" s="38">
        <v>2250792</v>
      </c>
    </row>
    <row r="259" spans="1:1" x14ac:dyDescent="0.15">
      <c r="A259" s="41" t="s">
        <v>6329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4E63-C604-C743-8EA1-1EC2E7CCD342}">
  <dimension ref="A1:AD853"/>
  <sheetViews>
    <sheetView zoomScale="80" zoomScaleNormal="80" workbookViewId="0"/>
  </sheetViews>
  <sheetFormatPr baseColWidth="10" defaultColWidth="11.5" defaultRowHeight="16" x14ac:dyDescent="0.2"/>
  <cols>
    <col min="1" max="1" width="20.83203125" customWidth="1"/>
    <col min="12" max="12" width="26.33203125" customWidth="1"/>
    <col min="23" max="23" width="26.33203125" customWidth="1"/>
  </cols>
  <sheetData>
    <row r="1" spans="1:30" s="41" customFormat="1" ht="14" x14ac:dyDescent="0.15">
      <c r="A1" s="38" t="s">
        <v>8023</v>
      </c>
    </row>
    <row r="2" spans="1:30" s="41" customFormat="1" ht="14" x14ac:dyDescent="0.15">
      <c r="A2" s="38"/>
    </row>
    <row r="3" spans="1:30" s="41" customFormat="1" ht="14" x14ac:dyDescent="0.15">
      <c r="A3" s="51" t="s">
        <v>4534</v>
      </c>
      <c r="K3" s="51" t="s">
        <v>4535</v>
      </c>
      <c r="U3" s="51" t="s">
        <v>4536</v>
      </c>
    </row>
    <row r="4" spans="1:30" s="41" customFormat="1" ht="14" x14ac:dyDescent="0.15">
      <c r="A4" s="51"/>
      <c r="K4" s="51"/>
      <c r="U4" s="51"/>
    </row>
    <row r="5" spans="1:30" x14ac:dyDescent="0.2">
      <c r="A5" s="35" t="s">
        <v>3499</v>
      </c>
      <c r="B5" s="35" t="s">
        <v>3500</v>
      </c>
      <c r="C5" s="35" t="s">
        <v>3507</v>
      </c>
      <c r="D5" s="35" t="s">
        <v>3501</v>
      </c>
      <c r="E5" s="35" t="s">
        <v>3502</v>
      </c>
      <c r="F5" s="35" t="s">
        <v>3503</v>
      </c>
      <c r="G5" s="35" t="s">
        <v>3504</v>
      </c>
      <c r="H5" s="35" t="s">
        <v>3505</v>
      </c>
      <c r="I5" s="35" t="s">
        <v>3506</v>
      </c>
      <c r="K5" s="35" t="s">
        <v>3499</v>
      </c>
      <c r="L5" s="35" t="s">
        <v>3500</v>
      </c>
      <c r="M5" s="35" t="s">
        <v>3507</v>
      </c>
      <c r="N5" s="35" t="s">
        <v>3501</v>
      </c>
      <c r="O5" s="35" t="s">
        <v>3502</v>
      </c>
      <c r="P5" s="35" t="s">
        <v>3503</v>
      </c>
      <c r="Q5" s="35" t="s">
        <v>3504</v>
      </c>
      <c r="R5" s="35" t="s">
        <v>3505</v>
      </c>
      <c r="S5" s="35" t="s">
        <v>3506</v>
      </c>
      <c r="V5" s="35" t="s">
        <v>3499</v>
      </c>
      <c r="W5" s="35" t="s">
        <v>3500</v>
      </c>
      <c r="X5" s="35" t="s">
        <v>3507</v>
      </c>
      <c r="Y5" s="35" t="s">
        <v>3501</v>
      </c>
      <c r="Z5" s="35" t="s">
        <v>3502</v>
      </c>
      <c r="AA5" s="35" t="s">
        <v>3503</v>
      </c>
      <c r="AB5" s="35" t="s">
        <v>3504</v>
      </c>
      <c r="AC5" s="35" t="s">
        <v>3505</v>
      </c>
      <c r="AD5" s="35" t="s">
        <v>3506</v>
      </c>
    </row>
    <row r="6" spans="1:30" x14ac:dyDescent="0.2">
      <c r="A6" s="48" t="s">
        <v>4537</v>
      </c>
      <c r="B6" s="48" t="s">
        <v>73</v>
      </c>
      <c r="C6" t="s">
        <v>6583</v>
      </c>
      <c r="D6">
        <v>38.200000000000003</v>
      </c>
      <c r="E6">
        <v>38.200000000000003</v>
      </c>
      <c r="F6" s="47">
        <v>1</v>
      </c>
      <c r="G6">
        <v>6.2</v>
      </c>
      <c r="H6">
        <v>100</v>
      </c>
      <c r="I6">
        <v>1056</v>
      </c>
      <c r="K6" s="48" t="s">
        <v>4537</v>
      </c>
      <c r="L6" s="48" t="s">
        <v>73</v>
      </c>
      <c r="M6" t="s">
        <v>6583</v>
      </c>
      <c r="N6">
        <v>44.1</v>
      </c>
      <c r="O6">
        <v>44.1</v>
      </c>
      <c r="P6" s="47">
        <v>1</v>
      </c>
      <c r="Q6">
        <v>0.1</v>
      </c>
      <c r="R6">
        <v>100</v>
      </c>
      <c r="S6">
        <v>1056</v>
      </c>
      <c r="V6" s="48" t="s">
        <v>4537</v>
      </c>
      <c r="W6" s="48" t="s">
        <v>73</v>
      </c>
      <c r="X6" t="s">
        <v>6583</v>
      </c>
      <c r="Y6">
        <v>50.1</v>
      </c>
      <c r="Z6">
        <v>50.1</v>
      </c>
      <c r="AA6" s="47">
        <v>1</v>
      </c>
      <c r="AB6">
        <v>3.0000000000000001E-3</v>
      </c>
      <c r="AC6">
        <v>100</v>
      </c>
      <c r="AD6">
        <v>1056</v>
      </c>
    </row>
    <row r="7" spans="1:30" x14ac:dyDescent="0.2">
      <c r="A7" t="s">
        <v>4538</v>
      </c>
      <c r="B7" t="s">
        <v>4539</v>
      </c>
      <c r="C7" t="s">
        <v>6584</v>
      </c>
      <c r="D7">
        <v>38.200000000000003</v>
      </c>
      <c r="E7">
        <v>38.200000000000003</v>
      </c>
      <c r="F7" s="47">
        <v>1</v>
      </c>
      <c r="G7">
        <v>6.2</v>
      </c>
      <c r="H7">
        <v>100</v>
      </c>
      <c r="I7">
        <v>337</v>
      </c>
      <c r="K7" s="48" t="s">
        <v>3533</v>
      </c>
      <c r="L7" s="48" t="s">
        <v>73</v>
      </c>
      <c r="M7" t="s">
        <v>6585</v>
      </c>
      <c r="N7">
        <v>44.1</v>
      </c>
      <c r="O7">
        <v>44.1</v>
      </c>
      <c r="P7" s="47">
        <v>1</v>
      </c>
      <c r="Q7">
        <v>0.1</v>
      </c>
      <c r="R7">
        <v>100</v>
      </c>
      <c r="S7">
        <v>1940</v>
      </c>
      <c r="V7" t="s">
        <v>4540</v>
      </c>
      <c r="W7" t="s">
        <v>4541</v>
      </c>
      <c r="X7" t="s">
        <v>6586</v>
      </c>
      <c r="Y7">
        <v>50.1</v>
      </c>
      <c r="Z7">
        <v>50.1</v>
      </c>
      <c r="AA7" s="47">
        <v>1</v>
      </c>
      <c r="AB7">
        <v>3.0000000000000001E-3</v>
      </c>
      <c r="AC7">
        <v>100</v>
      </c>
      <c r="AD7">
        <v>16561</v>
      </c>
    </row>
    <row r="8" spans="1:30" x14ac:dyDescent="0.2">
      <c r="A8" t="s">
        <v>4542</v>
      </c>
      <c r="B8" t="s">
        <v>4543</v>
      </c>
      <c r="C8" t="s">
        <v>6587</v>
      </c>
      <c r="D8">
        <v>38.200000000000003</v>
      </c>
      <c r="E8">
        <v>38.200000000000003</v>
      </c>
      <c r="F8" s="47">
        <v>1</v>
      </c>
      <c r="G8">
        <v>6.2</v>
      </c>
      <c r="H8">
        <v>100</v>
      </c>
      <c r="I8">
        <v>16506</v>
      </c>
      <c r="K8" t="s">
        <v>4252</v>
      </c>
      <c r="L8" t="s">
        <v>2438</v>
      </c>
      <c r="M8" t="s">
        <v>6588</v>
      </c>
      <c r="N8">
        <v>44.1</v>
      </c>
      <c r="O8">
        <v>44.1</v>
      </c>
      <c r="P8" s="47">
        <v>1</v>
      </c>
      <c r="Q8">
        <v>0.1</v>
      </c>
      <c r="R8">
        <v>100</v>
      </c>
      <c r="S8">
        <v>16587</v>
      </c>
      <c r="V8" s="48" t="s">
        <v>3533</v>
      </c>
      <c r="W8" s="48" t="s">
        <v>73</v>
      </c>
      <c r="X8" t="s">
        <v>6585</v>
      </c>
      <c r="Y8">
        <v>50.1</v>
      </c>
      <c r="Z8">
        <v>50.1</v>
      </c>
      <c r="AA8" s="47">
        <v>1</v>
      </c>
      <c r="AB8">
        <v>3.0000000000000001E-3</v>
      </c>
      <c r="AC8">
        <v>100</v>
      </c>
      <c r="AD8">
        <v>1940</v>
      </c>
    </row>
    <row r="9" spans="1:30" x14ac:dyDescent="0.2">
      <c r="A9" t="s">
        <v>4544</v>
      </c>
      <c r="B9" t="s">
        <v>4545</v>
      </c>
      <c r="C9" t="s">
        <v>6589</v>
      </c>
      <c r="D9">
        <v>38.200000000000003</v>
      </c>
      <c r="E9">
        <v>38.200000000000003</v>
      </c>
      <c r="F9" s="47">
        <v>1</v>
      </c>
      <c r="G9">
        <v>6.2</v>
      </c>
      <c r="H9">
        <v>100</v>
      </c>
      <c r="I9">
        <v>337</v>
      </c>
      <c r="K9" s="50" t="s">
        <v>4546</v>
      </c>
      <c r="L9" s="50" t="s">
        <v>73</v>
      </c>
      <c r="M9" t="s">
        <v>6590</v>
      </c>
      <c r="N9">
        <v>44.1</v>
      </c>
      <c r="O9">
        <v>44.1</v>
      </c>
      <c r="P9" s="47">
        <v>1</v>
      </c>
      <c r="Q9">
        <v>0.1</v>
      </c>
      <c r="R9">
        <v>100</v>
      </c>
      <c r="S9">
        <v>1020</v>
      </c>
      <c r="V9" t="s">
        <v>4547</v>
      </c>
      <c r="W9" t="s">
        <v>4548</v>
      </c>
      <c r="X9" t="s">
        <v>6591</v>
      </c>
      <c r="Y9">
        <v>50.1</v>
      </c>
      <c r="Z9">
        <v>50.1</v>
      </c>
      <c r="AA9" s="47">
        <v>1</v>
      </c>
      <c r="AB9">
        <v>3.0000000000000001E-3</v>
      </c>
      <c r="AC9">
        <v>100</v>
      </c>
      <c r="AD9">
        <v>16363</v>
      </c>
    </row>
    <row r="10" spans="1:30" x14ac:dyDescent="0.2">
      <c r="A10" t="s">
        <v>4549</v>
      </c>
      <c r="B10" t="s">
        <v>4550</v>
      </c>
      <c r="C10" t="s">
        <v>6592</v>
      </c>
      <c r="D10">
        <v>38.200000000000003</v>
      </c>
      <c r="E10">
        <v>38.200000000000003</v>
      </c>
      <c r="F10" s="47">
        <v>1</v>
      </c>
      <c r="G10">
        <v>6.2</v>
      </c>
      <c r="H10">
        <v>100</v>
      </c>
      <c r="I10">
        <v>16675</v>
      </c>
      <c r="K10" s="49" t="s">
        <v>3558</v>
      </c>
      <c r="L10" s="49" t="s">
        <v>75</v>
      </c>
      <c r="M10" t="s">
        <v>6593</v>
      </c>
      <c r="N10">
        <v>44.1</v>
      </c>
      <c r="O10">
        <v>44.1</v>
      </c>
      <c r="P10" s="47">
        <v>1</v>
      </c>
      <c r="Q10">
        <v>0.1</v>
      </c>
      <c r="R10">
        <v>100</v>
      </c>
      <c r="S10">
        <v>16626</v>
      </c>
      <c r="V10" t="s">
        <v>4551</v>
      </c>
      <c r="W10" t="s">
        <v>4552</v>
      </c>
      <c r="X10" t="s">
        <v>6594</v>
      </c>
      <c r="Y10">
        <v>50.1</v>
      </c>
      <c r="Z10">
        <v>50.1</v>
      </c>
      <c r="AA10" s="47">
        <v>1</v>
      </c>
      <c r="AB10">
        <v>3.0000000000000001E-3</v>
      </c>
      <c r="AC10">
        <v>100</v>
      </c>
      <c r="AD10">
        <v>16736</v>
      </c>
    </row>
    <row r="11" spans="1:30" x14ac:dyDescent="0.2">
      <c r="A11" t="s">
        <v>4553</v>
      </c>
      <c r="B11" t="s">
        <v>2496</v>
      </c>
      <c r="C11" t="s">
        <v>6595</v>
      </c>
      <c r="D11">
        <v>38.200000000000003</v>
      </c>
      <c r="E11">
        <v>38.200000000000003</v>
      </c>
      <c r="F11" s="47">
        <v>1</v>
      </c>
      <c r="G11">
        <v>6.2</v>
      </c>
      <c r="H11">
        <v>100</v>
      </c>
      <c r="I11">
        <v>16523</v>
      </c>
      <c r="K11" t="s">
        <v>4068</v>
      </c>
      <c r="L11" t="s">
        <v>2445</v>
      </c>
      <c r="M11" t="s">
        <v>6596</v>
      </c>
      <c r="N11">
        <v>42.1</v>
      </c>
      <c r="O11">
        <v>42.1</v>
      </c>
      <c r="P11" s="47">
        <v>0.95</v>
      </c>
      <c r="Q11">
        <v>0.4</v>
      </c>
      <c r="R11">
        <v>100</v>
      </c>
      <c r="S11">
        <v>16583</v>
      </c>
      <c r="V11" s="48" t="s">
        <v>4546</v>
      </c>
      <c r="W11" s="48" t="s">
        <v>73</v>
      </c>
      <c r="X11" t="s">
        <v>6590</v>
      </c>
      <c r="Y11">
        <v>50.1</v>
      </c>
      <c r="Z11">
        <v>50.1</v>
      </c>
      <c r="AA11" s="47">
        <v>1</v>
      </c>
      <c r="AB11">
        <v>3.0000000000000001E-3</v>
      </c>
      <c r="AC11">
        <v>100</v>
      </c>
      <c r="AD11">
        <v>1020</v>
      </c>
    </row>
    <row r="12" spans="1:30" x14ac:dyDescent="0.2">
      <c r="A12" s="48" t="s">
        <v>3533</v>
      </c>
      <c r="B12" s="48" t="s">
        <v>73</v>
      </c>
      <c r="C12" t="s">
        <v>6585</v>
      </c>
      <c r="D12">
        <v>38.200000000000003</v>
      </c>
      <c r="E12">
        <v>38.200000000000003</v>
      </c>
      <c r="F12" s="47">
        <v>1</v>
      </c>
      <c r="G12">
        <v>6.2</v>
      </c>
      <c r="H12">
        <v>100</v>
      </c>
      <c r="I12">
        <v>1940</v>
      </c>
      <c r="K12" t="s">
        <v>4068</v>
      </c>
      <c r="L12" t="s">
        <v>2445</v>
      </c>
      <c r="M12" t="s">
        <v>6597</v>
      </c>
      <c r="N12">
        <v>42.1</v>
      </c>
      <c r="O12">
        <v>42.1</v>
      </c>
      <c r="P12" s="47">
        <v>0.95</v>
      </c>
      <c r="Q12">
        <v>0.4</v>
      </c>
      <c r="R12">
        <v>100</v>
      </c>
      <c r="S12">
        <v>16585</v>
      </c>
      <c r="V12" t="s">
        <v>4554</v>
      </c>
      <c r="W12" t="s">
        <v>4555</v>
      </c>
      <c r="X12" t="s">
        <v>6598</v>
      </c>
      <c r="Y12">
        <v>50.1</v>
      </c>
      <c r="Z12">
        <v>50.1</v>
      </c>
      <c r="AA12" s="47">
        <v>1</v>
      </c>
      <c r="AB12">
        <v>3.0000000000000001E-3</v>
      </c>
      <c r="AC12">
        <v>100</v>
      </c>
      <c r="AD12">
        <v>16722</v>
      </c>
    </row>
    <row r="13" spans="1:30" x14ac:dyDescent="0.2">
      <c r="A13" t="s">
        <v>4556</v>
      </c>
      <c r="B13" t="s">
        <v>4557</v>
      </c>
      <c r="C13" t="s">
        <v>6599</v>
      </c>
      <c r="D13">
        <v>38.200000000000003</v>
      </c>
      <c r="E13">
        <v>38.200000000000003</v>
      </c>
      <c r="F13" s="47">
        <v>1</v>
      </c>
      <c r="G13">
        <v>6.2</v>
      </c>
      <c r="H13">
        <v>100</v>
      </c>
      <c r="I13">
        <v>337</v>
      </c>
      <c r="K13" t="s">
        <v>4252</v>
      </c>
      <c r="L13" t="s">
        <v>2438</v>
      </c>
      <c r="M13" t="s">
        <v>6600</v>
      </c>
      <c r="N13">
        <v>42.1</v>
      </c>
      <c r="O13">
        <v>42.1</v>
      </c>
      <c r="P13" s="47">
        <v>0.95</v>
      </c>
      <c r="Q13">
        <v>0.4</v>
      </c>
      <c r="R13">
        <v>100</v>
      </c>
      <c r="S13">
        <v>16582</v>
      </c>
      <c r="V13" s="49" t="s">
        <v>3558</v>
      </c>
      <c r="W13" s="49" t="s">
        <v>75</v>
      </c>
      <c r="X13" t="s">
        <v>6593</v>
      </c>
      <c r="Y13">
        <v>50.1</v>
      </c>
      <c r="Z13">
        <v>50.1</v>
      </c>
      <c r="AA13" s="47">
        <v>1</v>
      </c>
      <c r="AB13">
        <v>3.0000000000000001E-3</v>
      </c>
      <c r="AC13">
        <v>100</v>
      </c>
      <c r="AD13">
        <v>16626</v>
      </c>
    </row>
    <row r="14" spans="1:30" x14ac:dyDescent="0.2">
      <c r="A14" t="s">
        <v>4558</v>
      </c>
      <c r="B14" t="s">
        <v>4557</v>
      </c>
      <c r="C14" t="s">
        <v>6601</v>
      </c>
      <c r="D14">
        <v>38.200000000000003</v>
      </c>
      <c r="E14">
        <v>38.200000000000003</v>
      </c>
      <c r="F14" s="47">
        <v>1</v>
      </c>
      <c r="G14">
        <v>6.2</v>
      </c>
      <c r="H14">
        <v>100</v>
      </c>
      <c r="I14">
        <v>337</v>
      </c>
      <c r="K14" t="s">
        <v>4559</v>
      </c>
      <c r="L14" t="s">
        <v>2440</v>
      </c>
      <c r="M14" t="s">
        <v>6602</v>
      </c>
      <c r="N14">
        <v>42.1</v>
      </c>
      <c r="O14">
        <v>42.1</v>
      </c>
      <c r="P14" s="47">
        <v>0.95</v>
      </c>
      <c r="Q14">
        <v>0.4</v>
      </c>
      <c r="R14">
        <v>100</v>
      </c>
      <c r="S14">
        <v>16586</v>
      </c>
      <c r="V14" t="s">
        <v>4540</v>
      </c>
      <c r="W14" t="s">
        <v>4541</v>
      </c>
      <c r="X14" t="s">
        <v>6603</v>
      </c>
      <c r="Y14">
        <v>50.1</v>
      </c>
      <c r="Z14">
        <v>50.1</v>
      </c>
      <c r="AA14" s="47">
        <v>1</v>
      </c>
      <c r="AB14">
        <v>3.0000000000000001E-3</v>
      </c>
      <c r="AC14">
        <v>100</v>
      </c>
      <c r="AD14">
        <v>16561</v>
      </c>
    </row>
    <row r="15" spans="1:30" x14ac:dyDescent="0.2">
      <c r="A15" t="s">
        <v>4560</v>
      </c>
      <c r="B15" t="s">
        <v>4557</v>
      </c>
      <c r="C15" t="s">
        <v>6604</v>
      </c>
      <c r="D15">
        <v>38.200000000000003</v>
      </c>
      <c r="E15">
        <v>38.200000000000003</v>
      </c>
      <c r="F15" s="47">
        <v>1</v>
      </c>
      <c r="G15">
        <v>6.2</v>
      </c>
      <c r="H15">
        <v>100</v>
      </c>
      <c r="I15">
        <v>337</v>
      </c>
      <c r="K15" t="s">
        <v>4561</v>
      </c>
      <c r="L15" t="s">
        <v>2453</v>
      </c>
      <c r="M15" t="s">
        <v>6605</v>
      </c>
      <c r="N15">
        <v>42.1</v>
      </c>
      <c r="O15">
        <v>42.1</v>
      </c>
      <c r="P15" s="47">
        <v>0.95</v>
      </c>
      <c r="Q15">
        <v>0.4</v>
      </c>
      <c r="R15">
        <v>100</v>
      </c>
      <c r="S15">
        <v>16976</v>
      </c>
      <c r="V15" t="s">
        <v>4562</v>
      </c>
      <c r="W15" t="s">
        <v>4563</v>
      </c>
      <c r="X15" t="s">
        <v>6606</v>
      </c>
      <c r="Y15">
        <v>46.1</v>
      </c>
      <c r="Z15">
        <v>46.1</v>
      </c>
      <c r="AA15" s="47">
        <v>0.92</v>
      </c>
      <c r="AB15">
        <v>5.0999999999999997E-2</v>
      </c>
      <c r="AC15">
        <v>100</v>
      </c>
      <c r="AD15">
        <v>16459</v>
      </c>
    </row>
    <row r="16" spans="1:30" x14ac:dyDescent="0.2">
      <c r="A16" t="s">
        <v>4564</v>
      </c>
      <c r="B16" t="s">
        <v>1992</v>
      </c>
      <c r="C16" t="s">
        <v>6607</v>
      </c>
      <c r="D16">
        <v>38.200000000000003</v>
      </c>
      <c r="E16">
        <v>38.200000000000003</v>
      </c>
      <c r="F16" s="47">
        <v>1</v>
      </c>
      <c r="G16">
        <v>6.2</v>
      </c>
      <c r="H16">
        <v>100</v>
      </c>
      <c r="I16">
        <v>16513</v>
      </c>
      <c r="K16" t="s">
        <v>4565</v>
      </c>
      <c r="L16" t="s">
        <v>2447</v>
      </c>
      <c r="M16" t="s">
        <v>6608</v>
      </c>
      <c r="N16">
        <v>42.1</v>
      </c>
      <c r="O16">
        <v>42.1</v>
      </c>
      <c r="P16" s="47">
        <v>0.95</v>
      </c>
      <c r="Q16">
        <v>0.4</v>
      </c>
      <c r="R16">
        <v>100</v>
      </c>
      <c r="S16">
        <v>16583</v>
      </c>
      <c r="V16" t="s">
        <v>4566</v>
      </c>
      <c r="W16" t="s">
        <v>4567</v>
      </c>
      <c r="X16" t="s">
        <v>6609</v>
      </c>
      <c r="Y16">
        <v>46.1</v>
      </c>
      <c r="Z16">
        <v>46.1</v>
      </c>
      <c r="AA16" s="47">
        <v>0.92</v>
      </c>
      <c r="AB16">
        <v>5.0999999999999997E-2</v>
      </c>
      <c r="AC16">
        <v>100</v>
      </c>
      <c r="AD16">
        <v>16559</v>
      </c>
    </row>
    <row r="17" spans="1:30" x14ac:dyDescent="0.2">
      <c r="A17" t="s">
        <v>4568</v>
      </c>
      <c r="B17" t="s">
        <v>4569</v>
      </c>
      <c r="C17" t="s">
        <v>6610</v>
      </c>
      <c r="D17">
        <v>38.200000000000003</v>
      </c>
      <c r="E17">
        <v>38.200000000000003</v>
      </c>
      <c r="F17" s="47">
        <v>1</v>
      </c>
      <c r="G17">
        <v>6.2</v>
      </c>
      <c r="H17">
        <v>100</v>
      </c>
      <c r="I17">
        <v>16535</v>
      </c>
      <c r="K17" t="s">
        <v>4570</v>
      </c>
      <c r="L17" t="s">
        <v>2443</v>
      </c>
      <c r="M17" t="s">
        <v>6611</v>
      </c>
      <c r="N17">
        <v>38.200000000000003</v>
      </c>
      <c r="O17">
        <v>38.200000000000003</v>
      </c>
      <c r="P17" s="47">
        <v>0.86</v>
      </c>
      <c r="Q17">
        <v>6.2</v>
      </c>
      <c r="R17">
        <v>100</v>
      </c>
      <c r="S17">
        <v>16478</v>
      </c>
      <c r="V17" t="s">
        <v>4571</v>
      </c>
      <c r="W17" t="s">
        <v>4572</v>
      </c>
      <c r="X17" t="s">
        <v>6612</v>
      </c>
      <c r="Y17">
        <v>46.1</v>
      </c>
      <c r="Z17">
        <v>46.1</v>
      </c>
      <c r="AA17" s="47">
        <v>0.92</v>
      </c>
      <c r="AB17">
        <v>5.0999999999999997E-2</v>
      </c>
      <c r="AC17">
        <v>100</v>
      </c>
      <c r="AD17">
        <v>16726</v>
      </c>
    </row>
    <row r="18" spans="1:30" x14ac:dyDescent="0.2">
      <c r="A18" t="s">
        <v>4573</v>
      </c>
      <c r="B18" t="s">
        <v>4574</v>
      </c>
      <c r="C18" t="s">
        <v>6613</v>
      </c>
      <c r="D18">
        <v>38.200000000000003</v>
      </c>
      <c r="E18">
        <v>38.200000000000003</v>
      </c>
      <c r="F18" s="47">
        <v>1</v>
      </c>
      <c r="G18">
        <v>6.2</v>
      </c>
      <c r="H18">
        <v>100</v>
      </c>
      <c r="I18">
        <v>318</v>
      </c>
      <c r="K18" t="s">
        <v>4575</v>
      </c>
      <c r="L18" t="s">
        <v>2443</v>
      </c>
      <c r="M18" t="s">
        <v>6614</v>
      </c>
      <c r="N18">
        <v>38.200000000000003</v>
      </c>
      <c r="O18">
        <v>38.200000000000003</v>
      </c>
      <c r="P18" s="47">
        <v>0.86</v>
      </c>
      <c r="Q18">
        <v>6.2</v>
      </c>
      <c r="R18">
        <v>100</v>
      </c>
      <c r="S18">
        <v>16016</v>
      </c>
      <c r="V18" t="s">
        <v>4576</v>
      </c>
      <c r="W18" t="s">
        <v>4577</v>
      </c>
      <c r="X18" t="s">
        <v>6615</v>
      </c>
      <c r="Y18">
        <v>46.1</v>
      </c>
      <c r="Z18">
        <v>46.1</v>
      </c>
      <c r="AA18" s="47">
        <v>0.92</v>
      </c>
      <c r="AB18">
        <v>5.0999999999999997E-2</v>
      </c>
      <c r="AC18">
        <v>100</v>
      </c>
      <c r="AD18">
        <v>16508</v>
      </c>
    </row>
    <row r="19" spans="1:30" x14ac:dyDescent="0.2">
      <c r="A19" t="s">
        <v>4578</v>
      </c>
      <c r="B19" t="s">
        <v>3234</v>
      </c>
      <c r="C19" t="s">
        <v>6616</v>
      </c>
      <c r="D19">
        <v>38.200000000000003</v>
      </c>
      <c r="E19">
        <v>38.200000000000003</v>
      </c>
      <c r="F19" s="47">
        <v>1</v>
      </c>
      <c r="G19">
        <v>6.2</v>
      </c>
      <c r="H19">
        <v>100</v>
      </c>
      <c r="I19">
        <v>16573</v>
      </c>
      <c r="K19" t="s">
        <v>4579</v>
      </c>
      <c r="L19" t="s">
        <v>2443</v>
      </c>
      <c r="M19" t="s">
        <v>6617</v>
      </c>
      <c r="N19">
        <v>38.200000000000003</v>
      </c>
      <c r="O19">
        <v>38.200000000000003</v>
      </c>
      <c r="P19" s="47">
        <v>0.86</v>
      </c>
      <c r="Q19">
        <v>6.2</v>
      </c>
      <c r="R19">
        <v>100</v>
      </c>
      <c r="S19">
        <v>16478</v>
      </c>
      <c r="V19" t="s">
        <v>4576</v>
      </c>
      <c r="W19" t="s">
        <v>4577</v>
      </c>
      <c r="X19" t="s">
        <v>6618</v>
      </c>
      <c r="Y19">
        <v>46.1</v>
      </c>
      <c r="Z19">
        <v>46.1</v>
      </c>
      <c r="AA19" s="47">
        <v>0.92</v>
      </c>
      <c r="AB19">
        <v>5.0999999999999997E-2</v>
      </c>
      <c r="AC19">
        <v>100</v>
      </c>
      <c r="AD19">
        <v>16508</v>
      </c>
    </row>
    <row r="20" spans="1:30" x14ac:dyDescent="0.2">
      <c r="A20" t="s">
        <v>4580</v>
      </c>
      <c r="B20" t="s">
        <v>4550</v>
      </c>
      <c r="C20" t="s">
        <v>6619</v>
      </c>
      <c r="D20">
        <v>38.200000000000003</v>
      </c>
      <c r="E20">
        <v>38.200000000000003</v>
      </c>
      <c r="F20" s="47">
        <v>1</v>
      </c>
      <c r="G20">
        <v>6.2</v>
      </c>
      <c r="H20">
        <v>100</v>
      </c>
      <c r="I20">
        <v>16675</v>
      </c>
      <c r="K20" t="s">
        <v>4581</v>
      </c>
      <c r="L20" t="s">
        <v>2443</v>
      </c>
      <c r="M20" t="s">
        <v>6620</v>
      </c>
      <c r="N20">
        <v>38.200000000000003</v>
      </c>
      <c r="O20">
        <v>38.200000000000003</v>
      </c>
      <c r="P20" s="47">
        <v>0.86</v>
      </c>
      <c r="Q20">
        <v>6.2</v>
      </c>
      <c r="R20">
        <v>100</v>
      </c>
      <c r="S20">
        <v>16478</v>
      </c>
      <c r="V20" t="s">
        <v>4582</v>
      </c>
      <c r="W20" t="s">
        <v>4583</v>
      </c>
      <c r="X20" t="s">
        <v>6621</v>
      </c>
      <c r="Y20">
        <v>46.1</v>
      </c>
      <c r="Z20">
        <v>46.1</v>
      </c>
      <c r="AA20" s="47">
        <v>0.92</v>
      </c>
      <c r="AB20">
        <v>5.0999999999999997E-2</v>
      </c>
      <c r="AC20">
        <v>100</v>
      </c>
      <c r="AD20">
        <v>16510</v>
      </c>
    </row>
    <row r="21" spans="1:30" x14ac:dyDescent="0.2">
      <c r="A21" t="s">
        <v>4584</v>
      </c>
      <c r="B21" t="s">
        <v>1760</v>
      </c>
      <c r="C21" t="s">
        <v>6622</v>
      </c>
      <c r="D21">
        <v>38.200000000000003</v>
      </c>
      <c r="E21">
        <v>38.200000000000003</v>
      </c>
      <c r="F21" s="47">
        <v>1</v>
      </c>
      <c r="G21">
        <v>6.2</v>
      </c>
      <c r="H21">
        <v>100</v>
      </c>
      <c r="I21">
        <v>16657</v>
      </c>
      <c r="K21" t="s">
        <v>4585</v>
      </c>
      <c r="L21" t="s">
        <v>2443</v>
      </c>
      <c r="M21" t="s">
        <v>6623</v>
      </c>
      <c r="N21">
        <v>38.200000000000003</v>
      </c>
      <c r="O21">
        <v>38.200000000000003</v>
      </c>
      <c r="P21" s="47">
        <v>0.86</v>
      </c>
      <c r="Q21">
        <v>6.2</v>
      </c>
      <c r="R21">
        <v>100</v>
      </c>
      <c r="S21">
        <v>16478</v>
      </c>
      <c r="V21" t="s">
        <v>4586</v>
      </c>
      <c r="W21" t="s">
        <v>4587</v>
      </c>
      <c r="X21" t="s">
        <v>6624</v>
      </c>
      <c r="Y21">
        <v>42.1</v>
      </c>
      <c r="Z21">
        <v>42.1</v>
      </c>
      <c r="AA21" s="47">
        <v>1</v>
      </c>
      <c r="AB21">
        <v>0.8</v>
      </c>
      <c r="AC21">
        <v>96</v>
      </c>
      <c r="AD21">
        <v>16760</v>
      </c>
    </row>
    <row r="22" spans="1:30" x14ac:dyDescent="0.2">
      <c r="A22" t="s">
        <v>4588</v>
      </c>
      <c r="B22" t="s">
        <v>4589</v>
      </c>
      <c r="C22" t="s">
        <v>6625</v>
      </c>
      <c r="D22">
        <v>38.200000000000003</v>
      </c>
      <c r="E22">
        <v>38.200000000000003</v>
      </c>
      <c r="F22" s="47">
        <v>1</v>
      </c>
      <c r="G22">
        <v>6.2</v>
      </c>
      <c r="H22">
        <v>100</v>
      </c>
      <c r="I22">
        <v>16499</v>
      </c>
      <c r="K22" t="s">
        <v>4590</v>
      </c>
      <c r="L22" t="s">
        <v>4591</v>
      </c>
      <c r="M22" t="s">
        <v>6626</v>
      </c>
      <c r="N22">
        <v>36.200000000000003</v>
      </c>
      <c r="O22">
        <v>36.200000000000003</v>
      </c>
      <c r="P22" s="47">
        <v>0.82</v>
      </c>
      <c r="Q22">
        <v>25</v>
      </c>
      <c r="R22">
        <v>100</v>
      </c>
      <c r="S22">
        <v>18325</v>
      </c>
      <c r="V22" t="s">
        <v>4592</v>
      </c>
      <c r="W22" t="s">
        <v>4593</v>
      </c>
      <c r="X22" t="s">
        <v>6627</v>
      </c>
      <c r="Y22">
        <v>42.1</v>
      </c>
      <c r="Z22">
        <v>42.1</v>
      </c>
      <c r="AA22" s="47">
        <v>1</v>
      </c>
      <c r="AB22">
        <v>0.8</v>
      </c>
      <c r="AC22">
        <v>96</v>
      </c>
      <c r="AD22">
        <v>1061</v>
      </c>
    </row>
    <row r="23" spans="1:30" x14ac:dyDescent="0.2">
      <c r="A23" t="s">
        <v>4594</v>
      </c>
      <c r="B23" t="s">
        <v>4595</v>
      </c>
      <c r="C23" t="s">
        <v>6628</v>
      </c>
      <c r="D23">
        <v>38.200000000000003</v>
      </c>
      <c r="E23">
        <v>38.200000000000003</v>
      </c>
      <c r="F23" s="47">
        <v>1</v>
      </c>
      <c r="G23">
        <v>6.2</v>
      </c>
      <c r="H23">
        <v>100</v>
      </c>
      <c r="I23">
        <v>337</v>
      </c>
      <c r="K23" t="s">
        <v>3540</v>
      </c>
      <c r="L23" t="s">
        <v>26</v>
      </c>
      <c r="M23" t="s">
        <v>6629</v>
      </c>
      <c r="N23">
        <v>36.200000000000003</v>
      </c>
      <c r="O23">
        <v>36.200000000000003</v>
      </c>
      <c r="P23" s="47">
        <v>0.82</v>
      </c>
      <c r="Q23">
        <v>25</v>
      </c>
      <c r="R23">
        <v>100</v>
      </c>
      <c r="S23">
        <v>1940</v>
      </c>
      <c r="V23" t="s">
        <v>4596</v>
      </c>
      <c r="W23" t="s">
        <v>4597</v>
      </c>
      <c r="X23" t="s">
        <v>6630</v>
      </c>
      <c r="Y23">
        <v>42.1</v>
      </c>
      <c r="Z23">
        <v>42.1</v>
      </c>
      <c r="AA23" s="47">
        <v>1</v>
      </c>
      <c r="AB23">
        <v>0.8</v>
      </c>
      <c r="AC23">
        <v>96</v>
      </c>
      <c r="AD23">
        <v>1812</v>
      </c>
    </row>
    <row r="24" spans="1:30" x14ac:dyDescent="0.2">
      <c r="A24" s="48" t="s">
        <v>4546</v>
      </c>
      <c r="B24" s="48" t="s">
        <v>73</v>
      </c>
      <c r="C24" t="s">
        <v>6590</v>
      </c>
      <c r="D24">
        <v>38.200000000000003</v>
      </c>
      <c r="E24">
        <v>38.200000000000003</v>
      </c>
      <c r="F24" s="47">
        <v>1</v>
      </c>
      <c r="G24">
        <v>6.2</v>
      </c>
      <c r="H24">
        <v>100</v>
      </c>
      <c r="I24">
        <v>1020</v>
      </c>
      <c r="K24" t="s">
        <v>4598</v>
      </c>
      <c r="L24" t="s">
        <v>4599</v>
      </c>
      <c r="M24" t="s">
        <v>6631</v>
      </c>
      <c r="N24">
        <v>36.200000000000003</v>
      </c>
      <c r="O24">
        <v>36.200000000000003</v>
      </c>
      <c r="P24" s="47">
        <v>0.82</v>
      </c>
      <c r="Q24">
        <v>25</v>
      </c>
      <c r="R24">
        <v>100</v>
      </c>
      <c r="S24">
        <v>5830</v>
      </c>
      <c r="V24" t="s">
        <v>4600</v>
      </c>
      <c r="W24" t="s">
        <v>4601</v>
      </c>
      <c r="X24" t="s">
        <v>6632</v>
      </c>
      <c r="Y24">
        <v>42.1</v>
      </c>
      <c r="Z24">
        <v>42.1</v>
      </c>
      <c r="AA24" s="47">
        <v>1</v>
      </c>
      <c r="AB24">
        <v>0.8</v>
      </c>
      <c r="AC24">
        <v>96</v>
      </c>
      <c r="AD24">
        <v>1785</v>
      </c>
    </row>
    <row r="25" spans="1:30" x14ac:dyDescent="0.2">
      <c r="A25" t="s">
        <v>4602</v>
      </c>
      <c r="B25" t="s">
        <v>1992</v>
      </c>
      <c r="C25" t="s">
        <v>6633</v>
      </c>
      <c r="D25">
        <v>38.200000000000003</v>
      </c>
      <c r="E25">
        <v>38.200000000000003</v>
      </c>
      <c r="F25" s="47">
        <v>1</v>
      </c>
      <c r="G25">
        <v>6.2</v>
      </c>
      <c r="H25">
        <v>100</v>
      </c>
      <c r="I25">
        <v>16513</v>
      </c>
      <c r="K25" t="s">
        <v>4603</v>
      </c>
      <c r="L25" t="s">
        <v>4604</v>
      </c>
      <c r="M25" t="s">
        <v>6634</v>
      </c>
      <c r="N25">
        <v>36.200000000000003</v>
      </c>
      <c r="O25">
        <v>36.200000000000003</v>
      </c>
      <c r="P25" s="47">
        <v>0.82</v>
      </c>
      <c r="Q25">
        <v>25</v>
      </c>
      <c r="R25">
        <v>100</v>
      </c>
      <c r="S25">
        <v>16564</v>
      </c>
      <c r="V25" t="s">
        <v>4605</v>
      </c>
      <c r="W25" t="s">
        <v>4606</v>
      </c>
      <c r="X25" t="s">
        <v>6635</v>
      </c>
      <c r="Y25">
        <v>42.1</v>
      </c>
      <c r="Z25">
        <v>42.1</v>
      </c>
      <c r="AA25" s="47">
        <v>1</v>
      </c>
      <c r="AB25">
        <v>0.8</v>
      </c>
      <c r="AC25">
        <v>96</v>
      </c>
      <c r="AD25">
        <v>15582</v>
      </c>
    </row>
    <row r="26" spans="1:30" x14ac:dyDescent="0.2">
      <c r="A26" t="s">
        <v>4607</v>
      </c>
      <c r="B26" t="s">
        <v>4557</v>
      </c>
      <c r="C26" t="s">
        <v>6636</v>
      </c>
      <c r="D26">
        <v>38.200000000000003</v>
      </c>
      <c r="E26">
        <v>38.200000000000003</v>
      </c>
      <c r="F26" s="47">
        <v>1</v>
      </c>
      <c r="G26">
        <v>6.2</v>
      </c>
      <c r="H26">
        <v>100</v>
      </c>
      <c r="I26">
        <v>337</v>
      </c>
      <c r="K26" t="s">
        <v>4608</v>
      </c>
      <c r="L26" t="s">
        <v>2295</v>
      </c>
      <c r="M26" t="s">
        <v>6637</v>
      </c>
      <c r="N26">
        <v>36.200000000000003</v>
      </c>
      <c r="O26">
        <v>36.200000000000003</v>
      </c>
      <c r="P26" s="47">
        <v>0.82</v>
      </c>
      <c r="Q26">
        <v>25</v>
      </c>
      <c r="R26">
        <v>100</v>
      </c>
      <c r="S26">
        <v>16586</v>
      </c>
      <c r="V26" t="s">
        <v>4609</v>
      </c>
      <c r="W26" t="s">
        <v>4593</v>
      </c>
      <c r="X26" t="s">
        <v>6638</v>
      </c>
      <c r="Y26">
        <v>42.1</v>
      </c>
      <c r="Z26">
        <v>42.1</v>
      </c>
      <c r="AA26" s="47">
        <v>1</v>
      </c>
      <c r="AB26">
        <v>0.8</v>
      </c>
      <c r="AC26">
        <v>96</v>
      </c>
      <c r="AD26">
        <v>1061</v>
      </c>
    </row>
    <row r="27" spans="1:30" x14ac:dyDescent="0.2">
      <c r="A27" t="s">
        <v>4610</v>
      </c>
      <c r="B27" t="s">
        <v>4611</v>
      </c>
      <c r="C27" t="s">
        <v>6639</v>
      </c>
      <c r="D27">
        <v>38.200000000000003</v>
      </c>
      <c r="E27">
        <v>38.200000000000003</v>
      </c>
      <c r="F27" s="47">
        <v>1</v>
      </c>
      <c r="G27">
        <v>6.2</v>
      </c>
      <c r="H27">
        <v>100</v>
      </c>
      <c r="I27">
        <v>16514</v>
      </c>
      <c r="K27" t="s">
        <v>4612</v>
      </c>
      <c r="L27" t="s">
        <v>4613</v>
      </c>
      <c r="M27" t="s">
        <v>6640</v>
      </c>
      <c r="N27">
        <v>36.200000000000003</v>
      </c>
      <c r="O27">
        <v>36.200000000000003</v>
      </c>
      <c r="P27" s="47">
        <v>0.82</v>
      </c>
      <c r="Q27">
        <v>25</v>
      </c>
      <c r="R27">
        <v>100</v>
      </c>
      <c r="S27">
        <v>16496</v>
      </c>
      <c r="V27" t="s">
        <v>4614</v>
      </c>
      <c r="W27" t="s">
        <v>4615</v>
      </c>
      <c r="X27" t="s">
        <v>6641</v>
      </c>
      <c r="Y27">
        <v>42.1</v>
      </c>
      <c r="Z27">
        <v>42.1</v>
      </c>
      <c r="AA27" s="47">
        <v>1</v>
      </c>
      <c r="AB27">
        <v>0.8</v>
      </c>
      <c r="AC27">
        <v>96</v>
      </c>
      <c r="AD27">
        <v>16526</v>
      </c>
    </row>
    <row r="28" spans="1:30" x14ac:dyDescent="0.2">
      <c r="A28" t="s">
        <v>4616</v>
      </c>
      <c r="B28" t="s">
        <v>4617</v>
      </c>
      <c r="C28" t="s">
        <v>6642</v>
      </c>
      <c r="D28">
        <v>38.200000000000003</v>
      </c>
      <c r="E28">
        <v>38.200000000000003</v>
      </c>
      <c r="F28" s="47">
        <v>1</v>
      </c>
      <c r="G28">
        <v>6.2</v>
      </c>
      <c r="H28">
        <v>100</v>
      </c>
      <c r="I28">
        <v>17320</v>
      </c>
      <c r="K28" t="s">
        <v>4618</v>
      </c>
      <c r="L28" t="s">
        <v>4619</v>
      </c>
      <c r="M28" t="s">
        <v>6643</v>
      </c>
      <c r="N28">
        <v>36.200000000000003</v>
      </c>
      <c r="O28">
        <v>36.200000000000003</v>
      </c>
      <c r="P28" s="47">
        <v>0.82</v>
      </c>
      <c r="Q28">
        <v>25</v>
      </c>
      <c r="R28">
        <v>100</v>
      </c>
      <c r="S28">
        <v>16491</v>
      </c>
      <c r="V28" t="s">
        <v>4620</v>
      </c>
      <c r="W28" t="s">
        <v>4621</v>
      </c>
      <c r="X28" t="s">
        <v>6644</v>
      </c>
      <c r="Y28">
        <v>42.1</v>
      </c>
      <c r="Z28">
        <v>42.1</v>
      </c>
      <c r="AA28" s="47">
        <v>1</v>
      </c>
      <c r="AB28">
        <v>0.8</v>
      </c>
      <c r="AC28">
        <v>96</v>
      </c>
      <c r="AD28">
        <v>16680</v>
      </c>
    </row>
    <row r="29" spans="1:30" x14ac:dyDescent="0.2">
      <c r="A29" t="s">
        <v>4622</v>
      </c>
      <c r="B29" t="s">
        <v>4623</v>
      </c>
      <c r="C29" t="s">
        <v>6645</v>
      </c>
      <c r="D29">
        <v>38.200000000000003</v>
      </c>
      <c r="E29">
        <v>38.200000000000003</v>
      </c>
      <c r="F29" s="47">
        <v>1</v>
      </c>
      <c r="G29">
        <v>6.2</v>
      </c>
      <c r="H29">
        <v>100</v>
      </c>
      <c r="I29">
        <v>16448</v>
      </c>
      <c r="K29" t="s">
        <v>4624</v>
      </c>
      <c r="L29" t="s">
        <v>4625</v>
      </c>
      <c r="M29" t="s">
        <v>6646</v>
      </c>
      <c r="N29">
        <v>36.200000000000003</v>
      </c>
      <c r="O29">
        <v>36.200000000000003</v>
      </c>
      <c r="P29" s="47">
        <v>0.82</v>
      </c>
      <c r="Q29">
        <v>25</v>
      </c>
      <c r="R29">
        <v>100</v>
      </c>
      <c r="S29">
        <v>17367</v>
      </c>
      <c r="V29" t="s">
        <v>4626</v>
      </c>
      <c r="W29" t="s">
        <v>4627</v>
      </c>
      <c r="X29" t="s">
        <v>6647</v>
      </c>
      <c r="Y29">
        <v>42.1</v>
      </c>
      <c r="Z29">
        <v>42.1</v>
      </c>
      <c r="AA29" s="47">
        <v>1</v>
      </c>
      <c r="AB29">
        <v>0.8</v>
      </c>
      <c r="AC29">
        <v>96</v>
      </c>
      <c r="AD29">
        <v>16528</v>
      </c>
    </row>
    <row r="30" spans="1:30" x14ac:dyDescent="0.2">
      <c r="A30" t="s">
        <v>4580</v>
      </c>
      <c r="B30" t="s">
        <v>4550</v>
      </c>
      <c r="C30" t="s">
        <v>6648</v>
      </c>
      <c r="D30">
        <v>38.200000000000003</v>
      </c>
      <c r="E30">
        <v>38.200000000000003</v>
      </c>
      <c r="F30" s="47">
        <v>1</v>
      </c>
      <c r="G30">
        <v>6.2</v>
      </c>
      <c r="H30">
        <v>100</v>
      </c>
      <c r="I30">
        <v>16675</v>
      </c>
      <c r="K30" t="s">
        <v>4628</v>
      </c>
      <c r="L30" t="s">
        <v>4629</v>
      </c>
      <c r="M30" t="s">
        <v>6649</v>
      </c>
      <c r="N30">
        <v>36.200000000000003</v>
      </c>
      <c r="O30">
        <v>36.200000000000003</v>
      </c>
      <c r="P30" s="47">
        <v>0.82</v>
      </c>
      <c r="Q30">
        <v>25</v>
      </c>
      <c r="R30">
        <v>100</v>
      </c>
      <c r="S30">
        <v>16531</v>
      </c>
      <c r="V30" t="s">
        <v>4630</v>
      </c>
      <c r="W30" t="s">
        <v>4631</v>
      </c>
      <c r="X30" t="s">
        <v>6650</v>
      </c>
      <c r="Y30">
        <v>42.1</v>
      </c>
      <c r="Z30">
        <v>42.1</v>
      </c>
      <c r="AA30" s="47">
        <v>1</v>
      </c>
      <c r="AB30">
        <v>0.8</v>
      </c>
      <c r="AC30">
        <v>96</v>
      </c>
      <c r="AD30">
        <v>15656</v>
      </c>
    </row>
    <row r="31" spans="1:30" x14ac:dyDescent="0.2">
      <c r="A31" t="s">
        <v>4632</v>
      </c>
      <c r="B31" t="s">
        <v>4633</v>
      </c>
      <c r="C31" t="s">
        <v>6651</v>
      </c>
      <c r="D31">
        <v>38.200000000000003</v>
      </c>
      <c r="E31">
        <v>38.200000000000003</v>
      </c>
      <c r="F31" s="47">
        <v>1</v>
      </c>
      <c r="G31">
        <v>6.2</v>
      </c>
      <c r="H31">
        <v>100</v>
      </c>
      <c r="I31">
        <v>16598</v>
      </c>
      <c r="K31" t="s">
        <v>4634</v>
      </c>
      <c r="L31" t="s">
        <v>4635</v>
      </c>
      <c r="M31" t="s">
        <v>6652</v>
      </c>
      <c r="N31">
        <v>36.200000000000003</v>
      </c>
      <c r="O31">
        <v>36.200000000000003</v>
      </c>
      <c r="P31" s="47">
        <v>1</v>
      </c>
      <c r="Q31">
        <v>25</v>
      </c>
      <c r="R31">
        <v>95.45</v>
      </c>
      <c r="S31">
        <v>60496693</v>
      </c>
      <c r="V31" t="s">
        <v>4636</v>
      </c>
      <c r="W31" t="s">
        <v>4637</v>
      </c>
      <c r="X31" t="s">
        <v>6653</v>
      </c>
      <c r="Y31">
        <v>42.1</v>
      </c>
      <c r="Z31">
        <v>42.1</v>
      </c>
      <c r="AA31" s="47">
        <v>1</v>
      </c>
      <c r="AB31">
        <v>0.8</v>
      </c>
      <c r="AC31">
        <v>96</v>
      </c>
      <c r="AD31">
        <v>16435</v>
      </c>
    </row>
    <row r="32" spans="1:30" x14ac:dyDescent="0.2">
      <c r="A32" t="s">
        <v>4638</v>
      </c>
      <c r="B32" t="s">
        <v>4569</v>
      </c>
      <c r="C32" t="s">
        <v>6654</v>
      </c>
      <c r="D32">
        <v>38.200000000000003</v>
      </c>
      <c r="E32">
        <v>38.200000000000003</v>
      </c>
      <c r="F32" s="47">
        <v>1</v>
      </c>
      <c r="G32">
        <v>6.2</v>
      </c>
      <c r="H32">
        <v>100</v>
      </c>
      <c r="I32">
        <v>15686</v>
      </c>
      <c r="K32" t="s">
        <v>4634</v>
      </c>
      <c r="L32" t="s">
        <v>4635</v>
      </c>
      <c r="M32" t="s">
        <v>6655</v>
      </c>
      <c r="N32">
        <v>36.200000000000003</v>
      </c>
      <c r="O32">
        <v>36.200000000000003</v>
      </c>
      <c r="P32" s="47">
        <v>1</v>
      </c>
      <c r="Q32">
        <v>25</v>
      </c>
      <c r="R32">
        <v>95.45</v>
      </c>
      <c r="S32">
        <v>61942093</v>
      </c>
      <c r="V32" t="s">
        <v>4639</v>
      </c>
      <c r="W32" t="s">
        <v>4640</v>
      </c>
      <c r="X32" t="s">
        <v>6656</v>
      </c>
      <c r="Y32">
        <v>42.1</v>
      </c>
      <c r="Z32">
        <v>42.1</v>
      </c>
      <c r="AA32" s="47">
        <v>1</v>
      </c>
      <c r="AB32">
        <v>0.8</v>
      </c>
      <c r="AC32">
        <v>96</v>
      </c>
      <c r="AD32">
        <v>16676</v>
      </c>
    </row>
    <row r="33" spans="1:30" x14ac:dyDescent="0.2">
      <c r="A33" t="s">
        <v>4641</v>
      </c>
      <c r="B33" t="s">
        <v>4642</v>
      </c>
      <c r="C33" t="s">
        <v>6657</v>
      </c>
      <c r="D33">
        <v>38.200000000000003</v>
      </c>
      <c r="E33">
        <v>38.200000000000003</v>
      </c>
      <c r="F33" s="47">
        <v>1</v>
      </c>
      <c r="G33">
        <v>6.2</v>
      </c>
      <c r="H33">
        <v>100</v>
      </c>
      <c r="I33">
        <v>1339</v>
      </c>
      <c r="K33" t="s">
        <v>4643</v>
      </c>
      <c r="L33" t="s">
        <v>4644</v>
      </c>
      <c r="M33" t="s">
        <v>6658</v>
      </c>
      <c r="N33">
        <v>36.200000000000003</v>
      </c>
      <c r="O33">
        <v>36.200000000000003</v>
      </c>
      <c r="P33" s="47">
        <v>0.82</v>
      </c>
      <c r="Q33">
        <v>25</v>
      </c>
      <c r="R33">
        <v>100</v>
      </c>
      <c r="S33">
        <v>4140558</v>
      </c>
      <c r="V33" t="s">
        <v>4645</v>
      </c>
      <c r="W33" t="s">
        <v>4646</v>
      </c>
      <c r="X33" t="s">
        <v>6659</v>
      </c>
      <c r="Y33">
        <v>42.1</v>
      </c>
      <c r="Z33">
        <v>42.1</v>
      </c>
      <c r="AA33" s="47">
        <v>1</v>
      </c>
      <c r="AB33">
        <v>0.8</v>
      </c>
      <c r="AC33">
        <v>96</v>
      </c>
      <c r="AD33">
        <v>16604</v>
      </c>
    </row>
    <row r="34" spans="1:30" x14ac:dyDescent="0.2">
      <c r="A34" t="s">
        <v>4647</v>
      </c>
      <c r="B34" t="s">
        <v>2496</v>
      </c>
      <c r="C34" t="s">
        <v>6660</v>
      </c>
      <c r="D34">
        <v>38.200000000000003</v>
      </c>
      <c r="E34">
        <v>38.200000000000003</v>
      </c>
      <c r="F34" s="47">
        <v>1</v>
      </c>
      <c r="G34">
        <v>6.2</v>
      </c>
      <c r="H34">
        <v>100</v>
      </c>
      <c r="I34">
        <v>16531</v>
      </c>
      <c r="K34" t="s">
        <v>4628</v>
      </c>
      <c r="L34" t="s">
        <v>4629</v>
      </c>
      <c r="M34" t="s">
        <v>6661</v>
      </c>
      <c r="N34">
        <v>36.200000000000003</v>
      </c>
      <c r="O34">
        <v>36.200000000000003</v>
      </c>
      <c r="P34" s="47">
        <v>0.82</v>
      </c>
      <c r="Q34">
        <v>25</v>
      </c>
      <c r="R34">
        <v>100</v>
      </c>
      <c r="S34">
        <v>16530</v>
      </c>
      <c r="V34" t="s">
        <v>4648</v>
      </c>
      <c r="W34" t="s">
        <v>4646</v>
      </c>
      <c r="X34" t="s">
        <v>6662</v>
      </c>
      <c r="Y34">
        <v>42.1</v>
      </c>
      <c r="Z34">
        <v>42.1</v>
      </c>
      <c r="AA34" s="47">
        <v>1</v>
      </c>
      <c r="AB34">
        <v>0.8</v>
      </c>
      <c r="AC34">
        <v>96</v>
      </c>
      <c r="AD34">
        <v>16603</v>
      </c>
    </row>
    <row r="35" spans="1:30" x14ac:dyDescent="0.2">
      <c r="A35" t="s">
        <v>4649</v>
      </c>
      <c r="B35" t="s">
        <v>4650</v>
      </c>
      <c r="C35" t="s">
        <v>6663</v>
      </c>
      <c r="D35">
        <v>38.200000000000003</v>
      </c>
      <c r="E35">
        <v>38.200000000000003</v>
      </c>
      <c r="F35" s="47">
        <v>1</v>
      </c>
      <c r="G35">
        <v>6.2</v>
      </c>
      <c r="H35">
        <v>100</v>
      </c>
      <c r="I35">
        <v>16494</v>
      </c>
      <c r="K35" t="s">
        <v>4651</v>
      </c>
      <c r="L35" t="s">
        <v>4591</v>
      </c>
      <c r="M35" t="s">
        <v>6664</v>
      </c>
      <c r="N35">
        <v>36.200000000000003</v>
      </c>
      <c r="O35">
        <v>36.200000000000003</v>
      </c>
      <c r="P35" s="47">
        <v>0.82</v>
      </c>
      <c r="Q35">
        <v>25</v>
      </c>
      <c r="R35">
        <v>100</v>
      </c>
      <c r="S35">
        <v>17490</v>
      </c>
      <c r="V35" t="s">
        <v>4652</v>
      </c>
      <c r="W35" t="s">
        <v>2979</v>
      </c>
      <c r="X35" t="s">
        <v>6665</v>
      </c>
      <c r="Y35">
        <v>42.1</v>
      </c>
      <c r="Z35">
        <v>42.1</v>
      </c>
      <c r="AA35" s="47">
        <v>1</v>
      </c>
      <c r="AB35">
        <v>0.8</v>
      </c>
      <c r="AC35">
        <v>96</v>
      </c>
      <c r="AD35">
        <v>16606</v>
      </c>
    </row>
    <row r="36" spans="1:30" x14ac:dyDescent="0.2">
      <c r="A36" t="s">
        <v>4653</v>
      </c>
      <c r="B36" t="s">
        <v>4633</v>
      </c>
      <c r="C36" t="s">
        <v>6666</v>
      </c>
      <c r="D36">
        <v>38.200000000000003</v>
      </c>
      <c r="E36">
        <v>38.200000000000003</v>
      </c>
      <c r="F36" s="47">
        <v>1</v>
      </c>
      <c r="G36">
        <v>6.2</v>
      </c>
      <c r="H36">
        <v>100</v>
      </c>
      <c r="I36">
        <v>16598</v>
      </c>
      <c r="K36" t="s">
        <v>4654</v>
      </c>
      <c r="L36" t="s">
        <v>4655</v>
      </c>
      <c r="M36" t="s">
        <v>6667</v>
      </c>
      <c r="N36">
        <v>36.200000000000003</v>
      </c>
      <c r="O36">
        <v>36.200000000000003</v>
      </c>
      <c r="P36" s="47">
        <v>0.82</v>
      </c>
      <c r="Q36">
        <v>25</v>
      </c>
      <c r="R36">
        <v>100</v>
      </c>
      <c r="S36">
        <v>1749</v>
      </c>
      <c r="V36" t="s">
        <v>4656</v>
      </c>
      <c r="W36" t="s">
        <v>4593</v>
      </c>
      <c r="X36" t="s">
        <v>6668</v>
      </c>
      <c r="Y36">
        <v>42.1</v>
      </c>
      <c r="Z36">
        <v>42.1</v>
      </c>
      <c r="AA36" s="47">
        <v>1</v>
      </c>
      <c r="AB36">
        <v>0.8</v>
      </c>
      <c r="AC36">
        <v>96</v>
      </c>
      <c r="AD36">
        <v>1061</v>
      </c>
    </row>
    <row r="37" spans="1:30" x14ac:dyDescent="0.2">
      <c r="A37" s="49" t="s">
        <v>3558</v>
      </c>
      <c r="B37" s="49" t="s">
        <v>75</v>
      </c>
      <c r="C37" t="s">
        <v>6593</v>
      </c>
      <c r="D37">
        <v>38.200000000000003</v>
      </c>
      <c r="E37">
        <v>38.200000000000003</v>
      </c>
      <c r="F37" s="47">
        <v>1</v>
      </c>
      <c r="G37">
        <v>6.2</v>
      </c>
      <c r="H37">
        <v>100</v>
      </c>
      <c r="I37">
        <v>16626</v>
      </c>
      <c r="K37" t="s">
        <v>4657</v>
      </c>
      <c r="L37" t="s">
        <v>4658</v>
      </c>
      <c r="M37" t="s">
        <v>6669</v>
      </c>
      <c r="N37">
        <v>36.200000000000003</v>
      </c>
      <c r="O37">
        <v>36.200000000000003</v>
      </c>
      <c r="P37" s="47">
        <v>0.82</v>
      </c>
      <c r="Q37">
        <v>25</v>
      </c>
      <c r="R37">
        <v>100</v>
      </c>
      <c r="S37">
        <v>16528</v>
      </c>
      <c r="V37" t="s">
        <v>4659</v>
      </c>
      <c r="W37" t="s">
        <v>4606</v>
      </c>
      <c r="X37" t="s">
        <v>6670</v>
      </c>
      <c r="Y37">
        <v>42.1</v>
      </c>
      <c r="Z37">
        <v>42.1</v>
      </c>
      <c r="AA37" s="47">
        <v>1</v>
      </c>
      <c r="AB37">
        <v>0.8</v>
      </c>
      <c r="AC37">
        <v>96</v>
      </c>
      <c r="AD37">
        <v>15582</v>
      </c>
    </row>
    <row r="38" spans="1:30" x14ac:dyDescent="0.2">
      <c r="A38" t="s">
        <v>4660</v>
      </c>
      <c r="B38" t="s">
        <v>4661</v>
      </c>
      <c r="C38" t="s">
        <v>6671</v>
      </c>
      <c r="D38">
        <v>38.200000000000003</v>
      </c>
      <c r="E38">
        <v>38.200000000000003</v>
      </c>
      <c r="F38" s="47">
        <v>1</v>
      </c>
      <c r="G38">
        <v>6.2</v>
      </c>
      <c r="H38">
        <v>100</v>
      </c>
      <c r="I38">
        <v>16653</v>
      </c>
      <c r="K38" t="s">
        <v>4662</v>
      </c>
      <c r="L38" t="s">
        <v>4663</v>
      </c>
      <c r="M38" t="s">
        <v>6672</v>
      </c>
      <c r="N38">
        <v>36.200000000000003</v>
      </c>
      <c r="O38">
        <v>36.200000000000003</v>
      </c>
      <c r="P38" s="47">
        <v>0.82</v>
      </c>
      <c r="Q38">
        <v>25</v>
      </c>
      <c r="R38">
        <v>100</v>
      </c>
      <c r="S38">
        <v>3475743</v>
      </c>
      <c r="V38" t="s">
        <v>4664</v>
      </c>
      <c r="W38" t="s">
        <v>4646</v>
      </c>
      <c r="X38" t="s">
        <v>6673</v>
      </c>
      <c r="Y38">
        <v>42.1</v>
      </c>
      <c r="Z38">
        <v>42.1</v>
      </c>
      <c r="AA38" s="47">
        <v>1</v>
      </c>
      <c r="AB38">
        <v>0.8</v>
      </c>
      <c r="AC38">
        <v>96</v>
      </c>
      <c r="AD38">
        <v>16606</v>
      </c>
    </row>
    <row r="39" spans="1:30" x14ac:dyDescent="0.2">
      <c r="A39" t="s">
        <v>4665</v>
      </c>
      <c r="B39" t="s">
        <v>2113</v>
      </c>
      <c r="C39" t="s">
        <v>6674</v>
      </c>
      <c r="D39">
        <v>36.200000000000003</v>
      </c>
      <c r="E39">
        <v>36.200000000000003</v>
      </c>
      <c r="F39" s="47">
        <v>0.95</v>
      </c>
      <c r="G39">
        <v>25</v>
      </c>
      <c r="H39">
        <v>100</v>
      </c>
      <c r="I39">
        <v>16581</v>
      </c>
      <c r="K39" t="s">
        <v>4666</v>
      </c>
      <c r="L39" t="s">
        <v>4667</v>
      </c>
      <c r="M39" t="s">
        <v>6675</v>
      </c>
      <c r="N39">
        <v>36.200000000000003</v>
      </c>
      <c r="O39">
        <v>36.200000000000003</v>
      </c>
      <c r="P39" s="47">
        <v>0.82</v>
      </c>
      <c r="Q39">
        <v>25</v>
      </c>
      <c r="R39">
        <v>100</v>
      </c>
      <c r="S39">
        <v>16961</v>
      </c>
      <c r="V39" t="s">
        <v>4668</v>
      </c>
      <c r="W39" t="s">
        <v>4669</v>
      </c>
      <c r="X39" t="s">
        <v>6676</v>
      </c>
      <c r="Y39">
        <v>42.1</v>
      </c>
      <c r="Z39">
        <v>42.1</v>
      </c>
      <c r="AA39" s="47">
        <v>1</v>
      </c>
      <c r="AB39">
        <v>0.8</v>
      </c>
      <c r="AC39">
        <v>96</v>
      </c>
      <c r="AD39">
        <v>16603</v>
      </c>
    </row>
    <row r="40" spans="1:30" x14ac:dyDescent="0.2">
      <c r="A40" t="s">
        <v>4670</v>
      </c>
      <c r="B40" t="s">
        <v>4671</v>
      </c>
      <c r="C40" t="s">
        <v>6677</v>
      </c>
      <c r="D40">
        <v>36.200000000000003</v>
      </c>
      <c r="E40">
        <v>36.200000000000003</v>
      </c>
      <c r="F40" s="47">
        <v>0.95</v>
      </c>
      <c r="G40">
        <v>25</v>
      </c>
      <c r="H40">
        <v>100</v>
      </c>
      <c r="I40">
        <v>16782</v>
      </c>
      <c r="K40" t="s">
        <v>4624</v>
      </c>
      <c r="L40" t="s">
        <v>4625</v>
      </c>
      <c r="M40" t="s">
        <v>6678</v>
      </c>
      <c r="N40">
        <v>36.200000000000003</v>
      </c>
      <c r="O40">
        <v>36.200000000000003</v>
      </c>
      <c r="P40" s="47">
        <v>0.82</v>
      </c>
      <c r="Q40">
        <v>25</v>
      </c>
      <c r="R40">
        <v>100</v>
      </c>
      <c r="S40">
        <v>17457</v>
      </c>
      <c r="V40" t="s">
        <v>4672</v>
      </c>
      <c r="W40" t="s">
        <v>2137</v>
      </c>
      <c r="X40" t="s">
        <v>6679</v>
      </c>
      <c r="Y40">
        <v>42.1</v>
      </c>
      <c r="Z40">
        <v>42.1</v>
      </c>
      <c r="AA40" s="47">
        <v>1</v>
      </c>
      <c r="AB40">
        <v>0.8</v>
      </c>
      <c r="AC40">
        <v>96</v>
      </c>
      <c r="AD40">
        <v>16583</v>
      </c>
    </row>
    <row r="41" spans="1:30" x14ac:dyDescent="0.2">
      <c r="A41" t="s">
        <v>4673</v>
      </c>
      <c r="B41" t="s">
        <v>4674</v>
      </c>
      <c r="C41" t="s">
        <v>6680</v>
      </c>
      <c r="D41">
        <v>36.200000000000003</v>
      </c>
      <c r="E41">
        <v>36.200000000000003</v>
      </c>
      <c r="F41" s="47">
        <v>0.95</v>
      </c>
      <c r="G41">
        <v>25</v>
      </c>
      <c r="H41">
        <v>100</v>
      </c>
      <c r="I41">
        <v>4377</v>
      </c>
      <c r="K41" t="s">
        <v>4440</v>
      </c>
      <c r="L41" t="s">
        <v>2293</v>
      </c>
      <c r="M41" t="s">
        <v>6681</v>
      </c>
      <c r="N41">
        <v>36.200000000000003</v>
      </c>
      <c r="O41">
        <v>36.200000000000003</v>
      </c>
      <c r="P41" s="47">
        <v>0.82</v>
      </c>
      <c r="Q41">
        <v>25</v>
      </c>
      <c r="R41">
        <v>100</v>
      </c>
      <c r="S41">
        <v>16582</v>
      </c>
      <c r="V41" t="s">
        <v>4675</v>
      </c>
      <c r="W41" t="s">
        <v>2185</v>
      </c>
      <c r="X41" t="s">
        <v>6682</v>
      </c>
      <c r="Y41">
        <v>42.1</v>
      </c>
      <c r="Z41">
        <v>42.1</v>
      </c>
      <c r="AA41" s="47">
        <v>1</v>
      </c>
      <c r="AB41">
        <v>0.8</v>
      </c>
      <c r="AC41">
        <v>96</v>
      </c>
      <c r="AD41">
        <v>1638</v>
      </c>
    </row>
    <row r="42" spans="1:30" x14ac:dyDescent="0.2">
      <c r="A42" t="s">
        <v>4676</v>
      </c>
      <c r="B42" t="s">
        <v>2982</v>
      </c>
      <c r="C42" t="s">
        <v>6683</v>
      </c>
      <c r="D42">
        <v>36.200000000000003</v>
      </c>
      <c r="E42">
        <v>36.200000000000003</v>
      </c>
      <c r="F42" s="47">
        <v>0.95</v>
      </c>
      <c r="G42">
        <v>25</v>
      </c>
      <c r="H42">
        <v>100</v>
      </c>
      <c r="I42">
        <v>16670</v>
      </c>
      <c r="K42" t="s">
        <v>4677</v>
      </c>
      <c r="L42" t="s">
        <v>4667</v>
      </c>
      <c r="M42" t="s">
        <v>6684</v>
      </c>
      <c r="N42">
        <v>36.200000000000003</v>
      </c>
      <c r="O42">
        <v>36.200000000000003</v>
      </c>
      <c r="P42" s="47">
        <v>0.82</v>
      </c>
      <c r="Q42">
        <v>25</v>
      </c>
      <c r="R42">
        <v>100</v>
      </c>
      <c r="S42">
        <v>16961</v>
      </c>
      <c r="V42" t="s">
        <v>4678</v>
      </c>
      <c r="W42" t="s">
        <v>4597</v>
      </c>
      <c r="X42" t="s">
        <v>6685</v>
      </c>
      <c r="Y42">
        <v>42.1</v>
      </c>
      <c r="Z42">
        <v>42.1</v>
      </c>
      <c r="AA42" s="47">
        <v>1</v>
      </c>
      <c r="AB42">
        <v>0.8</v>
      </c>
      <c r="AC42">
        <v>96</v>
      </c>
      <c r="AD42">
        <v>1812</v>
      </c>
    </row>
    <row r="43" spans="1:30" x14ac:dyDescent="0.2">
      <c r="A43" t="s">
        <v>4679</v>
      </c>
      <c r="B43" t="s">
        <v>4680</v>
      </c>
      <c r="C43" t="s">
        <v>6686</v>
      </c>
      <c r="D43">
        <v>36.200000000000003</v>
      </c>
      <c r="E43">
        <v>36.200000000000003</v>
      </c>
      <c r="F43" s="47">
        <v>0.95</v>
      </c>
      <c r="G43">
        <v>25</v>
      </c>
      <c r="H43">
        <v>100</v>
      </c>
      <c r="I43">
        <v>16712</v>
      </c>
      <c r="K43" t="s">
        <v>4681</v>
      </c>
      <c r="L43" t="s">
        <v>4682</v>
      </c>
      <c r="M43" t="s">
        <v>6687</v>
      </c>
      <c r="N43">
        <v>34.200000000000003</v>
      </c>
      <c r="O43">
        <v>34.200000000000003</v>
      </c>
      <c r="P43" s="47">
        <v>0.77</v>
      </c>
      <c r="Q43">
        <v>97</v>
      </c>
      <c r="R43">
        <v>100</v>
      </c>
      <c r="S43">
        <v>196116</v>
      </c>
      <c r="V43" t="s">
        <v>4683</v>
      </c>
      <c r="W43" t="s">
        <v>4684</v>
      </c>
      <c r="X43" t="s">
        <v>6688</v>
      </c>
      <c r="Y43">
        <v>42.1</v>
      </c>
      <c r="Z43">
        <v>42.1</v>
      </c>
      <c r="AA43" s="47">
        <v>1</v>
      </c>
      <c r="AB43">
        <v>0.8</v>
      </c>
      <c r="AC43">
        <v>96</v>
      </c>
      <c r="AD43">
        <v>16597</v>
      </c>
    </row>
    <row r="44" spans="1:30" x14ac:dyDescent="0.2">
      <c r="A44" t="s">
        <v>4685</v>
      </c>
      <c r="B44" t="s">
        <v>4686</v>
      </c>
      <c r="C44" t="s">
        <v>6689</v>
      </c>
      <c r="D44">
        <v>36.200000000000003</v>
      </c>
      <c r="E44">
        <v>36.200000000000003</v>
      </c>
      <c r="F44" s="47">
        <v>0.95</v>
      </c>
      <c r="G44">
        <v>25</v>
      </c>
      <c r="H44">
        <v>100</v>
      </c>
      <c r="I44">
        <v>16569</v>
      </c>
      <c r="K44" t="s">
        <v>4687</v>
      </c>
      <c r="L44" t="s">
        <v>4688</v>
      </c>
      <c r="M44" t="s">
        <v>6690</v>
      </c>
      <c r="N44">
        <v>34.200000000000003</v>
      </c>
      <c r="O44">
        <v>34.200000000000003</v>
      </c>
      <c r="P44" s="47">
        <v>0.77</v>
      </c>
      <c r="Q44">
        <v>97</v>
      </c>
      <c r="R44">
        <v>100</v>
      </c>
      <c r="S44">
        <v>2490115</v>
      </c>
      <c r="V44" t="s">
        <v>4689</v>
      </c>
      <c r="W44" t="s">
        <v>4640</v>
      </c>
      <c r="X44" t="s">
        <v>6691</v>
      </c>
      <c r="Y44">
        <v>42.1</v>
      </c>
      <c r="Z44">
        <v>42.1</v>
      </c>
      <c r="AA44" s="47">
        <v>1</v>
      </c>
      <c r="AB44">
        <v>0.8</v>
      </c>
      <c r="AC44">
        <v>96</v>
      </c>
      <c r="AD44">
        <v>16608</v>
      </c>
    </row>
    <row r="45" spans="1:30" x14ac:dyDescent="0.2">
      <c r="A45" t="s">
        <v>4690</v>
      </c>
      <c r="B45" t="s">
        <v>4674</v>
      </c>
      <c r="C45" t="s">
        <v>6692</v>
      </c>
      <c r="D45">
        <v>36.200000000000003</v>
      </c>
      <c r="E45">
        <v>36.200000000000003</v>
      </c>
      <c r="F45" s="47">
        <v>0.95</v>
      </c>
      <c r="G45">
        <v>25</v>
      </c>
      <c r="H45">
        <v>100</v>
      </c>
      <c r="I45">
        <v>4407</v>
      </c>
      <c r="K45" t="s">
        <v>4691</v>
      </c>
      <c r="L45" t="s">
        <v>4692</v>
      </c>
      <c r="M45" t="s">
        <v>6693</v>
      </c>
      <c r="N45">
        <v>34.200000000000003</v>
      </c>
      <c r="O45">
        <v>34.200000000000003</v>
      </c>
      <c r="P45" s="47">
        <v>0.77</v>
      </c>
      <c r="Q45">
        <v>97</v>
      </c>
      <c r="R45">
        <v>100</v>
      </c>
      <c r="S45">
        <v>28735</v>
      </c>
      <c r="V45" t="s">
        <v>4693</v>
      </c>
      <c r="W45" t="s">
        <v>4694</v>
      </c>
      <c r="X45" t="s">
        <v>6694</v>
      </c>
      <c r="Y45">
        <v>42.1</v>
      </c>
      <c r="Z45">
        <v>42.1</v>
      </c>
      <c r="AA45" s="47">
        <v>1</v>
      </c>
      <c r="AB45">
        <v>0.8</v>
      </c>
      <c r="AC45">
        <v>96</v>
      </c>
      <c r="AD45">
        <v>16494</v>
      </c>
    </row>
    <row r="46" spans="1:30" x14ac:dyDescent="0.2">
      <c r="A46" t="s">
        <v>4695</v>
      </c>
      <c r="B46" t="s">
        <v>4674</v>
      </c>
      <c r="C46" t="s">
        <v>6695</v>
      </c>
      <c r="D46">
        <v>36.200000000000003</v>
      </c>
      <c r="E46">
        <v>36.200000000000003</v>
      </c>
      <c r="F46" s="47">
        <v>0.95</v>
      </c>
      <c r="G46">
        <v>25</v>
      </c>
      <c r="H46">
        <v>100</v>
      </c>
      <c r="I46">
        <v>4393</v>
      </c>
      <c r="K46" t="s">
        <v>4696</v>
      </c>
      <c r="L46" t="s">
        <v>4697</v>
      </c>
      <c r="M46" t="s">
        <v>6696</v>
      </c>
      <c r="N46">
        <v>34.200000000000003</v>
      </c>
      <c r="O46">
        <v>34.200000000000003</v>
      </c>
      <c r="P46" s="47">
        <v>0.95</v>
      </c>
      <c r="Q46">
        <v>97</v>
      </c>
      <c r="R46">
        <v>95.24</v>
      </c>
      <c r="S46">
        <v>5038017</v>
      </c>
      <c r="V46" t="s">
        <v>4698</v>
      </c>
      <c r="W46" t="s">
        <v>4646</v>
      </c>
      <c r="X46" t="s">
        <v>6697</v>
      </c>
      <c r="Y46">
        <v>42.1</v>
      </c>
      <c r="Z46">
        <v>42.1</v>
      </c>
      <c r="AA46" s="47">
        <v>1</v>
      </c>
      <c r="AB46">
        <v>0.8</v>
      </c>
      <c r="AC46">
        <v>96</v>
      </c>
      <c r="AD46">
        <v>16604</v>
      </c>
    </row>
    <row r="47" spans="1:30" x14ac:dyDescent="0.2">
      <c r="A47" t="s">
        <v>4699</v>
      </c>
      <c r="B47" t="s">
        <v>2719</v>
      </c>
      <c r="C47" t="s">
        <v>6698</v>
      </c>
      <c r="D47">
        <v>36.200000000000003</v>
      </c>
      <c r="E47">
        <v>36.200000000000003</v>
      </c>
      <c r="F47" s="47">
        <v>0.95</v>
      </c>
      <c r="G47">
        <v>25</v>
      </c>
      <c r="H47">
        <v>100</v>
      </c>
      <c r="I47">
        <v>16881</v>
      </c>
      <c r="K47" t="s">
        <v>4700</v>
      </c>
      <c r="L47" t="s">
        <v>4701</v>
      </c>
      <c r="M47" t="s">
        <v>6699</v>
      </c>
      <c r="N47">
        <v>34.200000000000003</v>
      </c>
      <c r="O47">
        <v>34.200000000000003</v>
      </c>
      <c r="P47" s="47">
        <v>0.77</v>
      </c>
      <c r="Q47">
        <v>97</v>
      </c>
      <c r="R47">
        <v>100</v>
      </c>
      <c r="S47">
        <v>16698</v>
      </c>
      <c r="V47" t="s">
        <v>4702</v>
      </c>
      <c r="W47" t="s">
        <v>4703</v>
      </c>
      <c r="X47" t="s">
        <v>6700</v>
      </c>
      <c r="Y47">
        <v>42.1</v>
      </c>
      <c r="Z47">
        <v>42.1</v>
      </c>
      <c r="AA47" s="47">
        <v>1</v>
      </c>
      <c r="AB47">
        <v>0.8</v>
      </c>
      <c r="AC47">
        <v>96</v>
      </c>
      <c r="AD47">
        <v>17785</v>
      </c>
    </row>
    <row r="48" spans="1:30" x14ac:dyDescent="0.2">
      <c r="A48" t="s">
        <v>4704</v>
      </c>
      <c r="B48" t="s">
        <v>4705</v>
      </c>
      <c r="C48" t="s">
        <v>6701</v>
      </c>
      <c r="D48">
        <v>36.200000000000003</v>
      </c>
      <c r="E48">
        <v>36.200000000000003</v>
      </c>
      <c r="F48" s="47">
        <v>0.95</v>
      </c>
      <c r="G48">
        <v>25</v>
      </c>
      <c r="H48">
        <v>100</v>
      </c>
      <c r="I48">
        <v>16507</v>
      </c>
      <c r="K48" t="s">
        <v>4706</v>
      </c>
      <c r="L48" t="s">
        <v>4707</v>
      </c>
      <c r="M48" t="s">
        <v>6702</v>
      </c>
      <c r="N48">
        <v>34.200000000000003</v>
      </c>
      <c r="O48">
        <v>34.200000000000003</v>
      </c>
      <c r="P48" s="47">
        <v>0.77</v>
      </c>
      <c r="Q48">
        <v>97</v>
      </c>
      <c r="R48">
        <v>100</v>
      </c>
      <c r="S48">
        <v>2542597</v>
      </c>
      <c r="V48" t="s">
        <v>4708</v>
      </c>
      <c r="W48" t="s">
        <v>4709</v>
      </c>
      <c r="X48" t="s">
        <v>6703</v>
      </c>
      <c r="Y48">
        <v>42.1</v>
      </c>
      <c r="Z48">
        <v>42.1</v>
      </c>
      <c r="AA48" s="47">
        <v>1</v>
      </c>
      <c r="AB48">
        <v>0.8</v>
      </c>
      <c r="AC48">
        <v>96</v>
      </c>
      <c r="AD48">
        <v>17476</v>
      </c>
    </row>
    <row r="49" spans="1:30" x14ac:dyDescent="0.2">
      <c r="A49" t="s">
        <v>4710</v>
      </c>
      <c r="B49" t="s">
        <v>4711</v>
      </c>
      <c r="C49" t="s">
        <v>6704</v>
      </c>
      <c r="D49">
        <v>36.200000000000003</v>
      </c>
      <c r="E49">
        <v>36.200000000000003</v>
      </c>
      <c r="F49" s="47">
        <v>0.95</v>
      </c>
      <c r="G49">
        <v>25</v>
      </c>
      <c r="H49">
        <v>100</v>
      </c>
      <c r="I49">
        <v>16473</v>
      </c>
      <c r="K49" t="s">
        <v>4712</v>
      </c>
      <c r="L49" t="s">
        <v>4713</v>
      </c>
      <c r="M49" t="s">
        <v>6705</v>
      </c>
      <c r="N49">
        <v>34.200000000000003</v>
      </c>
      <c r="O49">
        <v>34.200000000000003</v>
      </c>
      <c r="P49" s="47">
        <v>0.77</v>
      </c>
      <c r="Q49">
        <v>97</v>
      </c>
      <c r="R49">
        <v>100</v>
      </c>
      <c r="S49">
        <v>29547</v>
      </c>
      <c r="V49" t="s">
        <v>4714</v>
      </c>
      <c r="W49" t="s">
        <v>4597</v>
      </c>
      <c r="X49" t="s">
        <v>6706</v>
      </c>
      <c r="Y49">
        <v>42.1</v>
      </c>
      <c r="Z49">
        <v>42.1</v>
      </c>
      <c r="AA49" s="47">
        <v>1</v>
      </c>
      <c r="AB49">
        <v>0.8</v>
      </c>
      <c r="AC49">
        <v>96</v>
      </c>
      <c r="AD49">
        <v>1812</v>
      </c>
    </row>
    <row r="50" spans="1:30" x14ac:dyDescent="0.2">
      <c r="A50" t="s">
        <v>4715</v>
      </c>
      <c r="B50" t="s">
        <v>4716</v>
      </c>
      <c r="C50" t="s">
        <v>6707</v>
      </c>
      <c r="D50">
        <v>36.200000000000003</v>
      </c>
      <c r="E50">
        <v>36.200000000000003</v>
      </c>
      <c r="F50" s="47">
        <v>0.95</v>
      </c>
      <c r="G50">
        <v>25</v>
      </c>
      <c r="H50">
        <v>100</v>
      </c>
      <c r="I50">
        <v>16658</v>
      </c>
      <c r="K50" t="s">
        <v>4717</v>
      </c>
      <c r="L50" t="s">
        <v>4718</v>
      </c>
      <c r="M50" t="s">
        <v>6708</v>
      </c>
      <c r="N50">
        <v>34.200000000000003</v>
      </c>
      <c r="O50">
        <v>34.200000000000003</v>
      </c>
      <c r="P50" s="47">
        <v>0.77</v>
      </c>
      <c r="Q50">
        <v>97</v>
      </c>
      <c r="R50">
        <v>100</v>
      </c>
      <c r="S50">
        <v>16206</v>
      </c>
      <c r="V50" t="s">
        <v>4719</v>
      </c>
      <c r="W50" t="s">
        <v>4593</v>
      </c>
      <c r="X50" t="s">
        <v>6709</v>
      </c>
      <c r="Y50">
        <v>42.1</v>
      </c>
      <c r="Z50">
        <v>42.1</v>
      </c>
      <c r="AA50" s="47">
        <v>1</v>
      </c>
      <c r="AB50">
        <v>0.8</v>
      </c>
      <c r="AC50">
        <v>96</v>
      </c>
      <c r="AD50">
        <v>1061</v>
      </c>
    </row>
    <row r="51" spans="1:30" x14ac:dyDescent="0.2">
      <c r="A51" t="s">
        <v>4720</v>
      </c>
      <c r="B51" t="s">
        <v>4721</v>
      </c>
      <c r="C51" t="s">
        <v>6710</v>
      </c>
      <c r="D51">
        <v>36.200000000000003</v>
      </c>
      <c r="E51">
        <v>36.200000000000003</v>
      </c>
      <c r="F51" s="47">
        <v>0.95</v>
      </c>
      <c r="G51">
        <v>25</v>
      </c>
      <c r="H51">
        <v>100</v>
      </c>
      <c r="I51">
        <v>16510</v>
      </c>
      <c r="K51" t="s">
        <v>4722</v>
      </c>
      <c r="L51" t="s">
        <v>2800</v>
      </c>
      <c r="M51" t="s">
        <v>6711</v>
      </c>
      <c r="N51">
        <v>34.200000000000003</v>
      </c>
      <c r="O51">
        <v>34.200000000000003</v>
      </c>
      <c r="P51" s="47">
        <v>0.77</v>
      </c>
      <c r="Q51">
        <v>97</v>
      </c>
      <c r="R51">
        <v>100</v>
      </c>
      <c r="S51">
        <v>16580</v>
      </c>
      <c r="V51" t="s">
        <v>4723</v>
      </c>
      <c r="W51" t="s">
        <v>4669</v>
      </c>
      <c r="X51" t="s">
        <v>6712</v>
      </c>
      <c r="Y51">
        <v>42.1</v>
      </c>
      <c r="Z51">
        <v>42.1</v>
      </c>
      <c r="AA51" s="47">
        <v>1</v>
      </c>
      <c r="AB51">
        <v>0.8</v>
      </c>
      <c r="AC51">
        <v>96</v>
      </c>
      <c r="AD51">
        <v>16608</v>
      </c>
    </row>
    <row r="52" spans="1:30" x14ac:dyDescent="0.2">
      <c r="A52" t="s">
        <v>4724</v>
      </c>
      <c r="B52" t="s">
        <v>4725</v>
      </c>
      <c r="C52" t="s">
        <v>6713</v>
      </c>
      <c r="D52">
        <v>36.200000000000003</v>
      </c>
      <c r="E52">
        <v>36.200000000000003</v>
      </c>
      <c r="F52" s="47">
        <v>0.95</v>
      </c>
      <c r="G52">
        <v>25</v>
      </c>
      <c r="H52">
        <v>100</v>
      </c>
      <c r="I52">
        <v>16632</v>
      </c>
      <c r="K52" t="s">
        <v>4726</v>
      </c>
      <c r="L52" t="s">
        <v>2498</v>
      </c>
      <c r="M52" t="s">
        <v>6714</v>
      </c>
      <c r="N52">
        <v>34.200000000000003</v>
      </c>
      <c r="O52">
        <v>34.200000000000003</v>
      </c>
      <c r="P52" s="47">
        <v>0.77</v>
      </c>
      <c r="Q52">
        <v>97</v>
      </c>
      <c r="R52">
        <v>100</v>
      </c>
      <c r="S52">
        <v>16526</v>
      </c>
      <c r="V52" t="s">
        <v>4727</v>
      </c>
      <c r="W52" t="s">
        <v>2382</v>
      </c>
      <c r="X52" t="s">
        <v>6715</v>
      </c>
      <c r="Y52">
        <v>42.1</v>
      </c>
      <c r="Z52">
        <v>42.1</v>
      </c>
      <c r="AA52" s="47">
        <v>1</v>
      </c>
      <c r="AB52">
        <v>0.8</v>
      </c>
      <c r="AC52">
        <v>96</v>
      </c>
      <c r="AD52">
        <v>16623</v>
      </c>
    </row>
    <row r="53" spans="1:30" x14ac:dyDescent="0.2">
      <c r="A53" t="s">
        <v>4728</v>
      </c>
      <c r="B53" t="s">
        <v>4729</v>
      </c>
      <c r="C53" t="s">
        <v>6716</v>
      </c>
      <c r="D53">
        <v>36.200000000000003</v>
      </c>
      <c r="E53">
        <v>36.200000000000003</v>
      </c>
      <c r="F53" s="47">
        <v>0.95</v>
      </c>
      <c r="G53">
        <v>25</v>
      </c>
      <c r="H53">
        <v>100</v>
      </c>
      <c r="I53">
        <v>16538</v>
      </c>
      <c r="K53" t="s">
        <v>4730</v>
      </c>
      <c r="L53" t="s">
        <v>4682</v>
      </c>
      <c r="M53" t="s">
        <v>6717</v>
      </c>
      <c r="N53">
        <v>34.200000000000003</v>
      </c>
      <c r="O53">
        <v>34.200000000000003</v>
      </c>
      <c r="P53" s="47">
        <v>0.77</v>
      </c>
      <c r="Q53">
        <v>97</v>
      </c>
      <c r="R53">
        <v>100</v>
      </c>
      <c r="S53">
        <v>196105</v>
      </c>
      <c r="V53" t="s">
        <v>4731</v>
      </c>
      <c r="W53" t="s">
        <v>4732</v>
      </c>
      <c r="X53" t="s">
        <v>6718</v>
      </c>
      <c r="Y53">
        <v>42.1</v>
      </c>
      <c r="Z53">
        <v>42.1</v>
      </c>
      <c r="AA53" s="47">
        <v>1</v>
      </c>
      <c r="AB53">
        <v>0.8</v>
      </c>
      <c r="AC53">
        <v>96</v>
      </c>
      <c r="AD53">
        <v>16533</v>
      </c>
    </row>
    <row r="54" spans="1:30" x14ac:dyDescent="0.2">
      <c r="A54" t="s">
        <v>4733</v>
      </c>
      <c r="B54" t="s">
        <v>4734</v>
      </c>
      <c r="C54" t="s">
        <v>6719</v>
      </c>
      <c r="D54">
        <v>36.200000000000003</v>
      </c>
      <c r="E54">
        <v>36.200000000000003</v>
      </c>
      <c r="F54" s="47">
        <v>0.95</v>
      </c>
      <c r="G54">
        <v>25</v>
      </c>
      <c r="H54">
        <v>100</v>
      </c>
      <c r="I54">
        <v>945</v>
      </c>
      <c r="K54" t="s">
        <v>4735</v>
      </c>
      <c r="L54" t="s">
        <v>4736</v>
      </c>
      <c r="M54" t="s">
        <v>6720</v>
      </c>
      <c r="N54">
        <v>34.200000000000003</v>
      </c>
      <c r="O54">
        <v>34.200000000000003</v>
      </c>
      <c r="P54" s="47">
        <v>0.77</v>
      </c>
      <c r="Q54">
        <v>97</v>
      </c>
      <c r="R54">
        <v>100</v>
      </c>
      <c r="S54">
        <v>1949961</v>
      </c>
      <c r="V54" t="s">
        <v>4737</v>
      </c>
      <c r="W54" t="s">
        <v>4597</v>
      </c>
      <c r="X54" t="s">
        <v>6721</v>
      </c>
      <c r="Y54">
        <v>42.1</v>
      </c>
      <c r="Z54">
        <v>42.1</v>
      </c>
      <c r="AA54" s="47">
        <v>1</v>
      </c>
      <c r="AB54">
        <v>0.8</v>
      </c>
      <c r="AC54">
        <v>96</v>
      </c>
      <c r="AD54">
        <v>336</v>
      </c>
    </row>
    <row r="55" spans="1:30" x14ac:dyDescent="0.2">
      <c r="A55" t="s">
        <v>4738</v>
      </c>
      <c r="B55" t="s">
        <v>4739</v>
      </c>
      <c r="C55" t="s">
        <v>6722</v>
      </c>
      <c r="D55">
        <v>36.200000000000003</v>
      </c>
      <c r="E55">
        <v>36.200000000000003</v>
      </c>
      <c r="F55" s="47">
        <v>0.95</v>
      </c>
      <c r="G55">
        <v>25</v>
      </c>
      <c r="H55">
        <v>100</v>
      </c>
      <c r="I55">
        <v>16480</v>
      </c>
      <c r="K55" t="s">
        <v>4740</v>
      </c>
      <c r="L55" t="s">
        <v>4688</v>
      </c>
      <c r="M55" t="s">
        <v>6723</v>
      </c>
      <c r="N55">
        <v>34.200000000000003</v>
      </c>
      <c r="O55">
        <v>34.200000000000003</v>
      </c>
      <c r="P55" s="47">
        <v>0.77</v>
      </c>
      <c r="Q55">
        <v>97</v>
      </c>
      <c r="R55">
        <v>100</v>
      </c>
      <c r="S55">
        <v>2453751</v>
      </c>
      <c r="V55" t="s">
        <v>4741</v>
      </c>
      <c r="W55" t="s">
        <v>4742</v>
      </c>
      <c r="X55" t="s">
        <v>6724</v>
      </c>
      <c r="Y55">
        <v>42.1</v>
      </c>
      <c r="Z55">
        <v>42.1</v>
      </c>
      <c r="AA55" s="47">
        <v>1</v>
      </c>
      <c r="AB55">
        <v>0.8</v>
      </c>
      <c r="AC55">
        <v>96</v>
      </c>
      <c r="AD55">
        <v>16549</v>
      </c>
    </row>
    <row r="56" spans="1:30" x14ac:dyDescent="0.2">
      <c r="A56" t="s">
        <v>4743</v>
      </c>
      <c r="B56" t="s">
        <v>4744</v>
      </c>
      <c r="C56" t="s">
        <v>6725</v>
      </c>
      <c r="D56">
        <v>36.200000000000003</v>
      </c>
      <c r="E56">
        <v>36.200000000000003</v>
      </c>
      <c r="F56" s="47">
        <v>0.95</v>
      </c>
      <c r="G56">
        <v>25</v>
      </c>
      <c r="H56">
        <v>100</v>
      </c>
      <c r="I56">
        <v>15666</v>
      </c>
      <c r="K56" t="s">
        <v>4745</v>
      </c>
      <c r="L56" t="s">
        <v>1983</v>
      </c>
      <c r="M56" t="s">
        <v>6726</v>
      </c>
      <c r="N56">
        <v>34.200000000000003</v>
      </c>
      <c r="O56">
        <v>34.200000000000003</v>
      </c>
      <c r="P56" s="47">
        <v>0.77</v>
      </c>
      <c r="Q56">
        <v>97</v>
      </c>
      <c r="R56">
        <v>100</v>
      </c>
      <c r="S56">
        <v>16587</v>
      </c>
      <c r="V56" t="s">
        <v>4746</v>
      </c>
      <c r="W56" t="s">
        <v>4640</v>
      </c>
      <c r="X56" t="s">
        <v>6727</v>
      </c>
      <c r="Y56">
        <v>42.1</v>
      </c>
      <c r="Z56">
        <v>42.1</v>
      </c>
      <c r="AA56" s="47">
        <v>1</v>
      </c>
      <c r="AB56">
        <v>0.8</v>
      </c>
      <c r="AC56">
        <v>96</v>
      </c>
      <c r="AD56">
        <v>16676</v>
      </c>
    </row>
    <row r="57" spans="1:30" x14ac:dyDescent="0.2">
      <c r="A57" t="s">
        <v>4747</v>
      </c>
      <c r="B57" t="s">
        <v>2719</v>
      </c>
      <c r="C57" t="s">
        <v>6728</v>
      </c>
      <c r="D57">
        <v>36.200000000000003</v>
      </c>
      <c r="E57">
        <v>36.200000000000003</v>
      </c>
      <c r="F57" s="47">
        <v>0.95</v>
      </c>
      <c r="G57">
        <v>25</v>
      </c>
      <c r="H57">
        <v>100</v>
      </c>
      <c r="I57">
        <v>16869</v>
      </c>
      <c r="K57" t="s">
        <v>4748</v>
      </c>
      <c r="L57" t="s">
        <v>4688</v>
      </c>
      <c r="M57" t="s">
        <v>6729</v>
      </c>
      <c r="N57">
        <v>34.200000000000003</v>
      </c>
      <c r="O57">
        <v>34.200000000000003</v>
      </c>
      <c r="P57" s="47">
        <v>0.77</v>
      </c>
      <c r="Q57">
        <v>97</v>
      </c>
      <c r="R57">
        <v>100</v>
      </c>
      <c r="S57">
        <v>2453749</v>
      </c>
      <c r="V57" t="s">
        <v>4749</v>
      </c>
      <c r="W57" t="s">
        <v>4640</v>
      </c>
      <c r="X57" t="s">
        <v>6730</v>
      </c>
      <c r="Y57">
        <v>42.1</v>
      </c>
      <c r="Z57">
        <v>42.1</v>
      </c>
      <c r="AA57" s="47">
        <v>1</v>
      </c>
      <c r="AB57">
        <v>0.8</v>
      </c>
      <c r="AC57">
        <v>96</v>
      </c>
      <c r="AD57">
        <v>16684</v>
      </c>
    </row>
    <row r="58" spans="1:30" x14ac:dyDescent="0.2">
      <c r="A58" t="s">
        <v>4750</v>
      </c>
      <c r="B58" t="s">
        <v>2459</v>
      </c>
      <c r="C58" t="s">
        <v>6731</v>
      </c>
      <c r="D58">
        <v>36.200000000000003</v>
      </c>
      <c r="E58">
        <v>36.200000000000003</v>
      </c>
      <c r="F58" s="47">
        <v>0.95</v>
      </c>
      <c r="G58">
        <v>25</v>
      </c>
      <c r="H58">
        <v>100</v>
      </c>
      <c r="I58">
        <v>16499</v>
      </c>
      <c r="K58" t="s">
        <v>4751</v>
      </c>
      <c r="L58" t="s">
        <v>4752</v>
      </c>
      <c r="M58" t="s">
        <v>6732</v>
      </c>
      <c r="N58">
        <v>34.200000000000003</v>
      </c>
      <c r="O58">
        <v>34.200000000000003</v>
      </c>
      <c r="P58" s="47">
        <v>0.77</v>
      </c>
      <c r="Q58">
        <v>97</v>
      </c>
      <c r="R58">
        <v>100</v>
      </c>
      <c r="S58">
        <v>8570</v>
      </c>
      <c r="V58" t="s">
        <v>4620</v>
      </c>
      <c r="W58" t="s">
        <v>4621</v>
      </c>
      <c r="X58" t="s">
        <v>6733</v>
      </c>
      <c r="Y58">
        <v>42.1</v>
      </c>
      <c r="Z58">
        <v>42.1</v>
      </c>
      <c r="AA58" s="47">
        <v>1</v>
      </c>
      <c r="AB58">
        <v>0.8</v>
      </c>
      <c r="AC58">
        <v>96</v>
      </c>
      <c r="AD58">
        <v>16680</v>
      </c>
    </row>
    <row r="59" spans="1:30" x14ac:dyDescent="0.2">
      <c r="A59" t="s">
        <v>4753</v>
      </c>
      <c r="B59" t="s">
        <v>4633</v>
      </c>
      <c r="C59" t="s">
        <v>6734</v>
      </c>
      <c r="D59">
        <v>36.200000000000003</v>
      </c>
      <c r="E59">
        <v>36.200000000000003</v>
      </c>
      <c r="F59" s="47">
        <v>0.95</v>
      </c>
      <c r="G59">
        <v>25</v>
      </c>
      <c r="H59">
        <v>100</v>
      </c>
      <c r="I59">
        <v>16598</v>
      </c>
      <c r="K59" t="s">
        <v>4754</v>
      </c>
      <c r="L59" t="s">
        <v>4755</v>
      </c>
      <c r="M59" t="s">
        <v>6735</v>
      </c>
      <c r="N59">
        <v>34.200000000000003</v>
      </c>
      <c r="O59">
        <v>34.200000000000003</v>
      </c>
      <c r="P59" s="47">
        <v>0.77</v>
      </c>
      <c r="Q59">
        <v>97</v>
      </c>
      <c r="R59">
        <v>100</v>
      </c>
      <c r="S59">
        <v>29247</v>
      </c>
      <c r="V59" t="s">
        <v>4756</v>
      </c>
      <c r="W59" t="s">
        <v>4646</v>
      </c>
      <c r="X59" t="s">
        <v>6736</v>
      </c>
      <c r="Y59">
        <v>42.1</v>
      </c>
      <c r="Z59">
        <v>42.1</v>
      </c>
      <c r="AA59" s="47">
        <v>1</v>
      </c>
      <c r="AB59">
        <v>0.8</v>
      </c>
      <c r="AC59">
        <v>96</v>
      </c>
      <c r="AD59">
        <v>16606</v>
      </c>
    </row>
    <row r="60" spans="1:30" x14ac:dyDescent="0.2">
      <c r="A60" t="s">
        <v>4757</v>
      </c>
      <c r="B60" t="s">
        <v>4758</v>
      </c>
      <c r="C60" t="s">
        <v>6737</v>
      </c>
      <c r="D60">
        <v>36.200000000000003</v>
      </c>
      <c r="E60">
        <v>36.200000000000003</v>
      </c>
      <c r="F60" s="47">
        <v>0.95</v>
      </c>
      <c r="G60">
        <v>25</v>
      </c>
      <c r="H60">
        <v>100</v>
      </c>
      <c r="I60">
        <v>16529</v>
      </c>
      <c r="K60" t="s">
        <v>3708</v>
      </c>
      <c r="L60" t="s">
        <v>2250</v>
      </c>
      <c r="M60" t="s">
        <v>6738</v>
      </c>
      <c r="N60">
        <v>34.200000000000003</v>
      </c>
      <c r="O60">
        <v>34.200000000000003</v>
      </c>
      <c r="P60" s="47">
        <v>0.77</v>
      </c>
      <c r="Q60">
        <v>97</v>
      </c>
      <c r="R60">
        <v>100</v>
      </c>
      <c r="S60">
        <v>16583</v>
      </c>
      <c r="V60" t="s">
        <v>4759</v>
      </c>
      <c r="W60" t="s">
        <v>4597</v>
      </c>
      <c r="X60" t="s">
        <v>6739</v>
      </c>
      <c r="Y60">
        <v>42.1</v>
      </c>
      <c r="Z60">
        <v>42.1</v>
      </c>
      <c r="AA60" s="47">
        <v>1</v>
      </c>
      <c r="AB60">
        <v>0.8</v>
      </c>
      <c r="AC60">
        <v>96</v>
      </c>
      <c r="AD60">
        <v>1812</v>
      </c>
    </row>
    <row r="61" spans="1:30" x14ac:dyDescent="0.2">
      <c r="A61" t="s">
        <v>4760</v>
      </c>
      <c r="B61" t="s">
        <v>4761</v>
      </c>
      <c r="C61" t="s">
        <v>6740</v>
      </c>
      <c r="D61">
        <v>36.200000000000003</v>
      </c>
      <c r="E61">
        <v>36.200000000000003</v>
      </c>
      <c r="F61" s="47">
        <v>0.95</v>
      </c>
      <c r="G61">
        <v>25</v>
      </c>
      <c r="H61">
        <v>100</v>
      </c>
      <c r="I61">
        <v>16535</v>
      </c>
      <c r="K61" t="s">
        <v>4762</v>
      </c>
      <c r="L61" t="s">
        <v>3152</v>
      </c>
      <c r="M61" t="s">
        <v>6741</v>
      </c>
      <c r="N61">
        <v>34.200000000000003</v>
      </c>
      <c r="O61">
        <v>34.200000000000003</v>
      </c>
      <c r="P61" s="47">
        <v>0.77</v>
      </c>
      <c r="Q61">
        <v>97</v>
      </c>
      <c r="R61">
        <v>100</v>
      </c>
      <c r="S61">
        <v>16541</v>
      </c>
      <c r="V61" t="s">
        <v>4763</v>
      </c>
      <c r="W61" t="s">
        <v>4646</v>
      </c>
      <c r="X61" t="s">
        <v>6742</v>
      </c>
      <c r="Y61">
        <v>42.1</v>
      </c>
      <c r="Z61">
        <v>42.1</v>
      </c>
      <c r="AA61" s="47">
        <v>1</v>
      </c>
      <c r="AB61">
        <v>0.8</v>
      </c>
      <c r="AC61">
        <v>96</v>
      </c>
      <c r="AD61">
        <v>16606</v>
      </c>
    </row>
    <row r="62" spans="1:30" x14ac:dyDescent="0.2">
      <c r="A62" t="s">
        <v>4764</v>
      </c>
      <c r="B62" t="s">
        <v>4734</v>
      </c>
      <c r="C62" t="s">
        <v>6743</v>
      </c>
      <c r="D62">
        <v>36.200000000000003</v>
      </c>
      <c r="E62">
        <v>36.200000000000003</v>
      </c>
      <c r="F62" s="47">
        <v>0.95</v>
      </c>
      <c r="G62">
        <v>25</v>
      </c>
      <c r="H62">
        <v>100</v>
      </c>
      <c r="I62">
        <v>945</v>
      </c>
      <c r="K62" t="s">
        <v>4765</v>
      </c>
      <c r="L62" t="s">
        <v>4766</v>
      </c>
      <c r="M62" t="s">
        <v>6744</v>
      </c>
      <c r="N62">
        <v>34.200000000000003</v>
      </c>
      <c r="O62">
        <v>34.200000000000003</v>
      </c>
      <c r="P62" s="47">
        <v>0.77</v>
      </c>
      <c r="Q62">
        <v>97</v>
      </c>
      <c r="R62">
        <v>100</v>
      </c>
      <c r="S62">
        <v>4035571</v>
      </c>
      <c r="V62" t="s">
        <v>4767</v>
      </c>
      <c r="W62" t="s">
        <v>4768</v>
      </c>
      <c r="X62" t="s">
        <v>6745</v>
      </c>
      <c r="Y62">
        <v>42.1</v>
      </c>
      <c r="Z62">
        <v>42.1</v>
      </c>
      <c r="AA62" s="47">
        <v>1</v>
      </c>
      <c r="AB62">
        <v>0.8</v>
      </c>
      <c r="AC62">
        <v>96</v>
      </c>
      <c r="AD62">
        <v>16693</v>
      </c>
    </row>
    <row r="63" spans="1:30" x14ac:dyDescent="0.2">
      <c r="A63" t="s">
        <v>4769</v>
      </c>
      <c r="B63" t="s">
        <v>1850</v>
      </c>
      <c r="C63" t="s">
        <v>6746</v>
      </c>
      <c r="D63">
        <v>36.200000000000003</v>
      </c>
      <c r="E63">
        <v>36.200000000000003</v>
      </c>
      <c r="F63" s="47">
        <v>0.95</v>
      </c>
      <c r="G63">
        <v>25</v>
      </c>
      <c r="H63">
        <v>100</v>
      </c>
      <c r="I63">
        <v>17010</v>
      </c>
      <c r="K63" t="s">
        <v>4770</v>
      </c>
      <c r="L63" t="s">
        <v>4688</v>
      </c>
      <c r="M63" t="s">
        <v>6747</v>
      </c>
      <c r="N63">
        <v>34.200000000000003</v>
      </c>
      <c r="O63">
        <v>34.200000000000003</v>
      </c>
      <c r="P63" s="47">
        <v>0.77</v>
      </c>
      <c r="Q63">
        <v>97</v>
      </c>
      <c r="R63">
        <v>100</v>
      </c>
      <c r="S63">
        <v>2483321</v>
      </c>
      <c r="V63" t="s">
        <v>4771</v>
      </c>
      <c r="W63" t="s">
        <v>4646</v>
      </c>
      <c r="X63" t="s">
        <v>6748</v>
      </c>
      <c r="Y63">
        <v>42.1</v>
      </c>
      <c r="Z63">
        <v>42.1</v>
      </c>
      <c r="AA63" s="47">
        <v>1</v>
      </c>
      <c r="AB63">
        <v>0.8</v>
      </c>
      <c r="AC63">
        <v>96</v>
      </c>
      <c r="AD63">
        <v>16604</v>
      </c>
    </row>
    <row r="64" spans="1:30" x14ac:dyDescent="0.2">
      <c r="A64" t="s">
        <v>4772</v>
      </c>
      <c r="B64" t="s">
        <v>2133</v>
      </c>
      <c r="C64" t="s">
        <v>6749</v>
      </c>
      <c r="D64">
        <v>36.200000000000003</v>
      </c>
      <c r="E64">
        <v>36.200000000000003</v>
      </c>
      <c r="F64" s="47">
        <v>0.95</v>
      </c>
      <c r="G64">
        <v>25</v>
      </c>
      <c r="H64">
        <v>100</v>
      </c>
      <c r="I64">
        <v>16581</v>
      </c>
      <c r="K64" t="s">
        <v>3531</v>
      </c>
      <c r="L64" t="s">
        <v>2379</v>
      </c>
      <c r="M64" t="s">
        <v>6750</v>
      </c>
      <c r="N64">
        <v>34.200000000000003</v>
      </c>
      <c r="O64">
        <v>34.200000000000003</v>
      </c>
      <c r="P64" s="47">
        <v>0.95</v>
      </c>
      <c r="Q64">
        <v>97</v>
      </c>
      <c r="R64">
        <v>95.24</v>
      </c>
      <c r="S64">
        <v>16626</v>
      </c>
      <c r="V64" t="s">
        <v>4773</v>
      </c>
      <c r="W64" t="s">
        <v>4646</v>
      </c>
      <c r="X64" t="s">
        <v>6751</v>
      </c>
      <c r="Y64">
        <v>42.1</v>
      </c>
      <c r="Z64">
        <v>42.1</v>
      </c>
      <c r="AA64" s="47">
        <v>1</v>
      </c>
      <c r="AB64">
        <v>0.8</v>
      </c>
      <c r="AC64">
        <v>96</v>
      </c>
      <c r="AD64">
        <v>994</v>
      </c>
    </row>
    <row r="65" spans="1:30" x14ac:dyDescent="0.2">
      <c r="A65" t="s">
        <v>4774</v>
      </c>
      <c r="B65" t="s">
        <v>4775</v>
      </c>
      <c r="C65" t="s">
        <v>6752</v>
      </c>
      <c r="D65">
        <v>36.200000000000003</v>
      </c>
      <c r="E65">
        <v>36.200000000000003</v>
      </c>
      <c r="F65" s="47">
        <v>0.95</v>
      </c>
      <c r="G65">
        <v>25</v>
      </c>
      <c r="H65">
        <v>100</v>
      </c>
      <c r="I65">
        <v>882</v>
      </c>
      <c r="K65" t="s">
        <v>4776</v>
      </c>
      <c r="L65" t="s">
        <v>4688</v>
      </c>
      <c r="M65" t="s">
        <v>6753</v>
      </c>
      <c r="N65">
        <v>34.200000000000003</v>
      </c>
      <c r="O65">
        <v>34.200000000000003</v>
      </c>
      <c r="P65" s="47">
        <v>0.77</v>
      </c>
      <c r="Q65">
        <v>97</v>
      </c>
      <c r="R65">
        <v>100</v>
      </c>
      <c r="S65">
        <v>2453761</v>
      </c>
      <c r="V65" t="s">
        <v>4777</v>
      </c>
      <c r="W65" t="s">
        <v>4778</v>
      </c>
      <c r="X65" t="s">
        <v>6754</v>
      </c>
      <c r="Y65">
        <v>42.1</v>
      </c>
      <c r="Z65">
        <v>42.1</v>
      </c>
      <c r="AA65" s="47">
        <v>1</v>
      </c>
      <c r="AB65">
        <v>0.8</v>
      </c>
      <c r="AC65">
        <v>96</v>
      </c>
      <c r="AD65">
        <v>16620</v>
      </c>
    </row>
    <row r="66" spans="1:30" x14ac:dyDescent="0.2">
      <c r="A66" t="s">
        <v>4779</v>
      </c>
      <c r="B66" t="s">
        <v>4780</v>
      </c>
      <c r="C66" t="s">
        <v>6755</v>
      </c>
      <c r="D66">
        <v>36.200000000000003</v>
      </c>
      <c r="E66">
        <v>36.200000000000003</v>
      </c>
      <c r="F66" s="47">
        <v>0.95</v>
      </c>
      <c r="G66">
        <v>25</v>
      </c>
      <c r="H66">
        <v>100</v>
      </c>
      <c r="I66">
        <v>16495</v>
      </c>
      <c r="K66" t="s">
        <v>4781</v>
      </c>
      <c r="L66" t="s">
        <v>4782</v>
      </c>
      <c r="M66" t="s">
        <v>6756</v>
      </c>
      <c r="N66">
        <v>34.200000000000003</v>
      </c>
      <c r="O66">
        <v>34.200000000000003</v>
      </c>
      <c r="P66" s="47">
        <v>0.77</v>
      </c>
      <c r="Q66">
        <v>97</v>
      </c>
      <c r="R66">
        <v>100</v>
      </c>
      <c r="S66">
        <v>22321351</v>
      </c>
      <c r="V66" t="s">
        <v>4783</v>
      </c>
      <c r="W66" t="s">
        <v>4784</v>
      </c>
      <c r="X66" t="s">
        <v>6757</v>
      </c>
      <c r="Y66">
        <v>42.1</v>
      </c>
      <c r="Z66">
        <v>42.1</v>
      </c>
      <c r="AA66" s="47">
        <v>1</v>
      </c>
      <c r="AB66">
        <v>0.8</v>
      </c>
      <c r="AC66">
        <v>96</v>
      </c>
      <c r="AD66">
        <v>17031</v>
      </c>
    </row>
    <row r="67" spans="1:30" x14ac:dyDescent="0.2">
      <c r="A67" t="s">
        <v>4785</v>
      </c>
      <c r="B67" t="s">
        <v>4711</v>
      </c>
      <c r="C67" t="s">
        <v>6758</v>
      </c>
      <c r="D67">
        <v>36.200000000000003</v>
      </c>
      <c r="E67">
        <v>36.200000000000003</v>
      </c>
      <c r="F67" s="47">
        <v>0.95</v>
      </c>
      <c r="G67">
        <v>25</v>
      </c>
      <c r="H67">
        <v>100</v>
      </c>
      <c r="I67">
        <v>16477</v>
      </c>
      <c r="K67" t="s">
        <v>4786</v>
      </c>
      <c r="L67" t="s">
        <v>4172</v>
      </c>
      <c r="M67" t="s">
        <v>6759</v>
      </c>
      <c r="N67">
        <v>34.200000000000003</v>
      </c>
      <c r="O67">
        <v>34.200000000000003</v>
      </c>
      <c r="P67" s="47">
        <v>0.95</v>
      </c>
      <c r="Q67">
        <v>97</v>
      </c>
      <c r="R67">
        <v>95.24</v>
      </c>
      <c r="S67">
        <v>58537525</v>
      </c>
      <c r="V67" t="s">
        <v>4787</v>
      </c>
      <c r="W67" t="s">
        <v>4788</v>
      </c>
      <c r="X67" t="s">
        <v>6760</v>
      </c>
      <c r="Y67">
        <v>42.1</v>
      </c>
      <c r="Z67">
        <v>42.1</v>
      </c>
      <c r="AA67" s="47">
        <v>1</v>
      </c>
      <c r="AB67">
        <v>0.8</v>
      </c>
      <c r="AC67">
        <v>96</v>
      </c>
      <c r="AD67">
        <v>16661</v>
      </c>
    </row>
    <row r="68" spans="1:30" x14ac:dyDescent="0.2">
      <c r="A68" t="s">
        <v>4789</v>
      </c>
      <c r="B68" t="s">
        <v>4790</v>
      </c>
      <c r="C68" t="s">
        <v>6761</v>
      </c>
      <c r="D68">
        <v>36.200000000000003</v>
      </c>
      <c r="E68">
        <v>36.200000000000003</v>
      </c>
      <c r="F68" s="47">
        <v>0.95</v>
      </c>
      <c r="G68">
        <v>25</v>
      </c>
      <c r="H68">
        <v>100</v>
      </c>
      <c r="I68">
        <v>16539</v>
      </c>
      <c r="K68" t="s">
        <v>4791</v>
      </c>
      <c r="L68" t="s">
        <v>4792</v>
      </c>
      <c r="M68" t="s">
        <v>6762</v>
      </c>
      <c r="N68">
        <v>34.200000000000003</v>
      </c>
      <c r="O68">
        <v>34.200000000000003</v>
      </c>
      <c r="P68" s="47">
        <v>0.77</v>
      </c>
      <c r="Q68">
        <v>97</v>
      </c>
      <c r="R68">
        <v>100</v>
      </c>
      <c r="S68">
        <v>5828</v>
      </c>
      <c r="V68" t="s">
        <v>4793</v>
      </c>
      <c r="W68" t="s">
        <v>4646</v>
      </c>
      <c r="X68" t="s">
        <v>6763</v>
      </c>
      <c r="Y68">
        <v>42.1</v>
      </c>
      <c r="Z68">
        <v>42.1</v>
      </c>
      <c r="AA68" s="47">
        <v>1</v>
      </c>
      <c r="AB68">
        <v>0.8</v>
      </c>
      <c r="AC68">
        <v>96</v>
      </c>
      <c r="AD68">
        <v>16605</v>
      </c>
    </row>
    <row r="69" spans="1:30" x14ac:dyDescent="0.2">
      <c r="A69" t="s">
        <v>4794</v>
      </c>
      <c r="B69" t="s">
        <v>4711</v>
      </c>
      <c r="C69" t="s">
        <v>6764</v>
      </c>
      <c r="D69">
        <v>36.200000000000003</v>
      </c>
      <c r="E69">
        <v>36.200000000000003</v>
      </c>
      <c r="F69" s="47">
        <v>0.95</v>
      </c>
      <c r="G69">
        <v>25</v>
      </c>
      <c r="H69">
        <v>100</v>
      </c>
      <c r="I69">
        <v>16477</v>
      </c>
      <c r="K69" t="s">
        <v>4795</v>
      </c>
      <c r="L69" t="s">
        <v>4736</v>
      </c>
      <c r="M69" t="s">
        <v>6765</v>
      </c>
      <c r="N69">
        <v>34.200000000000003</v>
      </c>
      <c r="O69">
        <v>34.200000000000003</v>
      </c>
      <c r="P69" s="47">
        <v>0.77</v>
      </c>
      <c r="Q69">
        <v>97</v>
      </c>
      <c r="R69">
        <v>100</v>
      </c>
      <c r="S69">
        <v>1872001</v>
      </c>
      <c r="V69" t="s">
        <v>4796</v>
      </c>
      <c r="W69" t="s">
        <v>4597</v>
      </c>
      <c r="X69" t="s">
        <v>6766</v>
      </c>
      <c r="Y69">
        <v>42.1</v>
      </c>
      <c r="Z69">
        <v>42.1</v>
      </c>
      <c r="AA69" s="47">
        <v>1</v>
      </c>
      <c r="AB69">
        <v>0.8</v>
      </c>
      <c r="AC69">
        <v>96</v>
      </c>
      <c r="AD69">
        <v>1812</v>
      </c>
    </row>
    <row r="70" spans="1:30" x14ac:dyDescent="0.2">
      <c r="A70" t="s">
        <v>3526</v>
      </c>
      <c r="B70" t="s">
        <v>2252</v>
      </c>
      <c r="C70" t="s">
        <v>6767</v>
      </c>
      <c r="D70">
        <v>36.200000000000003</v>
      </c>
      <c r="E70">
        <v>36.200000000000003</v>
      </c>
      <c r="F70" s="47">
        <v>0.95</v>
      </c>
      <c r="G70">
        <v>25</v>
      </c>
      <c r="H70">
        <v>100</v>
      </c>
      <c r="I70">
        <v>3365</v>
      </c>
      <c r="K70" t="s">
        <v>4797</v>
      </c>
      <c r="L70" t="s">
        <v>4798</v>
      </c>
      <c r="M70" t="s">
        <v>6768</v>
      </c>
      <c r="N70">
        <v>34.200000000000003</v>
      </c>
      <c r="O70">
        <v>34.200000000000003</v>
      </c>
      <c r="P70" s="47">
        <v>0.77</v>
      </c>
      <c r="Q70">
        <v>97</v>
      </c>
      <c r="R70">
        <v>100</v>
      </c>
      <c r="S70">
        <v>17681</v>
      </c>
      <c r="V70" t="s">
        <v>4799</v>
      </c>
      <c r="W70" t="s">
        <v>4597</v>
      </c>
      <c r="X70" t="s">
        <v>6769</v>
      </c>
      <c r="Y70">
        <v>42.1</v>
      </c>
      <c r="Z70">
        <v>42.1</v>
      </c>
      <c r="AA70" s="47">
        <v>1</v>
      </c>
      <c r="AB70">
        <v>0.8</v>
      </c>
      <c r="AC70">
        <v>96</v>
      </c>
      <c r="AD70">
        <v>1812</v>
      </c>
    </row>
    <row r="71" spans="1:30" x14ac:dyDescent="0.2">
      <c r="A71" t="s">
        <v>4800</v>
      </c>
      <c r="B71" t="s">
        <v>4801</v>
      </c>
      <c r="C71" t="s">
        <v>6770</v>
      </c>
      <c r="D71">
        <v>36.200000000000003</v>
      </c>
      <c r="E71">
        <v>36.200000000000003</v>
      </c>
      <c r="F71" s="47">
        <v>0.95</v>
      </c>
      <c r="G71">
        <v>25</v>
      </c>
      <c r="H71">
        <v>100</v>
      </c>
      <c r="I71">
        <v>1271</v>
      </c>
      <c r="K71" t="s">
        <v>4103</v>
      </c>
      <c r="L71" t="s">
        <v>2682</v>
      </c>
      <c r="M71" t="s">
        <v>6771</v>
      </c>
      <c r="N71">
        <v>34.200000000000003</v>
      </c>
      <c r="O71">
        <v>34.200000000000003</v>
      </c>
      <c r="P71" s="47">
        <v>0.77</v>
      </c>
      <c r="Q71">
        <v>97</v>
      </c>
      <c r="R71">
        <v>100</v>
      </c>
      <c r="S71">
        <v>16588</v>
      </c>
      <c r="V71" t="s">
        <v>4802</v>
      </c>
      <c r="W71" t="s">
        <v>4646</v>
      </c>
      <c r="X71" t="s">
        <v>6772</v>
      </c>
      <c r="Y71">
        <v>42.1</v>
      </c>
      <c r="Z71">
        <v>42.1</v>
      </c>
      <c r="AA71" s="47">
        <v>1</v>
      </c>
      <c r="AB71">
        <v>0.8</v>
      </c>
      <c r="AC71">
        <v>96</v>
      </c>
      <c r="AD71">
        <v>16604</v>
      </c>
    </row>
    <row r="72" spans="1:30" x14ac:dyDescent="0.2">
      <c r="A72" t="s">
        <v>4803</v>
      </c>
      <c r="B72" t="s">
        <v>4557</v>
      </c>
      <c r="C72" t="s">
        <v>6773</v>
      </c>
      <c r="D72">
        <v>36.200000000000003</v>
      </c>
      <c r="E72">
        <v>36.200000000000003</v>
      </c>
      <c r="F72" s="47">
        <v>0.95</v>
      </c>
      <c r="G72">
        <v>25</v>
      </c>
      <c r="H72">
        <v>100</v>
      </c>
      <c r="I72">
        <v>337</v>
      </c>
      <c r="K72" t="s">
        <v>4804</v>
      </c>
      <c r="L72" t="s">
        <v>4805</v>
      </c>
      <c r="M72" t="s">
        <v>6774</v>
      </c>
      <c r="N72">
        <v>34.200000000000003</v>
      </c>
      <c r="O72">
        <v>34.200000000000003</v>
      </c>
      <c r="P72" s="47">
        <v>0.77</v>
      </c>
      <c r="Q72">
        <v>97</v>
      </c>
      <c r="R72">
        <v>100</v>
      </c>
      <c r="S72">
        <v>29189</v>
      </c>
      <c r="V72" t="s">
        <v>4806</v>
      </c>
      <c r="W72" t="s">
        <v>4593</v>
      </c>
      <c r="X72" t="s">
        <v>6775</v>
      </c>
      <c r="Y72">
        <v>42.1</v>
      </c>
      <c r="Z72">
        <v>42.1</v>
      </c>
      <c r="AA72" s="47">
        <v>1</v>
      </c>
      <c r="AB72">
        <v>0.8</v>
      </c>
      <c r="AC72">
        <v>96</v>
      </c>
      <c r="AD72">
        <v>1061</v>
      </c>
    </row>
    <row r="73" spans="1:30" x14ac:dyDescent="0.2">
      <c r="A73" t="s">
        <v>4807</v>
      </c>
      <c r="B73" t="s">
        <v>4557</v>
      </c>
      <c r="C73" t="s">
        <v>6776</v>
      </c>
      <c r="D73">
        <v>36.200000000000003</v>
      </c>
      <c r="E73">
        <v>36.200000000000003</v>
      </c>
      <c r="F73" s="47">
        <v>0.95</v>
      </c>
      <c r="G73">
        <v>25</v>
      </c>
      <c r="H73">
        <v>100</v>
      </c>
      <c r="I73">
        <v>337</v>
      </c>
      <c r="K73" t="s">
        <v>4808</v>
      </c>
      <c r="L73" t="s">
        <v>4809</v>
      </c>
      <c r="M73" t="s">
        <v>6777</v>
      </c>
      <c r="N73">
        <v>34.200000000000003</v>
      </c>
      <c r="O73">
        <v>34.200000000000003</v>
      </c>
      <c r="P73" s="47">
        <v>0.77</v>
      </c>
      <c r="Q73">
        <v>97</v>
      </c>
      <c r="R73">
        <v>100</v>
      </c>
      <c r="S73">
        <v>16700</v>
      </c>
      <c r="V73" t="s">
        <v>4810</v>
      </c>
      <c r="W73" t="s">
        <v>4811</v>
      </c>
      <c r="X73" t="s">
        <v>6778</v>
      </c>
      <c r="Y73">
        <v>42.1</v>
      </c>
      <c r="Z73">
        <v>42.1</v>
      </c>
      <c r="AA73" s="47">
        <v>1</v>
      </c>
      <c r="AB73">
        <v>0.8</v>
      </c>
      <c r="AC73">
        <v>96</v>
      </c>
      <c r="AD73">
        <v>17029</v>
      </c>
    </row>
    <row r="74" spans="1:30" x14ac:dyDescent="0.2">
      <c r="A74" t="s">
        <v>4812</v>
      </c>
      <c r="B74" t="s">
        <v>4633</v>
      </c>
      <c r="C74" t="s">
        <v>6779</v>
      </c>
      <c r="D74">
        <v>36.200000000000003</v>
      </c>
      <c r="E74">
        <v>36.200000000000003</v>
      </c>
      <c r="F74" s="47">
        <v>0.95</v>
      </c>
      <c r="G74">
        <v>25</v>
      </c>
      <c r="H74">
        <v>100</v>
      </c>
      <c r="I74">
        <v>16598</v>
      </c>
      <c r="K74" t="s">
        <v>4813</v>
      </c>
      <c r="L74" t="s">
        <v>4682</v>
      </c>
      <c r="M74" t="s">
        <v>6780</v>
      </c>
      <c r="N74">
        <v>34.200000000000003</v>
      </c>
      <c r="O74">
        <v>34.200000000000003</v>
      </c>
      <c r="P74" s="47">
        <v>0.77</v>
      </c>
      <c r="Q74">
        <v>97</v>
      </c>
      <c r="R74">
        <v>100</v>
      </c>
      <c r="S74">
        <v>196171</v>
      </c>
      <c r="V74" t="s">
        <v>4814</v>
      </c>
      <c r="W74" t="s">
        <v>4815</v>
      </c>
      <c r="X74" t="s">
        <v>6781</v>
      </c>
      <c r="Y74">
        <v>42.1</v>
      </c>
      <c r="Z74">
        <v>42.1</v>
      </c>
      <c r="AA74" s="47">
        <v>0.84</v>
      </c>
      <c r="AB74">
        <v>0.8</v>
      </c>
      <c r="AC74">
        <v>100</v>
      </c>
      <c r="AD74">
        <v>1776</v>
      </c>
    </row>
    <row r="75" spans="1:30" x14ac:dyDescent="0.2">
      <c r="A75" t="s">
        <v>4816</v>
      </c>
      <c r="B75" t="s">
        <v>4817</v>
      </c>
      <c r="C75" t="s">
        <v>6343</v>
      </c>
      <c r="D75">
        <v>36.200000000000003</v>
      </c>
      <c r="E75">
        <v>36.200000000000003</v>
      </c>
      <c r="F75" s="47">
        <v>0.95</v>
      </c>
      <c r="G75">
        <v>25</v>
      </c>
      <c r="H75">
        <v>100</v>
      </c>
      <c r="I75">
        <v>16523</v>
      </c>
      <c r="K75" t="s">
        <v>4818</v>
      </c>
      <c r="L75" t="s">
        <v>4736</v>
      </c>
      <c r="M75" t="s">
        <v>6782</v>
      </c>
      <c r="N75">
        <v>34.200000000000003</v>
      </c>
      <c r="O75">
        <v>34.200000000000003</v>
      </c>
      <c r="P75" s="47">
        <v>0.77</v>
      </c>
      <c r="Q75">
        <v>97</v>
      </c>
      <c r="R75">
        <v>100</v>
      </c>
      <c r="S75">
        <v>3038072</v>
      </c>
      <c r="V75" t="s">
        <v>4819</v>
      </c>
      <c r="W75" t="s">
        <v>4597</v>
      </c>
      <c r="X75" t="s">
        <v>6783</v>
      </c>
      <c r="Y75">
        <v>42.1</v>
      </c>
      <c r="Z75">
        <v>42.1</v>
      </c>
      <c r="AA75" s="47">
        <v>1</v>
      </c>
      <c r="AB75">
        <v>0.8</v>
      </c>
      <c r="AC75">
        <v>96</v>
      </c>
      <c r="AD75">
        <v>1812</v>
      </c>
    </row>
    <row r="76" spans="1:30" x14ac:dyDescent="0.2">
      <c r="A76" t="s">
        <v>4820</v>
      </c>
      <c r="B76" t="s">
        <v>4711</v>
      </c>
      <c r="C76" t="s">
        <v>6784</v>
      </c>
      <c r="D76">
        <v>36.200000000000003</v>
      </c>
      <c r="E76">
        <v>36.200000000000003</v>
      </c>
      <c r="F76" s="47">
        <v>0.95</v>
      </c>
      <c r="G76">
        <v>25</v>
      </c>
      <c r="H76">
        <v>100</v>
      </c>
      <c r="I76">
        <v>16476</v>
      </c>
      <c r="K76" t="s">
        <v>4123</v>
      </c>
      <c r="L76" t="s">
        <v>2282</v>
      </c>
      <c r="M76" t="s">
        <v>6785</v>
      </c>
      <c r="N76">
        <v>34.200000000000003</v>
      </c>
      <c r="O76">
        <v>34.200000000000003</v>
      </c>
      <c r="P76" s="47">
        <v>0.77</v>
      </c>
      <c r="Q76">
        <v>97</v>
      </c>
      <c r="R76">
        <v>100</v>
      </c>
      <c r="S76">
        <v>16562</v>
      </c>
      <c r="V76" t="s">
        <v>4821</v>
      </c>
      <c r="W76" t="s">
        <v>4822</v>
      </c>
      <c r="X76" t="s">
        <v>6786</v>
      </c>
      <c r="Y76">
        <v>42.1</v>
      </c>
      <c r="Z76">
        <v>42.1</v>
      </c>
      <c r="AA76" s="47">
        <v>1</v>
      </c>
      <c r="AB76">
        <v>0.8</v>
      </c>
      <c r="AC76">
        <v>96</v>
      </c>
      <c r="AD76">
        <v>17807</v>
      </c>
    </row>
    <row r="77" spans="1:30" x14ac:dyDescent="0.2">
      <c r="A77" t="s">
        <v>4823</v>
      </c>
      <c r="B77" t="s">
        <v>4824</v>
      </c>
      <c r="C77" t="s">
        <v>6787</v>
      </c>
      <c r="D77">
        <v>36.200000000000003</v>
      </c>
      <c r="E77">
        <v>36.200000000000003</v>
      </c>
      <c r="F77" s="47">
        <v>0.95</v>
      </c>
      <c r="G77">
        <v>25</v>
      </c>
      <c r="H77">
        <v>100</v>
      </c>
      <c r="I77">
        <v>16534</v>
      </c>
      <c r="K77" t="s">
        <v>4825</v>
      </c>
      <c r="L77" t="s">
        <v>4826</v>
      </c>
      <c r="M77" t="s">
        <v>6788</v>
      </c>
      <c r="N77">
        <v>34.200000000000003</v>
      </c>
      <c r="O77">
        <v>34.200000000000003</v>
      </c>
      <c r="P77" s="47">
        <v>0.77</v>
      </c>
      <c r="Q77">
        <v>97</v>
      </c>
      <c r="R77">
        <v>100</v>
      </c>
      <c r="S77">
        <v>2937589</v>
      </c>
      <c r="V77" t="s">
        <v>4827</v>
      </c>
      <c r="W77" t="s">
        <v>4593</v>
      </c>
      <c r="X77" t="s">
        <v>6789</v>
      </c>
      <c r="Y77">
        <v>42.1</v>
      </c>
      <c r="Z77">
        <v>42.1</v>
      </c>
      <c r="AA77" s="47">
        <v>1</v>
      </c>
      <c r="AB77">
        <v>0.8</v>
      </c>
      <c r="AC77">
        <v>96</v>
      </c>
      <c r="AD77">
        <v>1061</v>
      </c>
    </row>
    <row r="78" spans="1:30" x14ac:dyDescent="0.2">
      <c r="A78" t="s">
        <v>4828</v>
      </c>
      <c r="B78" t="s">
        <v>2869</v>
      </c>
      <c r="C78" t="s">
        <v>6790</v>
      </c>
      <c r="D78">
        <v>36.200000000000003</v>
      </c>
      <c r="E78">
        <v>36.200000000000003</v>
      </c>
      <c r="F78" s="47">
        <v>0.95</v>
      </c>
      <c r="G78">
        <v>25</v>
      </c>
      <c r="H78">
        <v>100</v>
      </c>
      <c r="I78">
        <v>16982</v>
      </c>
      <c r="K78" t="s">
        <v>4829</v>
      </c>
      <c r="L78" t="s">
        <v>4830</v>
      </c>
      <c r="M78" t="s">
        <v>6791</v>
      </c>
      <c r="N78">
        <v>34.200000000000003</v>
      </c>
      <c r="O78">
        <v>34.200000000000003</v>
      </c>
      <c r="P78" s="47">
        <v>0.77</v>
      </c>
      <c r="Q78">
        <v>97</v>
      </c>
      <c r="R78">
        <v>100</v>
      </c>
      <c r="S78">
        <v>3412</v>
      </c>
      <c r="V78" t="s">
        <v>4831</v>
      </c>
      <c r="W78" t="s">
        <v>4832</v>
      </c>
      <c r="X78" t="s">
        <v>6792</v>
      </c>
      <c r="Y78">
        <v>42.1</v>
      </c>
      <c r="Z78">
        <v>42.1</v>
      </c>
      <c r="AA78" s="47">
        <v>0.84</v>
      </c>
      <c r="AB78">
        <v>0.8</v>
      </c>
      <c r="AC78">
        <v>100</v>
      </c>
      <c r="AD78">
        <v>1791</v>
      </c>
    </row>
    <row r="79" spans="1:30" x14ac:dyDescent="0.2">
      <c r="A79" t="s">
        <v>4833</v>
      </c>
      <c r="B79" t="s">
        <v>4834</v>
      </c>
      <c r="C79" t="s">
        <v>6793</v>
      </c>
      <c r="D79">
        <v>36.200000000000003</v>
      </c>
      <c r="E79">
        <v>36.200000000000003</v>
      </c>
      <c r="F79" s="47">
        <v>0.95</v>
      </c>
      <c r="G79">
        <v>25</v>
      </c>
      <c r="H79">
        <v>100</v>
      </c>
      <c r="I79">
        <v>16510</v>
      </c>
      <c r="K79" t="s">
        <v>4835</v>
      </c>
      <c r="L79" t="s">
        <v>4836</v>
      </c>
      <c r="M79" t="s">
        <v>6794</v>
      </c>
      <c r="N79">
        <v>34.200000000000003</v>
      </c>
      <c r="O79">
        <v>34.200000000000003</v>
      </c>
      <c r="P79" s="47">
        <v>0.77</v>
      </c>
      <c r="Q79">
        <v>97</v>
      </c>
      <c r="R79">
        <v>100</v>
      </c>
      <c r="S79">
        <v>27598</v>
      </c>
      <c r="V79" t="s">
        <v>4837</v>
      </c>
      <c r="W79" t="s">
        <v>4646</v>
      </c>
      <c r="X79" t="s">
        <v>6795</v>
      </c>
      <c r="Y79">
        <v>42.1</v>
      </c>
      <c r="Z79">
        <v>42.1</v>
      </c>
      <c r="AA79" s="47">
        <v>1</v>
      </c>
      <c r="AB79">
        <v>0.8</v>
      </c>
      <c r="AC79">
        <v>96</v>
      </c>
      <c r="AD79">
        <v>16604</v>
      </c>
    </row>
    <row r="80" spans="1:30" x14ac:dyDescent="0.2">
      <c r="A80" t="s">
        <v>4838</v>
      </c>
      <c r="B80" t="s">
        <v>4839</v>
      </c>
      <c r="C80" t="s">
        <v>6796</v>
      </c>
      <c r="D80">
        <v>36.200000000000003</v>
      </c>
      <c r="E80">
        <v>36.200000000000003</v>
      </c>
      <c r="F80" s="47">
        <v>0.95</v>
      </c>
      <c r="G80">
        <v>25</v>
      </c>
      <c r="H80">
        <v>100</v>
      </c>
      <c r="I80">
        <v>16523</v>
      </c>
      <c r="K80" t="s">
        <v>4840</v>
      </c>
      <c r="L80" t="s">
        <v>4841</v>
      </c>
      <c r="M80" t="s">
        <v>6797</v>
      </c>
      <c r="N80">
        <v>34.200000000000003</v>
      </c>
      <c r="O80">
        <v>34.200000000000003</v>
      </c>
      <c r="P80" s="47">
        <v>0.77</v>
      </c>
      <c r="Q80">
        <v>97</v>
      </c>
      <c r="R80">
        <v>100</v>
      </c>
      <c r="S80">
        <v>29973</v>
      </c>
      <c r="V80" t="s">
        <v>4842</v>
      </c>
      <c r="W80" t="s">
        <v>4709</v>
      </c>
      <c r="X80" t="s">
        <v>6798</v>
      </c>
      <c r="Y80">
        <v>42.1</v>
      </c>
      <c r="Z80">
        <v>42.1</v>
      </c>
      <c r="AA80" s="47">
        <v>1</v>
      </c>
      <c r="AB80">
        <v>0.8</v>
      </c>
      <c r="AC80">
        <v>96</v>
      </c>
      <c r="AD80">
        <v>15516</v>
      </c>
    </row>
    <row r="81" spans="1:30" x14ac:dyDescent="0.2">
      <c r="A81" t="s">
        <v>4843</v>
      </c>
      <c r="B81" t="s">
        <v>4711</v>
      </c>
      <c r="C81" t="s">
        <v>6799</v>
      </c>
      <c r="D81">
        <v>36.200000000000003</v>
      </c>
      <c r="E81">
        <v>36.200000000000003</v>
      </c>
      <c r="F81" s="47">
        <v>0.95</v>
      </c>
      <c r="G81">
        <v>25</v>
      </c>
      <c r="H81">
        <v>100</v>
      </c>
      <c r="I81">
        <v>16473</v>
      </c>
      <c r="K81" t="s">
        <v>4844</v>
      </c>
      <c r="L81" t="s">
        <v>4845</v>
      </c>
      <c r="M81" t="s">
        <v>6800</v>
      </c>
      <c r="N81">
        <v>34.200000000000003</v>
      </c>
      <c r="O81">
        <v>34.200000000000003</v>
      </c>
      <c r="P81" s="47">
        <v>0.77</v>
      </c>
      <c r="Q81">
        <v>97</v>
      </c>
      <c r="R81">
        <v>100</v>
      </c>
      <c r="S81">
        <v>2502095</v>
      </c>
      <c r="V81" t="s">
        <v>4749</v>
      </c>
      <c r="W81" t="s">
        <v>4640</v>
      </c>
      <c r="X81" t="s">
        <v>6801</v>
      </c>
      <c r="Y81">
        <v>42.1</v>
      </c>
      <c r="Z81">
        <v>42.1</v>
      </c>
      <c r="AA81" s="47">
        <v>1</v>
      </c>
      <c r="AB81">
        <v>0.8</v>
      </c>
      <c r="AC81">
        <v>96</v>
      </c>
      <c r="AD81">
        <v>16688</v>
      </c>
    </row>
    <row r="82" spans="1:30" x14ac:dyDescent="0.2">
      <c r="A82" t="s">
        <v>4846</v>
      </c>
      <c r="B82" t="s">
        <v>2117</v>
      </c>
      <c r="C82" t="s">
        <v>6802</v>
      </c>
      <c r="D82">
        <v>36.200000000000003</v>
      </c>
      <c r="E82">
        <v>36.200000000000003</v>
      </c>
      <c r="F82" s="47">
        <v>0.95</v>
      </c>
      <c r="G82">
        <v>25</v>
      </c>
      <c r="H82">
        <v>100</v>
      </c>
      <c r="I82">
        <v>16583</v>
      </c>
      <c r="K82" t="s">
        <v>4847</v>
      </c>
      <c r="L82" t="s">
        <v>4848</v>
      </c>
      <c r="M82" t="s">
        <v>6803</v>
      </c>
      <c r="N82">
        <v>34.200000000000003</v>
      </c>
      <c r="O82">
        <v>34.200000000000003</v>
      </c>
      <c r="P82" s="47">
        <v>0.77</v>
      </c>
      <c r="Q82">
        <v>97</v>
      </c>
      <c r="R82">
        <v>100</v>
      </c>
      <c r="S82">
        <v>834</v>
      </c>
      <c r="V82" t="s">
        <v>4849</v>
      </c>
      <c r="W82" t="s">
        <v>4646</v>
      </c>
      <c r="X82" t="s">
        <v>6804</v>
      </c>
      <c r="Y82">
        <v>42.1</v>
      </c>
      <c r="Z82">
        <v>42.1</v>
      </c>
      <c r="AA82" s="47">
        <v>1</v>
      </c>
      <c r="AB82">
        <v>0.8</v>
      </c>
      <c r="AC82">
        <v>96</v>
      </c>
      <c r="AD82">
        <v>16604</v>
      </c>
    </row>
    <row r="83" spans="1:30" x14ac:dyDescent="0.2">
      <c r="A83" t="s">
        <v>4850</v>
      </c>
      <c r="B83" t="s">
        <v>4851</v>
      </c>
      <c r="C83" t="s">
        <v>6805</v>
      </c>
      <c r="D83">
        <v>36.200000000000003</v>
      </c>
      <c r="E83">
        <v>36.200000000000003</v>
      </c>
      <c r="F83" s="47">
        <v>0.95</v>
      </c>
      <c r="G83">
        <v>25</v>
      </c>
      <c r="H83">
        <v>100</v>
      </c>
      <c r="I83">
        <v>710</v>
      </c>
      <c r="K83" t="s">
        <v>4852</v>
      </c>
      <c r="L83" t="s">
        <v>4853</v>
      </c>
      <c r="M83" t="s">
        <v>6806</v>
      </c>
      <c r="N83">
        <v>34.200000000000003</v>
      </c>
      <c r="O83">
        <v>34.200000000000003</v>
      </c>
      <c r="P83" s="47">
        <v>0.77</v>
      </c>
      <c r="Q83">
        <v>97</v>
      </c>
      <c r="R83">
        <v>100</v>
      </c>
      <c r="S83">
        <v>2176075</v>
      </c>
      <c r="V83" t="s">
        <v>4854</v>
      </c>
      <c r="W83" t="s">
        <v>4855</v>
      </c>
      <c r="X83" t="s">
        <v>6807</v>
      </c>
      <c r="Y83">
        <v>42.1</v>
      </c>
      <c r="Z83">
        <v>42.1</v>
      </c>
      <c r="AA83" s="47">
        <v>1</v>
      </c>
      <c r="AB83">
        <v>0.8</v>
      </c>
      <c r="AC83">
        <v>96</v>
      </c>
      <c r="AD83">
        <v>16908</v>
      </c>
    </row>
    <row r="84" spans="1:30" x14ac:dyDescent="0.2">
      <c r="A84" t="s">
        <v>4856</v>
      </c>
      <c r="B84" t="s">
        <v>2145</v>
      </c>
      <c r="C84" t="s">
        <v>6808</v>
      </c>
      <c r="D84">
        <v>36.200000000000003</v>
      </c>
      <c r="E84">
        <v>36.200000000000003</v>
      </c>
      <c r="F84" s="47">
        <v>0.95</v>
      </c>
      <c r="G84">
        <v>25</v>
      </c>
      <c r="H84">
        <v>100</v>
      </c>
      <c r="I84">
        <v>16582</v>
      </c>
      <c r="K84" t="s">
        <v>4857</v>
      </c>
      <c r="L84" t="s">
        <v>4858</v>
      </c>
      <c r="M84" t="s">
        <v>6809</v>
      </c>
      <c r="N84">
        <v>34.200000000000003</v>
      </c>
      <c r="O84">
        <v>34.200000000000003</v>
      </c>
      <c r="P84" s="47">
        <v>0.77</v>
      </c>
      <c r="Q84">
        <v>97</v>
      </c>
      <c r="R84">
        <v>100</v>
      </c>
      <c r="S84">
        <v>5653810</v>
      </c>
      <c r="V84" t="s">
        <v>4859</v>
      </c>
      <c r="W84" t="s">
        <v>4597</v>
      </c>
      <c r="X84" t="s">
        <v>6810</v>
      </c>
      <c r="Y84">
        <v>42.1</v>
      </c>
      <c r="Z84">
        <v>42.1</v>
      </c>
      <c r="AA84" s="47">
        <v>1</v>
      </c>
      <c r="AB84">
        <v>0.8</v>
      </c>
      <c r="AC84">
        <v>96</v>
      </c>
      <c r="AD84">
        <v>1812</v>
      </c>
    </row>
    <row r="85" spans="1:30" x14ac:dyDescent="0.2">
      <c r="A85" t="s">
        <v>4860</v>
      </c>
      <c r="B85" t="s">
        <v>4861</v>
      </c>
      <c r="C85" t="s">
        <v>6811</v>
      </c>
      <c r="D85">
        <v>36.200000000000003</v>
      </c>
      <c r="E85">
        <v>36.200000000000003</v>
      </c>
      <c r="F85" s="47">
        <v>0.95</v>
      </c>
      <c r="G85">
        <v>25</v>
      </c>
      <c r="H85">
        <v>100</v>
      </c>
      <c r="I85">
        <v>1195</v>
      </c>
      <c r="K85" t="s">
        <v>4862</v>
      </c>
      <c r="L85" t="s">
        <v>4863</v>
      </c>
      <c r="M85" t="s">
        <v>6812</v>
      </c>
      <c r="N85">
        <v>34.200000000000003</v>
      </c>
      <c r="O85">
        <v>34.200000000000003</v>
      </c>
      <c r="P85" s="47">
        <v>0.77</v>
      </c>
      <c r="Q85">
        <v>97</v>
      </c>
      <c r="R85">
        <v>100</v>
      </c>
      <c r="S85">
        <v>1964469</v>
      </c>
      <c r="V85" t="s">
        <v>4864</v>
      </c>
      <c r="W85" t="s">
        <v>4640</v>
      </c>
      <c r="X85" t="s">
        <v>6813</v>
      </c>
      <c r="Y85">
        <v>42.1</v>
      </c>
      <c r="Z85">
        <v>42.1</v>
      </c>
      <c r="AA85" s="47">
        <v>1</v>
      </c>
      <c r="AB85">
        <v>0.8</v>
      </c>
      <c r="AC85">
        <v>96</v>
      </c>
      <c r="AD85">
        <v>16608</v>
      </c>
    </row>
    <row r="86" spans="1:30" x14ac:dyDescent="0.2">
      <c r="A86" t="s">
        <v>4865</v>
      </c>
      <c r="B86" t="s">
        <v>4711</v>
      </c>
      <c r="C86" t="s">
        <v>6814</v>
      </c>
      <c r="D86">
        <v>36.200000000000003</v>
      </c>
      <c r="E86">
        <v>36.200000000000003</v>
      </c>
      <c r="F86" s="47">
        <v>0.95</v>
      </c>
      <c r="G86">
        <v>25</v>
      </c>
      <c r="H86">
        <v>100</v>
      </c>
      <c r="I86">
        <v>16473</v>
      </c>
      <c r="K86" t="s">
        <v>4866</v>
      </c>
      <c r="L86" t="s">
        <v>4867</v>
      </c>
      <c r="M86" t="s">
        <v>6815</v>
      </c>
      <c r="N86">
        <v>34.200000000000003</v>
      </c>
      <c r="O86">
        <v>34.200000000000003</v>
      </c>
      <c r="P86" s="47">
        <v>0.77</v>
      </c>
      <c r="Q86">
        <v>97</v>
      </c>
      <c r="R86">
        <v>100</v>
      </c>
      <c r="S86">
        <v>99999</v>
      </c>
      <c r="V86" t="s">
        <v>4731</v>
      </c>
      <c r="W86" t="s">
        <v>4732</v>
      </c>
      <c r="X86" t="s">
        <v>6816</v>
      </c>
      <c r="Y86">
        <v>42.1</v>
      </c>
      <c r="Z86">
        <v>42.1</v>
      </c>
      <c r="AA86" s="47">
        <v>1</v>
      </c>
      <c r="AB86">
        <v>0.8</v>
      </c>
      <c r="AC86">
        <v>96</v>
      </c>
      <c r="AD86">
        <v>16611</v>
      </c>
    </row>
    <row r="87" spans="1:30" x14ac:dyDescent="0.2">
      <c r="A87" t="s">
        <v>4868</v>
      </c>
      <c r="B87" t="s">
        <v>4869</v>
      </c>
      <c r="C87" t="s">
        <v>6817</v>
      </c>
      <c r="D87">
        <v>36.200000000000003</v>
      </c>
      <c r="E87">
        <v>36.200000000000003</v>
      </c>
      <c r="F87" s="47">
        <v>0.95</v>
      </c>
      <c r="G87">
        <v>25</v>
      </c>
      <c r="H87">
        <v>100</v>
      </c>
      <c r="I87">
        <v>16677</v>
      </c>
      <c r="K87" t="s">
        <v>4870</v>
      </c>
      <c r="L87" t="s">
        <v>4871</v>
      </c>
      <c r="M87" t="s">
        <v>6818</v>
      </c>
      <c r="N87">
        <v>34.200000000000003</v>
      </c>
      <c r="O87">
        <v>34.200000000000003</v>
      </c>
      <c r="P87" s="47">
        <v>0.77</v>
      </c>
      <c r="Q87">
        <v>97</v>
      </c>
      <c r="R87">
        <v>100</v>
      </c>
      <c r="S87">
        <v>1719171</v>
      </c>
      <c r="V87" t="s">
        <v>4872</v>
      </c>
      <c r="W87" t="s">
        <v>4873</v>
      </c>
      <c r="X87" t="s">
        <v>6819</v>
      </c>
      <c r="Y87">
        <v>42.1</v>
      </c>
      <c r="Z87">
        <v>42.1</v>
      </c>
      <c r="AA87" s="47">
        <v>1</v>
      </c>
      <c r="AB87">
        <v>0.8</v>
      </c>
      <c r="AC87">
        <v>96</v>
      </c>
      <c r="AD87">
        <v>16604</v>
      </c>
    </row>
    <row r="88" spans="1:30" x14ac:dyDescent="0.2">
      <c r="A88" t="s">
        <v>4874</v>
      </c>
      <c r="B88" t="s">
        <v>4711</v>
      </c>
      <c r="C88" t="s">
        <v>6820</v>
      </c>
      <c r="D88">
        <v>36.200000000000003</v>
      </c>
      <c r="E88">
        <v>36.200000000000003</v>
      </c>
      <c r="F88" s="47">
        <v>0.95</v>
      </c>
      <c r="G88">
        <v>25</v>
      </c>
      <c r="H88">
        <v>100</v>
      </c>
      <c r="I88">
        <v>16473</v>
      </c>
      <c r="K88" t="s">
        <v>4875</v>
      </c>
      <c r="L88" t="s">
        <v>4876</v>
      </c>
      <c r="M88" t="s">
        <v>6821</v>
      </c>
      <c r="N88">
        <v>34.200000000000003</v>
      </c>
      <c r="O88">
        <v>34.200000000000003</v>
      </c>
      <c r="P88" s="47">
        <v>0.77</v>
      </c>
      <c r="Q88">
        <v>97</v>
      </c>
      <c r="R88">
        <v>100</v>
      </c>
      <c r="S88">
        <v>5564368</v>
      </c>
      <c r="V88" t="s">
        <v>4877</v>
      </c>
      <c r="W88" t="s">
        <v>4878</v>
      </c>
      <c r="X88" t="s">
        <v>6822</v>
      </c>
      <c r="Y88">
        <v>42.1</v>
      </c>
      <c r="Z88">
        <v>42.1</v>
      </c>
      <c r="AA88" s="47">
        <v>1</v>
      </c>
      <c r="AB88">
        <v>0.8</v>
      </c>
      <c r="AC88">
        <v>96</v>
      </c>
      <c r="AD88">
        <v>16697</v>
      </c>
    </row>
    <row r="89" spans="1:30" x14ac:dyDescent="0.2">
      <c r="A89" t="s">
        <v>4879</v>
      </c>
      <c r="B89" t="s">
        <v>4880</v>
      </c>
      <c r="C89" t="s">
        <v>6823</v>
      </c>
      <c r="D89">
        <v>36.200000000000003</v>
      </c>
      <c r="E89">
        <v>36.200000000000003</v>
      </c>
      <c r="F89" s="47">
        <v>0.95</v>
      </c>
      <c r="G89">
        <v>25</v>
      </c>
      <c r="H89">
        <v>100</v>
      </c>
      <c r="I89">
        <v>16510</v>
      </c>
      <c r="K89" t="s">
        <v>4881</v>
      </c>
      <c r="L89" t="s">
        <v>4752</v>
      </c>
      <c r="M89" t="s">
        <v>6824</v>
      </c>
      <c r="N89">
        <v>34.200000000000003</v>
      </c>
      <c r="O89">
        <v>34.200000000000003</v>
      </c>
      <c r="P89" s="47">
        <v>0.77</v>
      </c>
      <c r="Q89">
        <v>97</v>
      </c>
      <c r="R89">
        <v>100</v>
      </c>
      <c r="S89">
        <v>8567</v>
      </c>
      <c r="V89" t="s">
        <v>4882</v>
      </c>
      <c r="W89" t="s">
        <v>4606</v>
      </c>
      <c r="X89" t="s">
        <v>6825</v>
      </c>
      <c r="Y89">
        <v>42.1</v>
      </c>
      <c r="Z89">
        <v>42.1</v>
      </c>
      <c r="AA89" s="47">
        <v>1</v>
      </c>
      <c r="AB89">
        <v>0.8</v>
      </c>
      <c r="AC89">
        <v>96</v>
      </c>
      <c r="AD89">
        <v>15582</v>
      </c>
    </row>
    <row r="90" spans="1:30" x14ac:dyDescent="0.2">
      <c r="A90" t="s">
        <v>4883</v>
      </c>
      <c r="B90" t="s">
        <v>4884</v>
      </c>
      <c r="C90" t="s">
        <v>6826</v>
      </c>
      <c r="D90">
        <v>36.200000000000003</v>
      </c>
      <c r="E90">
        <v>36.200000000000003</v>
      </c>
      <c r="F90" s="47">
        <v>0.95</v>
      </c>
      <c r="G90">
        <v>25</v>
      </c>
      <c r="H90">
        <v>100</v>
      </c>
      <c r="I90">
        <v>17006</v>
      </c>
      <c r="K90" t="s">
        <v>4885</v>
      </c>
      <c r="L90" t="s">
        <v>4886</v>
      </c>
      <c r="M90" t="s">
        <v>6827</v>
      </c>
      <c r="N90">
        <v>34.200000000000003</v>
      </c>
      <c r="O90">
        <v>34.200000000000003</v>
      </c>
      <c r="P90" s="47">
        <v>0.77</v>
      </c>
      <c r="Q90">
        <v>97</v>
      </c>
      <c r="R90">
        <v>100</v>
      </c>
      <c r="S90">
        <v>7291680</v>
      </c>
      <c r="V90" t="s">
        <v>4887</v>
      </c>
      <c r="W90" t="s">
        <v>2313</v>
      </c>
      <c r="X90" t="s">
        <v>6828</v>
      </c>
      <c r="Y90">
        <v>42.1</v>
      </c>
      <c r="Z90">
        <v>42.1</v>
      </c>
      <c r="AA90" s="47">
        <v>1</v>
      </c>
      <c r="AB90">
        <v>0.8</v>
      </c>
      <c r="AC90">
        <v>96</v>
      </c>
      <c r="AD90">
        <v>16554</v>
      </c>
    </row>
    <row r="91" spans="1:30" x14ac:dyDescent="0.2">
      <c r="A91" t="s">
        <v>4888</v>
      </c>
      <c r="B91" t="s">
        <v>3386</v>
      </c>
      <c r="C91" t="s">
        <v>6829</v>
      </c>
      <c r="D91">
        <v>36.200000000000003</v>
      </c>
      <c r="E91">
        <v>36.200000000000003</v>
      </c>
      <c r="F91" s="47">
        <v>0.95</v>
      </c>
      <c r="G91">
        <v>25</v>
      </c>
      <c r="H91">
        <v>100</v>
      </c>
      <c r="I91">
        <v>16709</v>
      </c>
      <c r="K91" t="s">
        <v>4889</v>
      </c>
      <c r="L91" t="s">
        <v>4688</v>
      </c>
      <c r="M91" t="s">
        <v>6830</v>
      </c>
      <c r="N91">
        <v>34.200000000000003</v>
      </c>
      <c r="O91">
        <v>34.200000000000003</v>
      </c>
      <c r="P91" s="47">
        <v>0.77</v>
      </c>
      <c r="Q91">
        <v>97</v>
      </c>
      <c r="R91">
        <v>100</v>
      </c>
      <c r="S91">
        <v>2503722</v>
      </c>
      <c r="V91" t="s">
        <v>4793</v>
      </c>
      <c r="W91" t="s">
        <v>4646</v>
      </c>
      <c r="X91" t="s">
        <v>6831</v>
      </c>
      <c r="Y91">
        <v>42.1</v>
      </c>
      <c r="Z91">
        <v>42.1</v>
      </c>
      <c r="AA91" s="47">
        <v>1</v>
      </c>
      <c r="AB91">
        <v>0.8</v>
      </c>
      <c r="AC91">
        <v>96</v>
      </c>
      <c r="AD91">
        <v>16605</v>
      </c>
    </row>
    <row r="92" spans="1:30" x14ac:dyDescent="0.2">
      <c r="A92" t="s">
        <v>4890</v>
      </c>
      <c r="B92" t="s">
        <v>4891</v>
      </c>
      <c r="C92" t="s">
        <v>6832</v>
      </c>
      <c r="D92">
        <v>36.200000000000003</v>
      </c>
      <c r="E92">
        <v>36.200000000000003</v>
      </c>
      <c r="F92" s="47">
        <v>0.95</v>
      </c>
      <c r="G92">
        <v>25</v>
      </c>
      <c r="H92">
        <v>100</v>
      </c>
      <c r="I92">
        <v>16539</v>
      </c>
      <c r="K92" t="s">
        <v>4892</v>
      </c>
      <c r="L92" t="s">
        <v>4893</v>
      </c>
      <c r="M92" t="s">
        <v>6833</v>
      </c>
      <c r="N92">
        <v>34.200000000000003</v>
      </c>
      <c r="O92">
        <v>34.200000000000003</v>
      </c>
      <c r="P92" s="47">
        <v>0.77</v>
      </c>
      <c r="Q92">
        <v>97</v>
      </c>
      <c r="R92">
        <v>100</v>
      </c>
      <c r="S92">
        <v>16485</v>
      </c>
      <c r="V92" t="s">
        <v>4894</v>
      </c>
      <c r="W92" t="s">
        <v>4637</v>
      </c>
      <c r="X92" t="s">
        <v>6834</v>
      </c>
      <c r="Y92">
        <v>42.1</v>
      </c>
      <c r="Z92">
        <v>42.1</v>
      </c>
      <c r="AA92" s="47">
        <v>1</v>
      </c>
      <c r="AB92">
        <v>0.8</v>
      </c>
      <c r="AC92">
        <v>96</v>
      </c>
      <c r="AD92">
        <v>16418</v>
      </c>
    </row>
    <row r="93" spans="1:30" x14ac:dyDescent="0.2">
      <c r="A93" t="s">
        <v>4895</v>
      </c>
      <c r="B93" t="s">
        <v>4896</v>
      </c>
      <c r="C93" t="s">
        <v>6835</v>
      </c>
      <c r="D93">
        <v>36.200000000000003</v>
      </c>
      <c r="E93">
        <v>36.200000000000003</v>
      </c>
      <c r="F93" s="47">
        <v>0.95</v>
      </c>
      <c r="G93">
        <v>25</v>
      </c>
      <c r="H93">
        <v>100</v>
      </c>
      <c r="I93">
        <v>16488</v>
      </c>
      <c r="K93" t="s">
        <v>4897</v>
      </c>
      <c r="L93" t="s">
        <v>4863</v>
      </c>
      <c r="M93" t="s">
        <v>6836</v>
      </c>
      <c r="N93">
        <v>34.200000000000003</v>
      </c>
      <c r="O93">
        <v>34.200000000000003</v>
      </c>
      <c r="P93" s="47">
        <v>0.77</v>
      </c>
      <c r="Q93">
        <v>97</v>
      </c>
      <c r="R93">
        <v>100</v>
      </c>
      <c r="S93">
        <v>1860477</v>
      </c>
      <c r="V93" t="s">
        <v>4749</v>
      </c>
      <c r="W93" t="s">
        <v>4640</v>
      </c>
      <c r="X93" t="s">
        <v>6837</v>
      </c>
      <c r="Y93">
        <v>42.1</v>
      </c>
      <c r="Z93">
        <v>42.1</v>
      </c>
      <c r="AA93" s="47">
        <v>1</v>
      </c>
      <c r="AB93">
        <v>0.8</v>
      </c>
      <c r="AC93">
        <v>96</v>
      </c>
      <c r="AD93">
        <v>16548</v>
      </c>
    </row>
    <row r="94" spans="1:30" x14ac:dyDescent="0.2">
      <c r="A94" t="s">
        <v>4898</v>
      </c>
      <c r="B94" t="s">
        <v>2719</v>
      </c>
      <c r="C94" t="s">
        <v>6838</v>
      </c>
      <c r="D94">
        <v>36.200000000000003</v>
      </c>
      <c r="E94">
        <v>36.200000000000003</v>
      </c>
      <c r="F94" s="47">
        <v>0.95</v>
      </c>
      <c r="G94">
        <v>25</v>
      </c>
      <c r="H94">
        <v>100</v>
      </c>
      <c r="I94">
        <v>16846</v>
      </c>
      <c r="K94" t="s">
        <v>4899</v>
      </c>
      <c r="L94" t="s">
        <v>4871</v>
      </c>
      <c r="M94" t="s">
        <v>6839</v>
      </c>
      <c r="N94">
        <v>34.200000000000003</v>
      </c>
      <c r="O94">
        <v>34.200000000000003</v>
      </c>
      <c r="P94" s="47">
        <v>0.77</v>
      </c>
      <c r="Q94">
        <v>97</v>
      </c>
      <c r="R94">
        <v>100</v>
      </c>
      <c r="S94">
        <v>1920574</v>
      </c>
      <c r="V94" t="s">
        <v>4900</v>
      </c>
      <c r="W94" t="s">
        <v>2671</v>
      </c>
      <c r="X94" t="s">
        <v>6840</v>
      </c>
      <c r="Y94">
        <v>42.1</v>
      </c>
      <c r="Z94">
        <v>42.1</v>
      </c>
      <c r="AA94" s="47">
        <v>1</v>
      </c>
      <c r="AB94">
        <v>0.8</v>
      </c>
      <c r="AC94">
        <v>96</v>
      </c>
      <c r="AD94">
        <v>16813</v>
      </c>
    </row>
    <row r="95" spans="1:30" x14ac:dyDescent="0.2">
      <c r="A95" t="s">
        <v>4901</v>
      </c>
      <c r="B95" t="s">
        <v>4902</v>
      </c>
      <c r="C95" t="s">
        <v>6841</v>
      </c>
      <c r="D95">
        <v>36.200000000000003</v>
      </c>
      <c r="E95">
        <v>36.200000000000003</v>
      </c>
      <c r="F95" s="47">
        <v>0.95</v>
      </c>
      <c r="G95">
        <v>25</v>
      </c>
      <c r="H95">
        <v>100</v>
      </c>
      <c r="I95">
        <v>16520</v>
      </c>
      <c r="K95" t="s">
        <v>4786</v>
      </c>
      <c r="L95" t="s">
        <v>4172</v>
      </c>
      <c r="M95" t="s">
        <v>6842</v>
      </c>
      <c r="N95">
        <v>34.200000000000003</v>
      </c>
      <c r="O95">
        <v>34.200000000000003</v>
      </c>
      <c r="P95" s="47">
        <v>0.95</v>
      </c>
      <c r="Q95">
        <v>97</v>
      </c>
      <c r="R95">
        <v>95.24</v>
      </c>
      <c r="S95">
        <v>59947806</v>
      </c>
      <c r="V95" t="s">
        <v>4903</v>
      </c>
      <c r="W95" t="s">
        <v>4904</v>
      </c>
      <c r="X95" t="s">
        <v>6843</v>
      </c>
      <c r="Y95">
        <v>42.1</v>
      </c>
      <c r="Z95">
        <v>42.1</v>
      </c>
      <c r="AA95" s="47">
        <v>1</v>
      </c>
      <c r="AB95">
        <v>0.8</v>
      </c>
      <c r="AC95">
        <v>96</v>
      </c>
      <c r="AD95">
        <v>16561</v>
      </c>
    </row>
    <row r="96" spans="1:30" x14ac:dyDescent="0.2">
      <c r="A96" t="s">
        <v>4905</v>
      </c>
      <c r="B96" t="s">
        <v>4906</v>
      </c>
      <c r="C96" t="s">
        <v>6844</v>
      </c>
      <c r="D96">
        <v>36.200000000000003</v>
      </c>
      <c r="E96">
        <v>36.200000000000003</v>
      </c>
      <c r="F96" s="47">
        <v>0.95</v>
      </c>
      <c r="G96">
        <v>25</v>
      </c>
      <c r="H96">
        <v>100</v>
      </c>
      <c r="I96">
        <v>16593</v>
      </c>
      <c r="K96" t="s">
        <v>4907</v>
      </c>
      <c r="L96" t="s">
        <v>4908</v>
      </c>
      <c r="M96" t="s">
        <v>6845</v>
      </c>
      <c r="N96">
        <v>34.200000000000003</v>
      </c>
      <c r="O96">
        <v>34.200000000000003</v>
      </c>
      <c r="P96" s="47">
        <v>0.77</v>
      </c>
      <c r="Q96">
        <v>97</v>
      </c>
      <c r="R96">
        <v>100</v>
      </c>
      <c r="S96">
        <v>16507</v>
      </c>
      <c r="V96" t="s">
        <v>4909</v>
      </c>
      <c r="W96" t="s">
        <v>4593</v>
      </c>
      <c r="X96" t="s">
        <v>6846</v>
      </c>
      <c r="Y96">
        <v>42.1</v>
      </c>
      <c r="Z96">
        <v>42.1</v>
      </c>
      <c r="AA96" s="47">
        <v>1</v>
      </c>
      <c r="AB96">
        <v>0.8</v>
      </c>
      <c r="AC96">
        <v>96</v>
      </c>
      <c r="AD96">
        <v>1061</v>
      </c>
    </row>
    <row r="97" spans="1:30" x14ac:dyDescent="0.2">
      <c r="A97" t="s">
        <v>4910</v>
      </c>
      <c r="B97" t="s">
        <v>2568</v>
      </c>
      <c r="C97" t="s">
        <v>6847</v>
      </c>
      <c r="D97">
        <v>36.200000000000003</v>
      </c>
      <c r="E97">
        <v>36.200000000000003</v>
      </c>
      <c r="F97" s="47">
        <v>0.95</v>
      </c>
      <c r="G97">
        <v>25</v>
      </c>
      <c r="H97">
        <v>100</v>
      </c>
      <c r="I97">
        <v>16586</v>
      </c>
      <c r="K97" t="s">
        <v>4911</v>
      </c>
      <c r="L97" t="s">
        <v>4912</v>
      </c>
      <c r="M97" t="s">
        <v>6848</v>
      </c>
      <c r="N97">
        <v>34.200000000000003</v>
      </c>
      <c r="O97">
        <v>34.200000000000003</v>
      </c>
      <c r="P97" s="47">
        <v>0.77</v>
      </c>
      <c r="Q97">
        <v>97</v>
      </c>
      <c r="R97">
        <v>100</v>
      </c>
      <c r="S97">
        <v>2411</v>
      </c>
      <c r="V97" t="s">
        <v>4913</v>
      </c>
      <c r="W97" t="s">
        <v>4597</v>
      </c>
      <c r="X97" t="s">
        <v>6849</v>
      </c>
      <c r="Y97">
        <v>42.1</v>
      </c>
      <c r="Z97">
        <v>42.1</v>
      </c>
      <c r="AA97" s="47">
        <v>1</v>
      </c>
      <c r="AB97">
        <v>0.8</v>
      </c>
      <c r="AC97">
        <v>96</v>
      </c>
      <c r="AD97">
        <v>1812</v>
      </c>
    </row>
    <row r="98" spans="1:30" x14ac:dyDescent="0.2">
      <c r="A98" t="s">
        <v>4914</v>
      </c>
      <c r="B98" t="s">
        <v>4633</v>
      </c>
      <c r="C98" t="s">
        <v>6850</v>
      </c>
      <c r="D98">
        <v>36.200000000000003</v>
      </c>
      <c r="E98">
        <v>36.200000000000003</v>
      </c>
      <c r="F98" s="47">
        <v>0.95</v>
      </c>
      <c r="G98">
        <v>25</v>
      </c>
      <c r="H98">
        <v>100</v>
      </c>
      <c r="I98">
        <v>16598</v>
      </c>
      <c r="K98" t="s">
        <v>4915</v>
      </c>
      <c r="L98" t="s">
        <v>4916</v>
      </c>
      <c r="M98" t="s">
        <v>6851</v>
      </c>
      <c r="N98">
        <v>34.200000000000003</v>
      </c>
      <c r="O98">
        <v>34.200000000000003</v>
      </c>
      <c r="P98" s="47">
        <v>0.77</v>
      </c>
      <c r="Q98">
        <v>97</v>
      </c>
      <c r="R98">
        <v>100</v>
      </c>
      <c r="S98">
        <v>29979</v>
      </c>
      <c r="V98" t="s">
        <v>4917</v>
      </c>
      <c r="W98" t="s">
        <v>4918</v>
      </c>
      <c r="X98" t="s">
        <v>6852</v>
      </c>
      <c r="Y98">
        <v>42.1</v>
      </c>
      <c r="Z98">
        <v>42.1</v>
      </c>
      <c r="AA98" s="47">
        <v>1</v>
      </c>
      <c r="AB98">
        <v>0.8</v>
      </c>
      <c r="AC98">
        <v>96</v>
      </c>
      <c r="AD98">
        <v>16969</v>
      </c>
    </row>
    <row r="99" spans="1:30" x14ac:dyDescent="0.2">
      <c r="A99" t="s">
        <v>4630</v>
      </c>
      <c r="B99" t="s">
        <v>4631</v>
      </c>
      <c r="C99" t="s">
        <v>6650</v>
      </c>
      <c r="D99">
        <v>36.200000000000003</v>
      </c>
      <c r="E99">
        <v>36.200000000000003</v>
      </c>
      <c r="F99" s="47">
        <v>0.95</v>
      </c>
      <c r="G99">
        <v>25</v>
      </c>
      <c r="H99">
        <v>100</v>
      </c>
      <c r="I99">
        <v>15656</v>
      </c>
      <c r="K99" t="s">
        <v>4919</v>
      </c>
      <c r="L99" t="s">
        <v>2684</v>
      </c>
      <c r="M99" t="s">
        <v>6853</v>
      </c>
      <c r="N99">
        <v>34.200000000000003</v>
      </c>
      <c r="O99">
        <v>34.200000000000003</v>
      </c>
      <c r="P99" s="47">
        <v>0.77</v>
      </c>
      <c r="Q99">
        <v>97</v>
      </c>
      <c r="R99">
        <v>100</v>
      </c>
      <c r="S99">
        <v>1638</v>
      </c>
      <c r="V99" t="s">
        <v>4920</v>
      </c>
      <c r="W99" t="s">
        <v>4597</v>
      </c>
      <c r="X99" t="s">
        <v>6854</v>
      </c>
      <c r="Y99">
        <v>42.1</v>
      </c>
      <c r="Z99">
        <v>42.1</v>
      </c>
      <c r="AA99" s="47">
        <v>1</v>
      </c>
      <c r="AB99">
        <v>0.8</v>
      </c>
      <c r="AC99">
        <v>96</v>
      </c>
      <c r="AD99">
        <v>1812</v>
      </c>
    </row>
    <row r="100" spans="1:30" x14ac:dyDescent="0.2">
      <c r="A100" t="s">
        <v>4921</v>
      </c>
      <c r="B100" t="s">
        <v>4711</v>
      </c>
      <c r="C100" t="s">
        <v>6855</v>
      </c>
      <c r="D100">
        <v>36.200000000000003</v>
      </c>
      <c r="E100">
        <v>36.200000000000003</v>
      </c>
      <c r="F100" s="47">
        <v>0.95</v>
      </c>
      <c r="G100">
        <v>25</v>
      </c>
      <c r="H100">
        <v>100</v>
      </c>
      <c r="I100">
        <v>16477</v>
      </c>
      <c r="K100" t="s">
        <v>4565</v>
      </c>
      <c r="L100" t="s">
        <v>2447</v>
      </c>
      <c r="M100" t="s">
        <v>6856</v>
      </c>
      <c r="N100">
        <v>34.200000000000003</v>
      </c>
      <c r="O100">
        <v>34.200000000000003</v>
      </c>
      <c r="P100" s="47">
        <v>0.77</v>
      </c>
      <c r="Q100">
        <v>97</v>
      </c>
      <c r="R100">
        <v>100</v>
      </c>
      <c r="S100">
        <v>16586</v>
      </c>
      <c r="V100" t="s">
        <v>4793</v>
      </c>
      <c r="W100" t="s">
        <v>4646</v>
      </c>
      <c r="X100" t="s">
        <v>6857</v>
      </c>
      <c r="Y100">
        <v>42.1</v>
      </c>
      <c r="Z100">
        <v>42.1</v>
      </c>
      <c r="AA100" s="47">
        <v>1</v>
      </c>
      <c r="AB100">
        <v>0.8</v>
      </c>
      <c r="AC100">
        <v>96</v>
      </c>
      <c r="AD100">
        <v>16602</v>
      </c>
    </row>
    <row r="101" spans="1:30" x14ac:dyDescent="0.2">
      <c r="A101" t="s">
        <v>4922</v>
      </c>
      <c r="B101" t="s">
        <v>2143</v>
      </c>
      <c r="C101" t="s">
        <v>6858</v>
      </c>
      <c r="D101">
        <v>36.200000000000003</v>
      </c>
      <c r="E101">
        <v>36.200000000000003</v>
      </c>
      <c r="F101" s="47">
        <v>0.95</v>
      </c>
      <c r="G101">
        <v>25</v>
      </c>
      <c r="H101">
        <v>100</v>
      </c>
      <c r="I101">
        <v>16582</v>
      </c>
      <c r="K101" t="s">
        <v>4923</v>
      </c>
      <c r="L101" t="s">
        <v>4924</v>
      </c>
      <c r="M101" t="s">
        <v>6859</v>
      </c>
      <c r="N101">
        <v>34.200000000000003</v>
      </c>
      <c r="O101">
        <v>34.200000000000003</v>
      </c>
      <c r="P101" s="47">
        <v>0.77</v>
      </c>
      <c r="Q101">
        <v>97</v>
      </c>
      <c r="R101">
        <v>100</v>
      </c>
      <c r="S101">
        <v>3721309</v>
      </c>
      <c r="V101" t="s">
        <v>4925</v>
      </c>
      <c r="W101" t="s">
        <v>4646</v>
      </c>
      <c r="X101" t="s">
        <v>6860</v>
      </c>
      <c r="Y101">
        <v>42.1</v>
      </c>
      <c r="Z101">
        <v>42.1</v>
      </c>
      <c r="AA101" s="47">
        <v>1</v>
      </c>
      <c r="AB101">
        <v>0.8</v>
      </c>
      <c r="AC101">
        <v>96</v>
      </c>
      <c r="AD101">
        <v>16605</v>
      </c>
    </row>
    <row r="102" spans="1:30" x14ac:dyDescent="0.2">
      <c r="A102" t="s">
        <v>4926</v>
      </c>
      <c r="B102" t="s">
        <v>4775</v>
      </c>
      <c r="C102" t="s">
        <v>6861</v>
      </c>
      <c r="D102">
        <v>36.200000000000003</v>
      </c>
      <c r="E102">
        <v>36.200000000000003</v>
      </c>
      <c r="F102" s="47">
        <v>0.95</v>
      </c>
      <c r="G102">
        <v>25</v>
      </c>
      <c r="H102">
        <v>100</v>
      </c>
      <c r="I102">
        <v>882</v>
      </c>
      <c r="K102" t="s">
        <v>4927</v>
      </c>
      <c r="L102" t="s">
        <v>2248</v>
      </c>
      <c r="M102" t="s">
        <v>6862</v>
      </c>
      <c r="N102">
        <v>34.200000000000003</v>
      </c>
      <c r="O102">
        <v>34.200000000000003</v>
      </c>
      <c r="P102" s="47">
        <v>0.77</v>
      </c>
      <c r="Q102">
        <v>97</v>
      </c>
      <c r="R102">
        <v>100</v>
      </c>
      <c r="S102">
        <v>16585</v>
      </c>
      <c r="V102" t="s">
        <v>4928</v>
      </c>
      <c r="W102" t="s">
        <v>4597</v>
      </c>
      <c r="X102" t="s">
        <v>6863</v>
      </c>
      <c r="Y102">
        <v>42.1</v>
      </c>
      <c r="Z102">
        <v>42.1</v>
      </c>
      <c r="AA102" s="47">
        <v>1</v>
      </c>
      <c r="AB102">
        <v>0.8</v>
      </c>
      <c r="AC102">
        <v>96</v>
      </c>
      <c r="AD102">
        <v>1812</v>
      </c>
    </row>
    <row r="103" spans="1:30" x14ac:dyDescent="0.2">
      <c r="A103" t="s">
        <v>4929</v>
      </c>
      <c r="B103" t="s">
        <v>2719</v>
      </c>
      <c r="C103" t="s">
        <v>6864</v>
      </c>
      <c r="D103">
        <v>36.200000000000003</v>
      </c>
      <c r="E103">
        <v>36.200000000000003</v>
      </c>
      <c r="F103" s="47">
        <v>0.95</v>
      </c>
      <c r="G103">
        <v>25</v>
      </c>
      <c r="H103">
        <v>100</v>
      </c>
      <c r="I103">
        <v>16857</v>
      </c>
      <c r="K103" t="s">
        <v>4930</v>
      </c>
      <c r="L103" t="s">
        <v>4931</v>
      </c>
      <c r="M103" t="s">
        <v>6865</v>
      </c>
      <c r="N103">
        <v>34.200000000000003</v>
      </c>
      <c r="O103">
        <v>34.200000000000003</v>
      </c>
      <c r="P103" s="47">
        <v>0.77</v>
      </c>
      <c r="Q103">
        <v>97</v>
      </c>
      <c r="R103">
        <v>100</v>
      </c>
      <c r="S103">
        <v>13314169</v>
      </c>
      <c r="V103" t="s">
        <v>4932</v>
      </c>
      <c r="W103" t="s">
        <v>4640</v>
      </c>
      <c r="X103" t="s">
        <v>6866</v>
      </c>
      <c r="Y103">
        <v>42.1</v>
      </c>
      <c r="Z103">
        <v>42.1</v>
      </c>
      <c r="AA103" s="47">
        <v>1</v>
      </c>
      <c r="AB103">
        <v>0.8</v>
      </c>
      <c r="AC103">
        <v>96</v>
      </c>
      <c r="AD103">
        <v>16690</v>
      </c>
    </row>
    <row r="104" spans="1:30" x14ac:dyDescent="0.2">
      <c r="A104" t="s">
        <v>4933</v>
      </c>
      <c r="B104" t="s">
        <v>4934</v>
      </c>
      <c r="C104" t="s">
        <v>6867</v>
      </c>
      <c r="D104">
        <v>36.200000000000003</v>
      </c>
      <c r="E104">
        <v>36.200000000000003</v>
      </c>
      <c r="F104" s="47">
        <v>0.95</v>
      </c>
      <c r="G104">
        <v>25</v>
      </c>
      <c r="H104">
        <v>100</v>
      </c>
      <c r="I104">
        <v>16519</v>
      </c>
      <c r="K104" t="s">
        <v>4935</v>
      </c>
      <c r="L104" t="s">
        <v>4736</v>
      </c>
      <c r="M104" t="s">
        <v>6868</v>
      </c>
      <c r="N104">
        <v>34.200000000000003</v>
      </c>
      <c r="O104">
        <v>34.200000000000003</v>
      </c>
      <c r="P104" s="47">
        <v>0.77</v>
      </c>
      <c r="Q104">
        <v>97</v>
      </c>
      <c r="R104">
        <v>100</v>
      </c>
      <c r="S104">
        <v>1846186</v>
      </c>
      <c r="V104" t="s">
        <v>4793</v>
      </c>
      <c r="W104" t="s">
        <v>4646</v>
      </c>
      <c r="X104" t="s">
        <v>6869</v>
      </c>
      <c r="Y104">
        <v>42.1</v>
      </c>
      <c r="Z104">
        <v>42.1</v>
      </c>
      <c r="AA104" s="47">
        <v>1</v>
      </c>
      <c r="AB104">
        <v>0.8</v>
      </c>
      <c r="AC104">
        <v>96</v>
      </c>
      <c r="AD104">
        <v>16597</v>
      </c>
    </row>
    <row r="105" spans="1:30" x14ac:dyDescent="0.2">
      <c r="A105" t="s">
        <v>4936</v>
      </c>
      <c r="B105" t="s">
        <v>4633</v>
      </c>
      <c r="C105" t="s">
        <v>6870</v>
      </c>
      <c r="D105">
        <v>36.200000000000003</v>
      </c>
      <c r="E105">
        <v>36.200000000000003</v>
      </c>
      <c r="F105" s="47">
        <v>0.95</v>
      </c>
      <c r="G105">
        <v>25</v>
      </c>
      <c r="H105">
        <v>100</v>
      </c>
      <c r="I105">
        <v>16676</v>
      </c>
      <c r="K105" t="s">
        <v>4937</v>
      </c>
      <c r="L105" t="s">
        <v>4688</v>
      </c>
      <c r="M105" t="s">
        <v>6871</v>
      </c>
      <c r="N105">
        <v>34.200000000000003</v>
      </c>
      <c r="O105">
        <v>34.200000000000003</v>
      </c>
      <c r="P105" s="47">
        <v>0.77</v>
      </c>
      <c r="Q105">
        <v>97</v>
      </c>
      <c r="R105">
        <v>100</v>
      </c>
      <c r="S105">
        <v>2484335</v>
      </c>
      <c r="V105" t="s">
        <v>4793</v>
      </c>
      <c r="W105" t="s">
        <v>4646</v>
      </c>
      <c r="X105" t="s">
        <v>6872</v>
      </c>
      <c r="Y105">
        <v>42.1</v>
      </c>
      <c r="Z105">
        <v>42.1</v>
      </c>
      <c r="AA105" s="47">
        <v>1</v>
      </c>
      <c r="AB105">
        <v>0.8</v>
      </c>
      <c r="AC105">
        <v>96</v>
      </c>
      <c r="AD105">
        <v>16604</v>
      </c>
    </row>
    <row r="106" spans="1:30" x14ac:dyDescent="0.2">
      <c r="A106" t="s">
        <v>4938</v>
      </c>
      <c r="B106" t="s">
        <v>4939</v>
      </c>
      <c r="C106" t="s">
        <v>6873</v>
      </c>
      <c r="D106">
        <v>36.200000000000003</v>
      </c>
      <c r="E106">
        <v>36.200000000000003</v>
      </c>
      <c r="F106" s="47">
        <v>0.95</v>
      </c>
      <c r="G106">
        <v>25</v>
      </c>
      <c r="H106">
        <v>100</v>
      </c>
      <c r="I106">
        <v>16541</v>
      </c>
      <c r="K106" t="s">
        <v>4940</v>
      </c>
      <c r="L106" t="s">
        <v>4863</v>
      </c>
      <c r="M106" t="s">
        <v>6874</v>
      </c>
      <c r="N106">
        <v>34.200000000000003</v>
      </c>
      <c r="O106">
        <v>34.200000000000003</v>
      </c>
      <c r="P106" s="47">
        <v>0.77</v>
      </c>
      <c r="Q106">
        <v>97</v>
      </c>
      <c r="R106">
        <v>100</v>
      </c>
      <c r="S106">
        <v>1913733</v>
      </c>
      <c r="V106" t="s">
        <v>4941</v>
      </c>
      <c r="W106" t="s">
        <v>4832</v>
      </c>
      <c r="X106" t="s">
        <v>6875</v>
      </c>
      <c r="Y106">
        <v>42.1</v>
      </c>
      <c r="Z106">
        <v>42.1</v>
      </c>
      <c r="AA106" s="47">
        <v>0.84</v>
      </c>
      <c r="AB106">
        <v>0.8</v>
      </c>
      <c r="AC106">
        <v>100</v>
      </c>
      <c r="AD106">
        <v>1791</v>
      </c>
    </row>
    <row r="107" spans="1:30" x14ac:dyDescent="0.2">
      <c r="A107" t="s">
        <v>4942</v>
      </c>
      <c r="B107" t="s">
        <v>2719</v>
      </c>
      <c r="C107" t="s">
        <v>6876</v>
      </c>
      <c r="D107">
        <v>36.200000000000003</v>
      </c>
      <c r="E107">
        <v>36.200000000000003</v>
      </c>
      <c r="F107" s="47">
        <v>0.95</v>
      </c>
      <c r="G107">
        <v>25</v>
      </c>
      <c r="H107">
        <v>100</v>
      </c>
      <c r="I107">
        <v>16861</v>
      </c>
      <c r="K107" t="s">
        <v>4943</v>
      </c>
      <c r="L107" t="s">
        <v>4944</v>
      </c>
      <c r="M107" t="s">
        <v>6877</v>
      </c>
      <c r="N107">
        <v>34.200000000000003</v>
      </c>
      <c r="O107">
        <v>98.6</v>
      </c>
      <c r="P107" s="47">
        <v>0.77</v>
      </c>
      <c r="Q107">
        <v>97</v>
      </c>
      <c r="R107">
        <v>100</v>
      </c>
      <c r="S107">
        <v>32846312</v>
      </c>
      <c r="V107" t="s">
        <v>4945</v>
      </c>
      <c r="W107" t="s">
        <v>4946</v>
      </c>
      <c r="X107" t="s">
        <v>6878</v>
      </c>
      <c r="Y107">
        <v>42.1</v>
      </c>
      <c r="Z107">
        <v>42.1</v>
      </c>
      <c r="AA107" s="47">
        <v>1</v>
      </c>
      <c r="AB107">
        <v>0.8</v>
      </c>
      <c r="AC107">
        <v>96</v>
      </c>
      <c r="AD107">
        <v>16676</v>
      </c>
    </row>
    <row r="108" spans="1:30" x14ac:dyDescent="0.2">
      <c r="A108" t="s">
        <v>4947</v>
      </c>
      <c r="B108" t="s">
        <v>3412</v>
      </c>
      <c r="C108" t="s">
        <v>6879</v>
      </c>
      <c r="D108">
        <v>36.200000000000003</v>
      </c>
      <c r="E108">
        <v>36.200000000000003</v>
      </c>
      <c r="F108" s="47">
        <v>0.95</v>
      </c>
      <c r="G108">
        <v>25</v>
      </c>
      <c r="H108">
        <v>100</v>
      </c>
      <c r="I108">
        <v>1840</v>
      </c>
      <c r="K108" t="s">
        <v>4948</v>
      </c>
      <c r="L108" t="s">
        <v>4853</v>
      </c>
      <c r="M108" t="s">
        <v>6880</v>
      </c>
      <c r="N108">
        <v>34.200000000000003</v>
      </c>
      <c r="O108">
        <v>34.200000000000003</v>
      </c>
      <c r="P108" s="47">
        <v>0.77</v>
      </c>
      <c r="Q108">
        <v>97</v>
      </c>
      <c r="R108">
        <v>100</v>
      </c>
      <c r="S108">
        <v>2176503</v>
      </c>
      <c r="V108" t="s">
        <v>4949</v>
      </c>
      <c r="W108" t="s">
        <v>4904</v>
      </c>
      <c r="X108" t="s">
        <v>6881</v>
      </c>
      <c r="Y108">
        <v>42.1</v>
      </c>
      <c r="Z108">
        <v>42.1</v>
      </c>
      <c r="AA108" s="47">
        <v>1</v>
      </c>
      <c r="AB108">
        <v>0.8</v>
      </c>
      <c r="AC108">
        <v>96</v>
      </c>
      <c r="AD108">
        <v>16524</v>
      </c>
    </row>
    <row r="109" spans="1:30" x14ac:dyDescent="0.2">
      <c r="A109" t="s">
        <v>4950</v>
      </c>
      <c r="B109" t="s">
        <v>4951</v>
      </c>
      <c r="C109" t="s">
        <v>6882</v>
      </c>
      <c r="D109">
        <v>36.200000000000003</v>
      </c>
      <c r="E109">
        <v>36.200000000000003</v>
      </c>
      <c r="F109" s="47">
        <v>0.95</v>
      </c>
      <c r="G109">
        <v>25</v>
      </c>
      <c r="H109">
        <v>100</v>
      </c>
      <c r="I109">
        <v>17016</v>
      </c>
      <c r="K109" t="s">
        <v>4952</v>
      </c>
      <c r="L109" t="s">
        <v>3156</v>
      </c>
      <c r="M109" t="s">
        <v>6883</v>
      </c>
      <c r="N109">
        <v>34.200000000000003</v>
      </c>
      <c r="O109">
        <v>34.200000000000003</v>
      </c>
      <c r="P109" s="47">
        <v>0.77</v>
      </c>
      <c r="Q109">
        <v>97</v>
      </c>
      <c r="R109">
        <v>100</v>
      </c>
      <c r="S109">
        <v>16543</v>
      </c>
      <c r="V109" t="s">
        <v>4793</v>
      </c>
      <c r="W109" t="s">
        <v>4646</v>
      </c>
      <c r="X109" t="s">
        <v>6884</v>
      </c>
      <c r="Y109">
        <v>42.1</v>
      </c>
      <c r="Z109">
        <v>42.1</v>
      </c>
      <c r="AA109" s="47">
        <v>1</v>
      </c>
      <c r="AB109">
        <v>0.8</v>
      </c>
      <c r="AC109">
        <v>96</v>
      </c>
      <c r="AD109">
        <v>16603</v>
      </c>
    </row>
    <row r="110" spans="1:30" x14ac:dyDescent="0.2">
      <c r="A110" t="s">
        <v>4953</v>
      </c>
      <c r="B110" t="s">
        <v>4954</v>
      </c>
      <c r="C110" t="s">
        <v>6885</v>
      </c>
      <c r="D110">
        <v>36.200000000000003</v>
      </c>
      <c r="E110">
        <v>36.200000000000003</v>
      </c>
      <c r="F110" s="47">
        <v>0.95</v>
      </c>
      <c r="G110">
        <v>25</v>
      </c>
      <c r="H110">
        <v>100</v>
      </c>
      <c r="I110">
        <v>16292</v>
      </c>
      <c r="K110" t="s">
        <v>4955</v>
      </c>
      <c r="L110" t="s">
        <v>4688</v>
      </c>
      <c r="M110" t="s">
        <v>6886</v>
      </c>
      <c r="N110">
        <v>34.200000000000003</v>
      </c>
      <c r="O110">
        <v>34.200000000000003</v>
      </c>
      <c r="P110" s="47">
        <v>0.77</v>
      </c>
      <c r="Q110">
        <v>97</v>
      </c>
      <c r="R110">
        <v>100</v>
      </c>
      <c r="S110">
        <v>2453674</v>
      </c>
      <c r="V110" t="s">
        <v>4620</v>
      </c>
      <c r="W110" t="s">
        <v>4621</v>
      </c>
      <c r="X110" t="s">
        <v>6887</v>
      </c>
      <c r="Y110">
        <v>42.1</v>
      </c>
      <c r="Z110">
        <v>42.1</v>
      </c>
      <c r="AA110" s="47">
        <v>1</v>
      </c>
      <c r="AB110">
        <v>0.8</v>
      </c>
      <c r="AC110">
        <v>96</v>
      </c>
      <c r="AD110">
        <v>16680</v>
      </c>
    </row>
    <row r="111" spans="1:30" x14ac:dyDescent="0.2">
      <c r="A111" t="s">
        <v>4956</v>
      </c>
      <c r="B111" t="s">
        <v>2280</v>
      </c>
      <c r="C111" t="s">
        <v>6888</v>
      </c>
      <c r="D111">
        <v>36.200000000000003</v>
      </c>
      <c r="E111">
        <v>36.200000000000003</v>
      </c>
      <c r="F111" s="47">
        <v>0.95</v>
      </c>
      <c r="G111">
        <v>25</v>
      </c>
      <c r="H111">
        <v>100</v>
      </c>
      <c r="I111">
        <v>16530</v>
      </c>
      <c r="K111" t="s">
        <v>4957</v>
      </c>
      <c r="L111" t="s">
        <v>2479</v>
      </c>
      <c r="M111" t="s">
        <v>6889</v>
      </c>
      <c r="N111">
        <v>34.200000000000003</v>
      </c>
      <c r="O111">
        <v>34.200000000000003</v>
      </c>
      <c r="P111" s="47">
        <v>0.77</v>
      </c>
      <c r="Q111">
        <v>97</v>
      </c>
      <c r="R111">
        <v>100</v>
      </c>
      <c r="S111">
        <v>16518</v>
      </c>
      <c r="V111" t="s">
        <v>4958</v>
      </c>
      <c r="W111" t="s">
        <v>4646</v>
      </c>
      <c r="X111" t="s">
        <v>6890</v>
      </c>
      <c r="Y111">
        <v>42.1</v>
      </c>
      <c r="Z111">
        <v>42.1</v>
      </c>
      <c r="AA111" s="47">
        <v>1</v>
      </c>
      <c r="AB111">
        <v>0.8</v>
      </c>
      <c r="AC111">
        <v>96</v>
      </c>
      <c r="AD111">
        <v>16606</v>
      </c>
    </row>
    <row r="112" spans="1:30" x14ac:dyDescent="0.2">
      <c r="A112" t="s">
        <v>4959</v>
      </c>
      <c r="B112" t="s">
        <v>4734</v>
      </c>
      <c r="C112" t="s">
        <v>6891</v>
      </c>
      <c r="D112">
        <v>36.200000000000003</v>
      </c>
      <c r="E112">
        <v>36.200000000000003</v>
      </c>
      <c r="F112" s="47">
        <v>0.95</v>
      </c>
      <c r="G112">
        <v>25</v>
      </c>
      <c r="H112">
        <v>100</v>
      </c>
      <c r="I112">
        <v>945</v>
      </c>
      <c r="K112" t="s">
        <v>4960</v>
      </c>
      <c r="L112" t="s">
        <v>4635</v>
      </c>
      <c r="M112" t="s">
        <v>6892</v>
      </c>
      <c r="N112">
        <v>34.200000000000003</v>
      </c>
      <c r="O112">
        <v>34.200000000000003</v>
      </c>
      <c r="P112" s="47">
        <v>0.95</v>
      </c>
      <c r="Q112">
        <v>97</v>
      </c>
      <c r="R112">
        <v>95.24</v>
      </c>
      <c r="S112">
        <v>66135853</v>
      </c>
      <c r="V112" t="s">
        <v>4961</v>
      </c>
      <c r="W112" t="s">
        <v>4601</v>
      </c>
      <c r="X112" t="s">
        <v>6893</v>
      </c>
      <c r="Y112">
        <v>42.1</v>
      </c>
      <c r="Z112">
        <v>42.1</v>
      </c>
      <c r="AA112" s="47">
        <v>1</v>
      </c>
      <c r="AB112">
        <v>0.8</v>
      </c>
      <c r="AC112">
        <v>96</v>
      </c>
      <c r="AD112">
        <v>1785</v>
      </c>
    </row>
    <row r="113" spans="1:30" x14ac:dyDescent="0.2">
      <c r="A113" t="s">
        <v>4962</v>
      </c>
      <c r="B113" t="s">
        <v>2459</v>
      </c>
      <c r="C113" t="s">
        <v>6894</v>
      </c>
      <c r="D113">
        <v>36.200000000000003</v>
      </c>
      <c r="E113">
        <v>36.200000000000003</v>
      </c>
      <c r="F113" s="47">
        <v>0.95</v>
      </c>
      <c r="G113">
        <v>25</v>
      </c>
      <c r="H113">
        <v>100</v>
      </c>
      <c r="I113">
        <v>16498</v>
      </c>
      <c r="K113" t="s">
        <v>4963</v>
      </c>
      <c r="L113" t="s">
        <v>2481</v>
      </c>
      <c r="M113" t="s">
        <v>6895</v>
      </c>
      <c r="N113">
        <v>34.200000000000003</v>
      </c>
      <c r="O113">
        <v>34.200000000000003</v>
      </c>
      <c r="P113" s="47">
        <v>0.77</v>
      </c>
      <c r="Q113">
        <v>97</v>
      </c>
      <c r="R113">
        <v>100</v>
      </c>
      <c r="S113">
        <v>16519</v>
      </c>
      <c r="V113" t="s">
        <v>4964</v>
      </c>
      <c r="W113" t="s">
        <v>4965</v>
      </c>
      <c r="X113" t="s">
        <v>6896</v>
      </c>
      <c r="Y113">
        <v>42.1</v>
      </c>
      <c r="Z113">
        <v>42.1</v>
      </c>
      <c r="AA113" s="47">
        <v>1</v>
      </c>
      <c r="AB113">
        <v>0.8</v>
      </c>
      <c r="AC113">
        <v>96</v>
      </c>
      <c r="AD113">
        <v>16603</v>
      </c>
    </row>
    <row r="114" spans="1:30" x14ac:dyDescent="0.2">
      <c r="A114" t="s">
        <v>4966</v>
      </c>
      <c r="B114" t="s">
        <v>4711</v>
      </c>
      <c r="C114" t="s">
        <v>6897</v>
      </c>
      <c r="D114">
        <v>36.200000000000003</v>
      </c>
      <c r="E114">
        <v>36.200000000000003</v>
      </c>
      <c r="F114" s="47">
        <v>0.95</v>
      </c>
      <c r="G114">
        <v>25</v>
      </c>
      <c r="H114">
        <v>100</v>
      </c>
      <c r="I114">
        <v>16477</v>
      </c>
      <c r="K114" t="s">
        <v>4967</v>
      </c>
      <c r="L114" t="s">
        <v>4968</v>
      </c>
      <c r="M114" t="s">
        <v>6898</v>
      </c>
      <c r="N114">
        <v>34.200000000000003</v>
      </c>
      <c r="O114">
        <v>34.200000000000003</v>
      </c>
      <c r="P114" s="47">
        <v>0.77</v>
      </c>
      <c r="Q114">
        <v>97</v>
      </c>
      <c r="R114">
        <v>100</v>
      </c>
      <c r="S114">
        <v>2634</v>
      </c>
      <c r="V114" t="s">
        <v>4969</v>
      </c>
      <c r="W114" t="s">
        <v>4593</v>
      </c>
      <c r="X114" t="s">
        <v>6899</v>
      </c>
      <c r="Y114">
        <v>42.1</v>
      </c>
      <c r="Z114">
        <v>42.1</v>
      </c>
      <c r="AA114" s="47">
        <v>1</v>
      </c>
      <c r="AB114">
        <v>0.8</v>
      </c>
      <c r="AC114">
        <v>96</v>
      </c>
      <c r="AD114">
        <v>1061</v>
      </c>
    </row>
    <row r="115" spans="1:30" x14ac:dyDescent="0.2">
      <c r="A115" t="s">
        <v>4970</v>
      </c>
      <c r="B115" t="s">
        <v>4971</v>
      </c>
      <c r="C115" t="s">
        <v>6900</v>
      </c>
      <c r="D115">
        <v>36.200000000000003</v>
      </c>
      <c r="E115">
        <v>36.200000000000003</v>
      </c>
      <c r="F115" s="47">
        <v>0.95</v>
      </c>
      <c r="G115">
        <v>25</v>
      </c>
      <c r="H115">
        <v>100</v>
      </c>
      <c r="I115">
        <v>16542</v>
      </c>
      <c r="K115" t="s">
        <v>4781</v>
      </c>
      <c r="L115" t="s">
        <v>4782</v>
      </c>
      <c r="M115" t="s">
        <v>6901</v>
      </c>
      <c r="N115">
        <v>34.200000000000003</v>
      </c>
      <c r="O115">
        <v>34.200000000000003</v>
      </c>
      <c r="P115" s="47">
        <v>0.77</v>
      </c>
      <c r="Q115">
        <v>97</v>
      </c>
      <c r="R115">
        <v>100</v>
      </c>
      <c r="S115">
        <v>22333162</v>
      </c>
      <c r="V115" t="s">
        <v>4731</v>
      </c>
      <c r="W115" t="s">
        <v>4732</v>
      </c>
      <c r="X115" t="s">
        <v>6902</v>
      </c>
      <c r="Y115">
        <v>42.1</v>
      </c>
      <c r="Z115">
        <v>42.1</v>
      </c>
      <c r="AA115" s="47">
        <v>1</v>
      </c>
      <c r="AB115">
        <v>0.8</v>
      </c>
      <c r="AC115">
        <v>96</v>
      </c>
      <c r="AD115">
        <v>16533</v>
      </c>
    </row>
    <row r="116" spans="1:30" x14ac:dyDescent="0.2">
      <c r="A116" t="s">
        <v>4972</v>
      </c>
      <c r="B116" t="s">
        <v>4973</v>
      </c>
      <c r="C116" t="s">
        <v>6903</v>
      </c>
      <c r="D116">
        <v>36.200000000000003</v>
      </c>
      <c r="E116">
        <v>36.200000000000003</v>
      </c>
      <c r="F116" s="47">
        <v>0.95</v>
      </c>
      <c r="G116">
        <v>25</v>
      </c>
      <c r="H116">
        <v>100</v>
      </c>
      <c r="I116">
        <v>16510</v>
      </c>
      <c r="K116" t="s">
        <v>4974</v>
      </c>
      <c r="L116" t="s">
        <v>4975</v>
      </c>
      <c r="M116" t="s">
        <v>6904</v>
      </c>
      <c r="N116">
        <v>34.200000000000003</v>
      </c>
      <c r="O116">
        <v>34.200000000000003</v>
      </c>
      <c r="P116" s="47">
        <v>0.77</v>
      </c>
      <c r="Q116">
        <v>97</v>
      </c>
      <c r="R116">
        <v>100</v>
      </c>
      <c r="S116">
        <v>1635145</v>
      </c>
      <c r="V116" t="s">
        <v>4976</v>
      </c>
      <c r="W116" t="s">
        <v>4646</v>
      </c>
      <c r="X116" t="s">
        <v>6905</v>
      </c>
      <c r="Y116">
        <v>42.1</v>
      </c>
      <c r="Z116">
        <v>42.1</v>
      </c>
      <c r="AA116" s="47">
        <v>1</v>
      </c>
      <c r="AB116">
        <v>0.8</v>
      </c>
      <c r="AC116">
        <v>96</v>
      </c>
      <c r="AD116">
        <v>16605</v>
      </c>
    </row>
    <row r="117" spans="1:30" x14ac:dyDescent="0.2">
      <c r="A117" t="s">
        <v>4977</v>
      </c>
      <c r="B117" t="s">
        <v>4978</v>
      </c>
      <c r="C117" t="s">
        <v>6906</v>
      </c>
      <c r="D117">
        <v>36.200000000000003</v>
      </c>
      <c r="E117">
        <v>36.200000000000003</v>
      </c>
      <c r="F117" s="47">
        <v>0.95</v>
      </c>
      <c r="G117">
        <v>25</v>
      </c>
      <c r="H117">
        <v>100</v>
      </c>
      <c r="I117">
        <v>16525</v>
      </c>
      <c r="K117" t="s">
        <v>4979</v>
      </c>
      <c r="L117" t="s">
        <v>4980</v>
      </c>
      <c r="M117" t="s">
        <v>6907</v>
      </c>
      <c r="N117">
        <v>34.200000000000003</v>
      </c>
      <c r="O117">
        <v>34.200000000000003</v>
      </c>
      <c r="P117" s="47">
        <v>0.77</v>
      </c>
      <c r="Q117">
        <v>97</v>
      </c>
      <c r="R117">
        <v>100</v>
      </c>
      <c r="S117">
        <v>1266</v>
      </c>
      <c r="V117" t="s">
        <v>4981</v>
      </c>
      <c r="W117" t="s">
        <v>4982</v>
      </c>
      <c r="X117" t="s">
        <v>6908</v>
      </c>
      <c r="Y117">
        <v>42.1</v>
      </c>
      <c r="Z117">
        <v>42.1</v>
      </c>
      <c r="AA117" s="47">
        <v>1</v>
      </c>
      <c r="AB117">
        <v>0.8</v>
      </c>
      <c r="AC117">
        <v>96</v>
      </c>
      <c r="AD117">
        <v>16640</v>
      </c>
    </row>
    <row r="118" spans="1:30" x14ac:dyDescent="0.2">
      <c r="A118" t="s">
        <v>4983</v>
      </c>
      <c r="B118" t="s">
        <v>4984</v>
      </c>
      <c r="C118" t="s">
        <v>6909</v>
      </c>
      <c r="D118">
        <v>36.200000000000003</v>
      </c>
      <c r="E118">
        <v>36.200000000000003</v>
      </c>
      <c r="F118" s="47">
        <v>0.95</v>
      </c>
      <c r="G118">
        <v>25</v>
      </c>
      <c r="H118">
        <v>100</v>
      </c>
      <c r="I118">
        <v>16574</v>
      </c>
      <c r="K118" t="s">
        <v>4985</v>
      </c>
      <c r="L118" t="s">
        <v>4736</v>
      </c>
      <c r="M118" t="s">
        <v>6910</v>
      </c>
      <c r="N118">
        <v>34.200000000000003</v>
      </c>
      <c r="O118">
        <v>34.200000000000003</v>
      </c>
      <c r="P118" s="47">
        <v>0.77</v>
      </c>
      <c r="Q118">
        <v>97</v>
      </c>
      <c r="R118">
        <v>100</v>
      </c>
      <c r="S118">
        <v>3027740</v>
      </c>
      <c r="V118" t="s">
        <v>4986</v>
      </c>
      <c r="W118" t="s">
        <v>2977</v>
      </c>
      <c r="X118" t="s">
        <v>6911</v>
      </c>
      <c r="Y118">
        <v>42.1</v>
      </c>
      <c r="Z118">
        <v>42.1</v>
      </c>
      <c r="AA118" s="47">
        <v>1</v>
      </c>
      <c r="AB118">
        <v>0.8</v>
      </c>
      <c r="AC118">
        <v>96</v>
      </c>
      <c r="AD118">
        <v>16513</v>
      </c>
    </row>
    <row r="119" spans="1:30" x14ac:dyDescent="0.2">
      <c r="A119" t="s">
        <v>4987</v>
      </c>
      <c r="B119" t="s">
        <v>3322</v>
      </c>
      <c r="C119" t="s">
        <v>6912</v>
      </c>
      <c r="D119">
        <v>36.200000000000003</v>
      </c>
      <c r="E119">
        <v>36.200000000000003</v>
      </c>
      <c r="F119" s="47">
        <v>0.95</v>
      </c>
      <c r="G119">
        <v>25</v>
      </c>
      <c r="H119">
        <v>100</v>
      </c>
      <c r="I119">
        <v>16549</v>
      </c>
      <c r="K119" t="s">
        <v>4988</v>
      </c>
      <c r="L119" t="s">
        <v>4736</v>
      </c>
      <c r="M119" t="s">
        <v>6913</v>
      </c>
      <c r="N119">
        <v>34.200000000000003</v>
      </c>
      <c r="O119">
        <v>34.200000000000003</v>
      </c>
      <c r="P119" s="47">
        <v>0.77</v>
      </c>
      <c r="Q119">
        <v>97</v>
      </c>
      <c r="R119">
        <v>100</v>
      </c>
      <c r="S119">
        <v>1887130</v>
      </c>
      <c r="V119" t="s">
        <v>4989</v>
      </c>
      <c r="W119" t="s">
        <v>4646</v>
      </c>
      <c r="X119" t="s">
        <v>6914</v>
      </c>
      <c r="Y119">
        <v>42.1</v>
      </c>
      <c r="Z119">
        <v>42.1</v>
      </c>
      <c r="AA119" s="47">
        <v>1</v>
      </c>
      <c r="AB119">
        <v>0.8</v>
      </c>
      <c r="AC119">
        <v>96</v>
      </c>
      <c r="AD119">
        <v>16606</v>
      </c>
    </row>
    <row r="120" spans="1:30" x14ac:dyDescent="0.2">
      <c r="A120" t="s">
        <v>4990</v>
      </c>
      <c r="B120" t="s">
        <v>2153</v>
      </c>
      <c r="C120" t="s">
        <v>6915</v>
      </c>
      <c r="D120">
        <v>36.200000000000003</v>
      </c>
      <c r="E120">
        <v>36.200000000000003</v>
      </c>
      <c r="F120" s="47">
        <v>0.95</v>
      </c>
      <c r="G120">
        <v>25</v>
      </c>
      <c r="H120">
        <v>100</v>
      </c>
      <c r="I120">
        <v>16581</v>
      </c>
      <c r="K120" t="s">
        <v>4991</v>
      </c>
      <c r="L120" t="s">
        <v>4992</v>
      </c>
      <c r="M120" t="s">
        <v>6916</v>
      </c>
      <c r="N120">
        <v>34.200000000000003</v>
      </c>
      <c r="O120">
        <v>34.200000000000003</v>
      </c>
      <c r="P120" s="47">
        <v>0.77</v>
      </c>
      <c r="Q120">
        <v>97</v>
      </c>
      <c r="R120">
        <v>100</v>
      </c>
      <c r="S120">
        <v>29327</v>
      </c>
      <c r="V120" t="s">
        <v>4993</v>
      </c>
      <c r="W120" t="s">
        <v>1887</v>
      </c>
      <c r="X120" t="s">
        <v>6917</v>
      </c>
      <c r="Y120">
        <v>42.1</v>
      </c>
      <c r="Z120">
        <v>42.1</v>
      </c>
      <c r="AA120" s="47">
        <v>1</v>
      </c>
      <c r="AB120">
        <v>0.8</v>
      </c>
      <c r="AC120">
        <v>96</v>
      </c>
      <c r="AD120">
        <v>16151</v>
      </c>
    </row>
    <row r="121" spans="1:30" x14ac:dyDescent="0.2">
      <c r="A121" t="s">
        <v>4994</v>
      </c>
      <c r="B121" t="s">
        <v>4995</v>
      </c>
      <c r="C121" t="s">
        <v>6918</v>
      </c>
      <c r="D121">
        <v>36.200000000000003</v>
      </c>
      <c r="E121">
        <v>36.200000000000003</v>
      </c>
      <c r="F121" s="47">
        <v>0.95</v>
      </c>
      <c r="G121">
        <v>25</v>
      </c>
      <c r="H121">
        <v>100</v>
      </c>
      <c r="I121">
        <v>16514</v>
      </c>
      <c r="K121" t="s">
        <v>4996</v>
      </c>
      <c r="L121" t="s">
        <v>4997</v>
      </c>
      <c r="M121" t="s">
        <v>6919</v>
      </c>
      <c r="N121">
        <v>34.200000000000003</v>
      </c>
      <c r="O121">
        <v>34.200000000000003</v>
      </c>
      <c r="P121" s="47">
        <v>0.77</v>
      </c>
      <c r="Q121">
        <v>97</v>
      </c>
      <c r="R121">
        <v>100</v>
      </c>
      <c r="S121">
        <v>1833</v>
      </c>
      <c r="V121" t="s">
        <v>4998</v>
      </c>
      <c r="W121" t="s">
        <v>4601</v>
      </c>
      <c r="X121" t="s">
        <v>6920</v>
      </c>
      <c r="Y121">
        <v>42.1</v>
      </c>
      <c r="Z121">
        <v>42.1</v>
      </c>
      <c r="AA121" s="47">
        <v>1</v>
      </c>
      <c r="AB121">
        <v>0.8</v>
      </c>
      <c r="AC121">
        <v>96</v>
      </c>
      <c r="AD121">
        <v>1785</v>
      </c>
    </row>
    <row r="122" spans="1:30" x14ac:dyDescent="0.2">
      <c r="A122" t="s">
        <v>4999</v>
      </c>
      <c r="B122" t="s">
        <v>5000</v>
      </c>
      <c r="C122" t="s">
        <v>6921</v>
      </c>
      <c r="D122">
        <v>36.200000000000003</v>
      </c>
      <c r="E122">
        <v>36.200000000000003</v>
      </c>
      <c r="F122" s="47">
        <v>0.95</v>
      </c>
      <c r="G122">
        <v>25</v>
      </c>
      <c r="H122">
        <v>100</v>
      </c>
      <c r="I122">
        <v>337</v>
      </c>
      <c r="K122" t="s">
        <v>5001</v>
      </c>
      <c r="L122" t="s">
        <v>4944</v>
      </c>
      <c r="M122" t="s">
        <v>6922</v>
      </c>
      <c r="N122">
        <v>34.200000000000003</v>
      </c>
      <c r="O122">
        <v>34.200000000000003</v>
      </c>
      <c r="P122" s="47">
        <v>0.77</v>
      </c>
      <c r="Q122">
        <v>97</v>
      </c>
      <c r="R122">
        <v>100</v>
      </c>
      <c r="S122">
        <v>26676011</v>
      </c>
      <c r="V122" t="s">
        <v>4810</v>
      </c>
      <c r="W122" t="s">
        <v>4811</v>
      </c>
      <c r="X122" t="s">
        <v>6923</v>
      </c>
      <c r="Y122">
        <v>42.1</v>
      </c>
      <c r="Z122">
        <v>42.1</v>
      </c>
      <c r="AA122" s="47">
        <v>1</v>
      </c>
      <c r="AB122">
        <v>0.8</v>
      </c>
      <c r="AC122">
        <v>96</v>
      </c>
      <c r="AD122">
        <v>17029</v>
      </c>
    </row>
    <row r="123" spans="1:30" x14ac:dyDescent="0.2">
      <c r="A123" t="s">
        <v>5002</v>
      </c>
      <c r="B123" t="s">
        <v>5003</v>
      </c>
      <c r="C123" t="s">
        <v>6924</v>
      </c>
      <c r="D123">
        <v>36.200000000000003</v>
      </c>
      <c r="E123">
        <v>36.200000000000003</v>
      </c>
      <c r="F123" s="47">
        <v>0.95</v>
      </c>
      <c r="G123">
        <v>25</v>
      </c>
      <c r="H123">
        <v>100</v>
      </c>
      <c r="I123">
        <v>16497</v>
      </c>
      <c r="K123" t="s">
        <v>5004</v>
      </c>
      <c r="L123" t="s">
        <v>4682</v>
      </c>
      <c r="M123" t="s">
        <v>6925</v>
      </c>
      <c r="N123">
        <v>34.200000000000003</v>
      </c>
      <c r="O123">
        <v>34.200000000000003</v>
      </c>
      <c r="P123" s="47">
        <v>0.77</v>
      </c>
      <c r="Q123">
        <v>97</v>
      </c>
      <c r="R123">
        <v>100</v>
      </c>
      <c r="S123">
        <v>196154</v>
      </c>
      <c r="V123" t="s">
        <v>5005</v>
      </c>
      <c r="W123" t="s">
        <v>5006</v>
      </c>
      <c r="X123" t="s">
        <v>6926</v>
      </c>
      <c r="Y123">
        <v>42.1</v>
      </c>
      <c r="Z123">
        <v>42.1</v>
      </c>
      <c r="AA123" s="47">
        <v>1</v>
      </c>
      <c r="AB123">
        <v>0.8</v>
      </c>
      <c r="AC123">
        <v>96</v>
      </c>
      <c r="AD123">
        <v>16052</v>
      </c>
    </row>
    <row r="124" spans="1:30" x14ac:dyDescent="0.2">
      <c r="A124" t="s">
        <v>5007</v>
      </c>
      <c r="B124" t="s">
        <v>5008</v>
      </c>
      <c r="C124" t="s">
        <v>6927</v>
      </c>
      <c r="D124">
        <v>36.200000000000003</v>
      </c>
      <c r="E124">
        <v>36.200000000000003</v>
      </c>
      <c r="F124" s="47">
        <v>0.95</v>
      </c>
      <c r="G124">
        <v>25</v>
      </c>
      <c r="H124">
        <v>100</v>
      </c>
      <c r="I124">
        <v>16475</v>
      </c>
      <c r="K124" t="s">
        <v>5009</v>
      </c>
      <c r="L124" t="s">
        <v>5010</v>
      </c>
      <c r="M124" t="s">
        <v>6928</v>
      </c>
      <c r="N124">
        <v>34.200000000000003</v>
      </c>
      <c r="O124">
        <v>34.200000000000003</v>
      </c>
      <c r="P124" s="47">
        <v>0.77</v>
      </c>
      <c r="Q124">
        <v>97</v>
      </c>
      <c r="R124">
        <v>100</v>
      </c>
      <c r="S124">
        <v>5888</v>
      </c>
      <c r="V124" t="s">
        <v>5011</v>
      </c>
      <c r="W124" t="s">
        <v>5012</v>
      </c>
      <c r="X124" t="s">
        <v>6929</v>
      </c>
      <c r="Y124">
        <v>42.1</v>
      </c>
      <c r="Z124">
        <v>42.1</v>
      </c>
      <c r="AA124" s="47">
        <v>1</v>
      </c>
      <c r="AB124">
        <v>0.8</v>
      </c>
      <c r="AC124">
        <v>96</v>
      </c>
      <c r="AD124">
        <v>16766</v>
      </c>
    </row>
    <row r="125" spans="1:30" x14ac:dyDescent="0.2">
      <c r="A125" t="s">
        <v>3643</v>
      </c>
      <c r="B125" t="s">
        <v>3644</v>
      </c>
      <c r="C125" t="s">
        <v>6930</v>
      </c>
      <c r="D125">
        <v>36.200000000000003</v>
      </c>
      <c r="E125">
        <v>36.200000000000003</v>
      </c>
      <c r="F125" s="47">
        <v>0.95</v>
      </c>
      <c r="G125">
        <v>25</v>
      </c>
      <c r="H125">
        <v>100</v>
      </c>
      <c r="I125">
        <v>16485</v>
      </c>
      <c r="K125" t="s">
        <v>5013</v>
      </c>
      <c r="L125" t="s">
        <v>2498</v>
      </c>
      <c r="M125" t="s">
        <v>6931</v>
      </c>
      <c r="N125">
        <v>34.200000000000003</v>
      </c>
      <c r="O125">
        <v>34.200000000000003</v>
      </c>
      <c r="P125" s="47">
        <v>0.77</v>
      </c>
      <c r="Q125">
        <v>97</v>
      </c>
      <c r="R125">
        <v>100</v>
      </c>
      <c r="S125">
        <v>16527</v>
      </c>
      <c r="V125" t="s">
        <v>4793</v>
      </c>
      <c r="W125" t="s">
        <v>4646</v>
      </c>
      <c r="X125" t="s">
        <v>6932</v>
      </c>
      <c r="Y125">
        <v>42.1</v>
      </c>
      <c r="Z125">
        <v>42.1</v>
      </c>
      <c r="AA125" s="47">
        <v>1</v>
      </c>
      <c r="AB125">
        <v>0.8</v>
      </c>
      <c r="AC125">
        <v>96</v>
      </c>
      <c r="AD125">
        <v>16605</v>
      </c>
    </row>
    <row r="126" spans="1:30" x14ac:dyDescent="0.2">
      <c r="A126" t="s">
        <v>4722</v>
      </c>
      <c r="B126" t="s">
        <v>2800</v>
      </c>
      <c r="C126" t="s">
        <v>6711</v>
      </c>
      <c r="D126">
        <v>36.200000000000003</v>
      </c>
      <c r="E126">
        <v>36.200000000000003</v>
      </c>
      <c r="F126" s="47">
        <v>0.95</v>
      </c>
      <c r="G126">
        <v>25</v>
      </c>
      <c r="H126">
        <v>100</v>
      </c>
      <c r="I126">
        <v>16580</v>
      </c>
      <c r="K126" t="s">
        <v>4960</v>
      </c>
      <c r="L126" t="s">
        <v>4635</v>
      </c>
      <c r="M126" t="s">
        <v>6933</v>
      </c>
      <c r="N126">
        <v>34.200000000000003</v>
      </c>
      <c r="O126">
        <v>34.200000000000003</v>
      </c>
      <c r="P126" s="47">
        <v>0.95</v>
      </c>
      <c r="Q126">
        <v>97</v>
      </c>
      <c r="R126">
        <v>95.24</v>
      </c>
      <c r="S126">
        <v>66240295</v>
      </c>
      <c r="V126" t="s">
        <v>5014</v>
      </c>
      <c r="W126" t="s">
        <v>4904</v>
      </c>
      <c r="X126" t="s">
        <v>6934</v>
      </c>
      <c r="Y126">
        <v>42.1</v>
      </c>
      <c r="Z126">
        <v>42.1</v>
      </c>
      <c r="AA126" s="47">
        <v>1</v>
      </c>
      <c r="AB126">
        <v>0.8</v>
      </c>
      <c r="AC126">
        <v>96</v>
      </c>
      <c r="AD126">
        <v>16524</v>
      </c>
    </row>
    <row r="127" spans="1:30" x14ac:dyDescent="0.2">
      <c r="A127" t="s">
        <v>5015</v>
      </c>
      <c r="B127" t="s">
        <v>5016</v>
      </c>
      <c r="C127" t="s">
        <v>6935</v>
      </c>
      <c r="D127">
        <v>36.200000000000003</v>
      </c>
      <c r="E127">
        <v>36.200000000000003</v>
      </c>
      <c r="F127" s="47">
        <v>0.95</v>
      </c>
      <c r="G127">
        <v>25</v>
      </c>
      <c r="H127">
        <v>100</v>
      </c>
      <c r="I127">
        <v>16585</v>
      </c>
      <c r="K127" t="s">
        <v>5017</v>
      </c>
      <c r="L127" t="s">
        <v>5018</v>
      </c>
      <c r="M127" t="s">
        <v>6936</v>
      </c>
      <c r="N127">
        <v>34.200000000000003</v>
      </c>
      <c r="O127">
        <v>34.200000000000003</v>
      </c>
      <c r="P127" s="47">
        <v>0.77</v>
      </c>
      <c r="Q127">
        <v>97</v>
      </c>
      <c r="R127">
        <v>100</v>
      </c>
      <c r="S127">
        <v>991</v>
      </c>
      <c r="V127" t="s">
        <v>5019</v>
      </c>
      <c r="W127" t="s">
        <v>4621</v>
      </c>
      <c r="X127" t="s">
        <v>6937</v>
      </c>
      <c r="Y127">
        <v>42.1</v>
      </c>
      <c r="Z127">
        <v>42.1</v>
      </c>
      <c r="AA127" s="47">
        <v>1</v>
      </c>
      <c r="AB127">
        <v>0.8</v>
      </c>
      <c r="AC127">
        <v>96</v>
      </c>
      <c r="AD127">
        <v>16680</v>
      </c>
    </row>
    <row r="128" spans="1:30" x14ac:dyDescent="0.2">
      <c r="A128" t="s">
        <v>5020</v>
      </c>
      <c r="B128" t="s">
        <v>4711</v>
      </c>
      <c r="C128" t="s">
        <v>6938</v>
      </c>
      <c r="D128">
        <v>36.200000000000003</v>
      </c>
      <c r="E128">
        <v>36.200000000000003</v>
      </c>
      <c r="F128" s="47">
        <v>0.95</v>
      </c>
      <c r="G128">
        <v>25</v>
      </c>
      <c r="H128">
        <v>100</v>
      </c>
      <c r="I128">
        <v>16476</v>
      </c>
      <c r="K128" t="s">
        <v>4407</v>
      </c>
      <c r="L128" t="s">
        <v>4408</v>
      </c>
      <c r="M128" t="s">
        <v>6939</v>
      </c>
      <c r="N128">
        <v>34.200000000000003</v>
      </c>
      <c r="O128">
        <v>34.200000000000003</v>
      </c>
      <c r="P128" s="47">
        <v>0.77</v>
      </c>
      <c r="Q128">
        <v>97</v>
      </c>
      <c r="R128">
        <v>100</v>
      </c>
      <c r="S128">
        <v>16556</v>
      </c>
      <c r="V128" t="s">
        <v>5021</v>
      </c>
      <c r="W128" t="s">
        <v>5022</v>
      </c>
      <c r="X128" t="s">
        <v>6940</v>
      </c>
      <c r="Y128">
        <v>42.1</v>
      </c>
      <c r="Z128">
        <v>42.1</v>
      </c>
      <c r="AA128" s="47">
        <v>1</v>
      </c>
      <c r="AB128">
        <v>0.8</v>
      </c>
      <c r="AC128">
        <v>96</v>
      </c>
      <c r="AD128">
        <v>16708</v>
      </c>
    </row>
    <row r="129" spans="1:30" x14ac:dyDescent="0.2">
      <c r="A129" t="s">
        <v>4672</v>
      </c>
      <c r="B129" t="s">
        <v>2137</v>
      </c>
      <c r="C129" t="s">
        <v>6679</v>
      </c>
      <c r="D129">
        <v>36.200000000000003</v>
      </c>
      <c r="E129">
        <v>36.200000000000003</v>
      </c>
      <c r="F129" s="47">
        <v>0.95</v>
      </c>
      <c r="G129">
        <v>25</v>
      </c>
      <c r="H129">
        <v>100</v>
      </c>
      <c r="I129">
        <v>16583</v>
      </c>
      <c r="K129" t="s">
        <v>5023</v>
      </c>
      <c r="L129" t="s">
        <v>4688</v>
      </c>
      <c r="M129" t="s">
        <v>6941</v>
      </c>
      <c r="N129">
        <v>34.200000000000003</v>
      </c>
      <c r="O129">
        <v>34.200000000000003</v>
      </c>
      <c r="P129" s="47">
        <v>0.77</v>
      </c>
      <c r="Q129">
        <v>97</v>
      </c>
      <c r="R129">
        <v>100</v>
      </c>
      <c r="S129">
        <v>2481768</v>
      </c>
      <c r="V129" t="s">
        <v>5024</v>
      </c>
      <c r="W129" t="s">
        <v>4597</v>
      </c>
      <c r="X129" t="s">
        <v>6942</v>
      </c>
      <c r="Y129">
        <v>42.1</v>
      </c>
      <c r="Z129">
        <v>42.1</v>
      </c>
      <c r="AA129" s="47">
        <v>1</v>
      </c>
      <c r="AB129">
        <v>0.8</v>
      </c>
      <c r="AC129">
        <v>96</v>
      </c>
      <c r="AD129">
        <v>1812</v>
      </c>
    </row>
    <row r="130" spans="1:30" x14ac:dyDescent="0.2">
      <c r="A130" t="s">
        <v>4675</v>
      </c>
      <c r="B130" t="s">
        <v>2185</v>
      </c>
      <c r="C130" t="s">
        <v>6682</v>
      </c>
      <c r="D130">
        <v>36.200000000000003</v>
      </c>
      <c r="E130">
        <v>36.200000000000003</v>
      </c>
      <c r="F130" s="47">
        <v>0.95</v>
      </c>
      <c r="G130">
        <v>25</v>
      </c>
      <c r="H130">
        <v>100</v>
      </c>
      <c r="I130">
        <v>1638</v>
      </c>
      <c r="K130" t="s">
        <v>5025</v>
      </c>
      <c r="L130" t="s">
        <v>5026</v>
      </c>
      <c r="M130" t="s">
        <v>6943</v>
      </c>
      <c r="N130">
        <v>34.200000000000003</v>
      </c>
      <c r="O130">
        <v>34.200000000000003</v>
      </c>
      <c r="P130" s="47">
        <v>0.77</v>
      </c>
      <c r="Q130">
        <v>97</v>
      </c>
      <c r="R130">
        <v>100</v>
      </c>
      <c r="S130">
        <v>5658185</v>
      </c>
      <c r="V130" t="s">
        <v>5027</v>
      </c>
      <c r="W130" t="s">
        <v>4646</v>
      </c>
      <c r="X130" t="s">
        <v>6944</v>
      </c>
      <c r="Y130">
        <v>42.1</v>
      </c>
      <c r="Z130">
        <v>42.1</v>
      </c>
      <c r="AA130" s="47">
        <v>1</v>
      </c>
      <c r="AB130">
        <v>0.8</v>
      </c>
      <c r="AC130">
        <v>96</v>
      </c>
      <c r="AD130">
        <v>16601</v>
      </c>
    </row>
    <row r="131" spans="1:30" x14ac:dyDescent="0.2">
      <c r="A131" t="s">
        <v>5028</v>
      </c>
      <c r="B131" t="s">
        <v>5029</v>
      </c>
      <c r="C131" t="s">
        <v>6945</v>
      </c>
      <c r="D131">
        <v>36.200000000000003</v>
      </c>
      <c r="E131">
        <v>36.200000000000003</v>
      </c>
      <c r="F131" s="47">
        <v>0.95</v>
      </c>
      <c r="G131">
        <v>25</v>
      </c>
      <c r="H131">
        <v>100</v>
      </c>
      <c r="I131">
        <v>16511</v>
      </c>
      <c r="K131" t="s">
        <v>5030</v>
      </c>
      <c r="L131" t="s">
        <v>5031</v>
      </c>
      <c r="M131" t="s">
        <v>6946</v>
      </c>
      <c r="N131">
        <v>34.200000000000003</v>
      </c>
      <c r="O131">
        <v>34.200000000000003</v>
      </c>
      <c r="P131" s="47">
        <v>0.77</v>
      </c>
      <c r="Q131">
        <v>97</v>
      </c>
      <c r="R131">
        <v>100</v>
      </c>
      <c r="S131">
        <v>3785665</v>
      </c>
      <c r="V131" t="s">
        <v>5011</v>
      </c>
      <c r="W131" t="s">
        <v>5012</v>
      </c>
      <c r="X131" t="s">
        <v>6947</v>
      </c>
      <c r="Y131">
        <v>42.1</v>
      </c>
      <c r="Z131">
        <v>42.1</v>
      </c>
      <c r="AA131" s="47">
        <v>1</v>
      </c>
      <c r="AB131">
        <v>0.8</v>
      </c>
      <c r="AC131">
        <v>96</v>
      </c>
      <c r="AD131">
        <v>16691</v>
      </c>
    </row>
    <row r="132" spans="1:30" x14ac:dyDescent="0.2">
      <c r="A132" t="s">
        <v>5032</v>
      </c>
      <c r="B132" t="s">
        <v>3414</v>
      </c>
      <c r="C132" t="s">
        <v>6948</v>
      </c>
      <c r="D132">
        <v>36.200000000000003</v>
      </c>
      <c r="E132">
        <v>36.200000000000003</v>
      </c>
      <c r="F132" s="47">
        <v>0.95</v>
      </c>
      <c r="G132">
        <v>25</v>
      </c>
      <c r="H132">
        <v>100</v>
      </c>
      <c r="I132">
        <v>16506</v>
      </c>
      <c r="K132" t="s">
        <v>5033</v>
      </c>
      <c r="L132" t="s">
        <v>5034</v>
      </c>
      <c r="M132" t="s">
        <v>6949</v>
      </c>
      <c r="N132">
        <v>34.200000000000003</v>
      </c>
      <c r="O132">
        <v>34.200000000000003</v>
      </c>
      <c r="P132" s="47">
        <v>0.77</v>
      </c>
      <c r="Q132">
        <v>97</v>
      </c>
      <c r="R132">
        <v>100</v>
      </c>
      <c r="S132">
        <v>4195202</v>
      </c>
      <c r="V132" t="s">
        <v>5035</v>
      </c>
      <c r="W132" t="s">
        <v>5036</v>
      </c>
      <c r="X132" t="s">
        <v>6950</v>
      </c>
      <c r="Y132">
        <v>42.1</v>
      </c>
      <c r="Z132">
        <v>42.1</v>
      </c>
      <c r="AA132" s="47">
        <v>1</v>
      </c>
      <c r="AB132">
        <v>0.8</v>
      </c>
      <c r="AC132">
        <v>96</v>
      </c>
      <c r="AD132">
        <v>17251</v>
      </c>
    </row>
    <row r="133" spans="1:30" x14ac:dyDescent="0.2">
      <c r="A133" t="s">
        <v>5037</v>
      </c>
      <c r="B133" t="s">
        <v>5038</v>
      </c>
      <c r="C133" t="s">
        <v>6951</v>
      </c>
      <c r="D133">
        <v>36.200000000000003</v>
      </c>
      <c r="E133">
        <v>36.200000000000003</v>
      </c>
      <c r="F133" s="47">
        <v>0.95</v>
      </c>
      <c r="G133">
        <v>25</v>
      </c>
      <c r="H133">
        <v>100</v>
      </c>
      <c r="I133">
        <v>16564</v>
      </c>
      <c r="K133" t="s">
        <v>5039</v>
      </c>
      <c r="L133" t="s">
        <v>5040</v>
      </c>
      <c r="M133" t="s">
        <v>6952</v>
      </c>
      <c r="N133">
        <v>34.200000000000003</v>
      </c>
      <c r="O133">
        <v>34.200000000000003</v>
      </c>
      <c r="P133" s="47">
        <v>0.77</v>
      </c>
      <c r="Q133">
        <v>97</v>
      </c>
      <c r="R133">
        <v>100</v>
      </c>
      <c r="S133">
        <v>5297546</v>
      </c>
      <c r="V133" t="s">
        <v>5041</v>
      </c>
      <c r="W133" t="s">
        <v>3019</v>
      </c>
      <c r="X133" t="s">
        <v>6953</v>
      </c>
      <c r="Y133">
        <v>42.1</v>
      </c>
      <c r="Z133">
        <v>42.1</v>
      </c>
      <c r="AA133" s="47">
        <v>1</v>
      </c>
      <c r="AB133">
        <v>0.8</v>
      </c>
      <c r="AC133">
        <v>96</v>
      </c>
      <c r="AD133">
        <v>16502</v>
      </c>
    </row>
    <row r="134" spans="1:30" x14ac:dyDescent="0.2">
      <c r="A134" t="s">
        <v>5042</v>
      </c>
      <c r="B134" t="s">
        <v>5043</v>
      </c>
      <c r="C134" t="s">
        <v>6954</v>
      </c>
      <c r="D134">
        <v>36.200000000000003</v>
      </c>
      <c r="E134">
        <v>36.200000000000003</v>
      </c>
      <c r="F134" s="47">
        <v>0.95</v>
      </c>
      <c r="G134">
        <v>25</v>
      </c>
      <c r="H134">
        <v>100</v>
      </c>
      <c r="I134">
        <v>16504</v>
      </c>
      <c r="K134" t="s">
        <v>5044</v>
      </c>
      <c r="L134" t="s">
        <v>5045</v>
      </c>
      <c r="M134" t="s">
        <v>6955</v>
      </c>
      <c r="N134">
        <v>34.200000000000003</v>
      </c>
      <c r="O134">
        <v>34.200000000000003</v>
      </c>
      <c r="P134" s="47">
        <v>0.77</v>
      </c>
      <c r="Q134">
        <v>97</v>
      </c>
      <c r="R134">
        <v>100</v>
      </c>
      <c r="S134">
        <v>17533892</v>
      </c>
      <c r="V134" t="s">
        <v>5046</v>
      </c>
      <c r="W134" t="s">
        <v>4904</v>
      </c>
      <c r="X134" t="s">
        <v>6956</v>
      </c>
      <c r="Y134">
        <v>42.1</v>
      </c>
      <c r="Z134">
        <v>42.1</v>
      </c>
      <c r="AA134" s="47">
        <v>1</v>
      </c>
      <c r="AB134">
        <v>0.8</v>
      </c>
      <c r="AC134">
        <v>96</v>
      </c>
      <c r="AD134">
        <v>16682</v>
      </c>
    </row>
    <row r="135" spans="1:30" x14ac:dyDescent="0.2">
      <c r="A135" t="s">
        <v>5047</v>
      </c>
      <c r="B135" t="s">
        <v>4711</v>
      </c>
      <c r="C135" t="s">
        <v>6957</v>
      </c>
      <c r="D135">
        <v>36.200000000000003</v>
      </c>
      <c r="E135">
        <v>36.200000000000003</v>
      </c>
      <c r="F135" s="47">
        <v>0.95</v>
      </c>
      <c r="G135">
        <v>25</v>
      </c>
      <c r="H135">
        <v>100</v>
      </c>
      <c r="I135">
        <v>16473</v>
      </c>
      <c r="K135" t="s">
        <v>5048</v>
      </c>
      <c r="L135" t="s">
        <v>5049</v>
      </c>
      <c r="M135" t="s">
        <v>6958</v>
      </c>
      <c r="N135">
        <v>32.200000000000003</v>
      </c>
      <c r="O135">
        <v>32.200000000000003</v>
      </c>
      <c r="P135" s="47">
        <v>0.91</v>
      </c>
      <c r="Q135">
        <v>384</v>
      </c>
      <c r="R135">
        <v>95</v>
      </c>
      <c r="S135">
        <v>12334</v>
      </c>
      <c r="V135" t="s">
        <v>5050</v>
      </c>
      <c r="W135" t="s">
        <v>4904</v>
      </c>
      <c r="X135" t="s">
        <v>6959</v>
      </c>
      <c r="Y135">
        <v>42.1</v>
      </c>
      <c r="Z135">
        <v>42.1</v>
      </c>
      <c r="AA135" s="47">
        <v>1</v>
      </c>
      <c r="AB135">
        <v>0.8</v>
      </c>
      <c r="AC135">
        <v>96</v>
      </c>
      <c r="AD135">
        <v>16688</v>
      </c>
    </row>
    <row r="136" spans="1:30" x14ac:dyDescent="0.2">
      <c r="A136" t="s">
        <v>5051</v>
      </c>
      <c r="B136" t="s">
        <v>4711</v>
      </c>
      <c r="C136" t="s">
        <v>6960</v>
      </c>
      <c r="D136">
        <v>36.200000000000003</v>
      </c>
      <c r="E136">
        <v>36.200000000000003</v>
      </c>
      <c r="F136" s="47">
        <v>0.95</v>
      </c>
      <c r="G136">
        <v>25</v>
      </c>
      <c r="H136">
        <v>100</v>
      </c>
      <c r="I136">
        <v>16477</v>
      </c>
      <c r="K136" t="s">
        <v>5052</v>
      </c>
      <c r="L136" t="s">
        <v>5053</v>
      </c>
      <c r="M136" t="s">
        <v>6961</v>
      </c>
      <c r="N136">
        <v>32.200000000000003</v>
      </c>
      <c r="O136">
        <v>32.200000000000003</v>
      </c>
      <c r="P136" s="47">
        <v>0.73</v>
      </c>
      <c r="Q136">
        <v>384</v>
      </c>
      <c r="R136">
        <v>100</v>
      </c>
      <c r="S136">
        <v>1858</v>
      </c>
      <c r="V136" t="s">
        <v>5054</v>
      </c>
      <c r="W136" t="s">
        <v>4597</v>
      </c>
      <c r="X136" t="s">
        <v>6962</v>
      </c>
      <c r="Y136">
        <v>42.1</v>
      </c>
      <c r="Z136">
        <v>42.1</v>
      </c>
      <c r="AA136" s="47">
        <v>1</v>
      </c>
      <c r="AB136">
        <v>0.8</v>
      </c>
      <c r="AC136">
        <v>96</v>
      </c>
      <c r="AD136">
        <v>1812</v>
      </c>
    </row>
    <row r="137" spans="1:30" x14ac:dyDescent="0.2">
      <c r="A137" t="s">
        <v>5055</v>
      </c>
      <c r="B137" t="s">
        <v>2719</v>
      </c>
      <c r="C137" t="s">
        <v>6963</v>
      </c>
      <c r="D137">
        <v>36.200000000000003</v>
      </c>
      <c r="E137">
        <v>36.200000000000003</v>
      </c>
      <c r="F137" s="47">
        <v>0.95</v>
      </c>
      <c r="G137">
        <v>25</v>
      </c>
      <c r="H137">
        <v>100</v>
      </c>
      <c r="I137">
        <v>16872</v>
      </c>
      <c r="K137" t="s">
        <v>5056</v>
      </c>
      <c r="L137" t="s">
        <v>5057</v>
      </c>
      <c r="M137" t="s">
        <v>6964</v>
      </c>
      <c r="N137">
        <v>32.200000000000003</v>
      </c>
      <c r="O137">
        <v>32.200000000000003</v>
      </c>
      <c r="P137" s="47">
        <v>0.91</v>
      </c>
      <c r="Q137">
        <v>384</v>
      </c>
      <c r="R137">
        <v>95</v>
      </c>
      <c r="S137">
        <v>2429</v>
      </c>
      <c r="V137" t="s">
        <v>5058</v>
      </c>
      <c r="W137" t="s">
        <v>4946</v>
      </c>
      <c r="X137" t="s">
        <v>6965</v>
      </c>
      <c r="Y137">
        <v>42.1</v>
      </c>
      <c r="Z137">
        <v>42.1</v>
      </c>
      <c r="AA137" s="47">
        <v>1</v>
      </c>
      <c r="AB137">
        <v>0.8</v>
      </c>
      <c r="AC137">
        <v>96</v>
      </c>
      <c r="AD137">
        <v>16594</v>
      </c>
    </row>
    <row r="138" spans="1:30" x14ac:dyDescent="0.2">
      <c r="A138" t="s">
        <v>5059</v>
      </c>
      <c r="B138" t="s">
        <v>2139</v>
      </c>
      <c r="C138" t="s">
        <v>6966</v>
      </c>
      <c r="D138">
        <v>36.200000000000003</v>
      </c>
      <c r="E138">
        <v>36.200000000000003</v>
      </c>
      <c r="F138" s="47">
        <v>0.95</v>
      </c>
      <c r="G138">
        <v>25</v>
      </c>
      <c r="H138">
        <v>100</v>
      </c>
      <c r="I138">
        <v>16583</v>
      </c>
      <c r="K138" t="s">
        <v>5060</v>
      </c>
      <c r="L138" t="s">
        <v>5061</v>
      </c>
      <c r="M138" t="s">
        <v>6967</v>
      </c>
      <c r="N138">
        <v>32.200000000000003</v>
      </c>
      <c r="O138">
        <v>32.200000000000003</v>
      </c>
      <c r="P138" s="47">
        <v>0.91</v>
      </c>
      <c r="Q138">
        <v>384</v>
      </c>
      <c r="R138">
        <v>95</v>
      </c>
      <c r="S138">
        <v>4093</v>
      </c>
      <c r="V138" t="s">
        <v>5062</v>
      </c>
      <c r="W138" t="s">
        <v>4646</v>
      </c>
      <c r="X138" t="s">
        <v>6968</v>
      </c>
      <c r="Y138">
        <v>42.1</v>
      </c>
      <c r="Z138">
        <v>42.1</v>
      </c>
      <c r="AA138" s="47">
        <v>1</v>
      </c>
      <c r="AB138">
        <v>0.8</v>
      </c>
      <c r="AC138">
        <v>96</v>
      </c>
      <c r="AD138">
        <v>16606</v>
      </c>
    </row>
    <row r="139" spans="1:30" x14ac:dyDescent="0.2">
      <c r="A139" t="s">
        <v>5063</v>
      </c>
      <c r="B139" t="s">
        <v>4633</v>
      </c>
      <c r="C139" t="s">
        <v>6969</v>
      </c>
      <c r="D139">
        <v>36.200000000000003</v>
      </c>
      <c r="E139">
        <v>36.200000000000003</v>
      </c>
      <c r="F139" s="47">
        <v>0.95</v>
      </c>
      <c r="G139">
        <v>25</v>
      </c>
      <c r="H139">
        <v>100</v>
      </c>
      <c r="I139">
        <v>16598</v>
      </c>
      <c r="K139" t="s">
        <v>5064</v>
      </c>
      <c r="L139" t="s">
        <v>5065</v>
      </c>
      <c r="M139" t="s">
        <v>6970</v>
      </c>
      <c r="N139">
        <v>32.200000000000003</v>
      </c>
      <c r="O139">
        <v>32.200000000000003</v>
      </c>
      <c r="P139" s="47">
        <v>0.73</v>
      </c>
      <c r="Q139">
        <v>384</v>
      </c>
      <c r="R139">
        <v>100</v>
      </c>
      <c r="S139">
        <v>5385814</v>
      </c>
      <c r="V139" t="s">
        <v>5066</v>
      </c>
      <c r="W139" t="s">
        <v>5067</v>
      </c>
      <c r="X139" t="s">
        <v>6971</v>
      </c>
      <c r="Y139">
        <v>42.1</v>
      </c>
      <c r="Z139">
        <v>42.1</v>
      </c>
      <c r="AA139" s="47">
        <v>1</v>
      </c>
      <c r="AB139">
        <v>0.8</v>
      </c>
      <c r="AC139">
        <v>96</v>
      </c>
      <c r="AD139">
        <v>16725</v>
      </c>
    </row>
    <row r="140" spans="1:30" x14ac:dyDescent="0.2">
      <c r="A140" t="s">
        <v>5068</v>
      </c>
      <c r="B140" t="s">
        <v>5069</v>
      </c>
      <c r="C140" t="s">
        <v>6972</v>
      </c>
      <c r="D140">
        <v>36.200000000000003</v>
      </c>
      <c r="E140">
        <v>36.200000000000003</v>
      </c>
      <c r="F140" s="47">
        <v>0.95</v>
      </c>
      <c r="G140">
        <v>25</v>
      </c>
      <c r="H140">
        <v>100</v>
      </c>
      <c r="I140">
        <v>16511</v>
      </c>
      <c r="K140" t="s">
        <v>5070</v>
      </c>
      <c r="L140" t="s">
        <v>5071</v>
      </c>
      <c r="M140" t="s">
        <v>6973</v>
      </c>
      <c r="N140">
        <v>32.200000000000003</v>
      </c>
      <c r="O140">
        <v>32.200000000000003</v>
      </c>
      <c r="P140" s="47">
        <v>0.73</v>
      </c>
      <c r="Q140">
        <v>384</v>
      </c>
      <c r="R140">
        <v>100</v>
      </c>
      <c r="S140">
        <v>1667383</v>
      </c>
      <c r="V140" t="s">
        <v>5072</v>
      </c>
      <c r="W140" t="s">
        <v>4646</v>
      </c>
      <c r="X140" t="s">
        <v>6974</v>
      </c>
      <c r="Y140">
        <v>42.1</v>
      </c>
      <c r="Z140">
        <v>42.1</v>
      </c>
      <c r="AA140" s="47">
        <v>1</v>
      </c>
      <c r="AB140">
        <v>0.8</v>
      </c>
      <c r="AC140">
        <v>96</v>
      </c>
      <c r="AD140">
        <v>16607</v>
      </c>
    </row>
    <row r="141" spans="1:30" x14ac:dyDescent="0.2">
      <c r="A141" t="s">
        <v>5073</v>
      </c>
      <c r="B141" t="s">
        <v>5074</v>
      </c>
      <c r="C141" t="s">
        <v>6975</v>
      </c>
      <c r="D141">
        <v>36.200000000000003</v>
      </c>
      <c r="E141">
        <v>36.200000000000003</v>
      </c>
      <c r="F141" s="47">
        <v>0.95</v>
      </c>
      <c r="G141">
        <v>25</v>
      </c>
      <c r="H141">
        <v>100</v>
      </c>
      <c r="I141">
        <v>16635</v>
      </c>
      <c r="K141" t="s">
        <v>5075</v>
      </c>
      <c r="L141" t="s">
        <v>4944</v>
      </c>
      <c r="M141" t="s">
        <v>6976</v>
      </c>
      <c r="N141">
        <v>32.200000000000003</v>
      </c>
      <c r="O141">
        <v>32.200000000000003</v>
      </c>
      <c r="P141" s="47">
        <v>0.73</v>
      </c>
      <c r="Q141">
        <v>384</v>
      </c>
      <c r="R141">
        <v>100</v>
      </c>
      <c r="S141">
        <v>28207794</v>
      </c>
      <c r="V141" t="s">
        <v>5076</v>
      </c>
      <c r="W141" t="s">
        <v>4593</v>
      </c>
      <c r="X141" t="s">
        <v>6977</v>
      </c>
      <c r="Y141">
        <v>42.1</v>
      </c>
      <c r="Z141">
        <v>42.1</v>
      </c>
      <c r="AA141" s="47">
        <v>1</v>
      </c>
      <c r="AB141">
        <v>0.8</v>
      </c>
      <c r="AC141">
        <v>96</v>
      </c>
      <c r="AD141">
        <v>1061</v>
      </c>
    </row>
    <row r="142" spans="1:30" x14ac:dyDescent="0.2">
      <c r="A142" t="s">
        <v>5077</v>
      </c>
      <c r="B142" t="s">
        <v>4711</v>
      </c>
      <c r="C142" t="s">
        <v>6978</v>
      </c>
      <c r="D142">
        <v>36.200000000000003</v>
      </c>
      <c r="E142">
        <v>36.200000000000003</v>
      </c>
      <c r="F142" s="47">
        <v>0.95</v>
      </c>
      <c r="G142">
        <v>25</v>
      </c>
      <c r="H142">
        <v>100</v>
      </c>
      <c r="I142">
        <v>16473</v>
      </c>
      <c r="K142" t="s">
        <v>5078</v>
      </c>
      <c r="L142" t="s">
        <v>5049</v>
      </c>
      <c r="M142" t="s">
        <v>6979</v>
      </c>
      <c r="N142">
        <v>32.200000000000003</v>
      </c>
      <c r="O142">
        <v>32.200000000000003</v>
      </c>
      <c r="P142" s="47">
        <v>0.91</v>
      </c>
      <c r="Q142">
        <v>384</v>
      </c>
      <c r="R142">
        <v>95</v>
      </c>
      <c r="S142">
        <v>3318</v>
      </c>
      <c r="V142" t="s">
        <v>5079</v>
      </c>
      <c r="W142" t="s">
        <v>4811</v>
      </c>
      <c r="X142" t="s">
        <v>6980</v>
      </c>
      <c r="Y142">
        <v>42.1</v>
      </c>
      <c r="Z142">
        <v>42.1</v>
      </c>
      <c r="AA142" s="47">
        <v>1</v>
      </c>
      <c r="AB142">
        <v>0.8</v>
      </c>
      <c r="AC142">
        <v>96</v>
      </c>
      <c r="AD142">
        <v>17028</v>
      </c>
    </row>
    <row r="143" spans="1:30" x14ac:dyDescent="0.2">
      <c r="A143" t="s">
        <v>5080</v>
      </c>
      <c r="B143" t="s">
        <v>5081</v>
      </c>
      <c r="C143" t="s">
        <v>6981</v>
      </c>
      <c r="D143">
        <v>36.200000000000003</v>
      </c>
      <c r="E143">
        <v>36.200000000000003</v>
      </c>
      <c r="F143" s="47">
        <v>0.95</v>
      </c>
      <c r="G143">
        <v>25</v>
      </c>
      <c r="H143">
        <v>100</v>
      </c>
      <c r="I143">
        <v>16514</v>
      </c>
      <c r="K143" t="s">
        <v>5082</v>
      </c>
      <c r="L143" t="s">
        <v>5083</v>
      </c>
      <c r="M143" t="s">
        <v>6982</v>
      </c>
      <c r="N143">
        <v>32.200000000000003</v>
      </c>
      <c r="O143">
        <v>32.200000000000003</v>
      </c>
      <c r="P143" s="47">
        <v>0.73</v>
      </c>
      <c r="Q143">
        <v>384</v>
      </c>
      <c r="R143">
        <v>100</v>
      </c>
      <c r="S143">
        <v>95795</v>
      </c>
      <c r="V143" t="s">
        <v>4793</v>
      </c>
      <c r="W143" t="s">
        <v>4646</v>
      </c>
      <c r="X143" t="s">
        <v>6983</v>
      </c>
      <c r="Y143">
        <v>42.1</v>
      </c>
      <c r="Z143">
        <v>42.1</v>
      </c>
      <c r="AA143" s="47">
        <v>1</v>
      </c>
      <c r="AB143">
        <v>0.8</v>
      </c>
      <c r="AC143">
        <v>96</v>
      </c>
      <c r="AD143">
        <v>16604</v>
      </c>
    </row>
    <row r="144" spans="1:30" x14ac:dyDescent="0.2">
      <c r="A144" t="s">
        <v>5084</v>
      </c>
      <c r="B144" t="s">
        <v>2719</v>
      </c>
      <c r="C144" t="s">
        <v>6984</v>
      </c>
      <c r="D144">
        <v>36.200000000000003</v>
      </c>
      <c r="E144">
        <v>36.200000000000003</v>
      </c>
      <c r="F144" s="47">
        <v>0.95</v>
      </c>
      <c r="G144">
        <v>25</v>
      </c>
      <c r="H144">
        <v>100</v>
      </c>
      <c r="I144">
        <v>16868</v>
      </c>
      <c r="K144" t="s">
        <v>5085</v>
      </c>
      <c r="L144" t="s">
        <v>3642</v>
      </c>
      <c r="M144" t="s">
        <v>6985</v>
      </c>
      <c r="N144">
        <v>32.200000000000003</v>
      </c>
      <c r="O144">
        <v>32.200000000000003</v>
      </c>
      <c r="P144" s="47">
        <v>0.73</v>
      </c>
      <c r="Q144">
        <v>384</v>
      </c>
      <c r="R144">
        <v>100</v>
      </c>
      <c r="S144">
        <v>9403</v>
      </c>
      <c r="V144" t="s">
        <v>5086</v>
      </c>
      <c r="W144" t="s">
        <v>5087</v>
      </c>
      <c r="X144" t="s">
        <v>6986</v>
      </c>
      <c r="Y144">
        <v>42.1</v>
      </c>
      <c r="Z144">
        <v>42.1</v>
      </c>
      <c r="AA144" s="47">
        <v>1</v>
      </c>
      <c r="AB144">
        <v>0.8</v>
      </c>
      <c r="AC144">
        <v>96</v>
      </c>
      <c r="AD144">
        <v>16606</v>
      </c>
    </row>
    <row r="145" spans="1:30" x14ac:dyDescent="0.2">
      <c r="A145" t="s">
        <v>5088</v>
      </c>
      <c r="B145" t="s">
        <v>2127</v>
      </c>
      <c r="C145" t="s">
        <v>6987</v>
      </c>
      <c r="D145">
        <v>36.200000000000003</v>
      </c>
      <c r="E145">
        <v>36.200000000000003</v>
      </c>
      <c r="F145" s="47">
        <v>0.95</v>
      </c>
      <c r="G145">
        <v>25</v>
      </c>
      <c r="H145">
        <v>100</v>
      </c>
      <c r="I145">
        <v>1638</v>
      </c>
      <c r="K145" t="s">
        <v>5089</v>
      </c>
      <c r="L145" t="s">
        <v>5090</v>
      </c>
      <c r="M145" t="s">
        <v>6988</v>
      </c>
      <c r="N145">
        <v>32.200000000000003</v>
      </c>
      <c r="O145">
        <v>32.200000000000003</v>
      </c>
      <c r="P145" s="47">
        <v>0.73</v>
      </c>
      <c r="Q145">
        <v>384</v>
      </c>
      <c r="R145">
        <v>100</v>
      </c>
      <c r="S145">
        <v>5300235</v>
      </c>
      <c r="V145" t="s">
        <v>5091</v>
      </c>
      <c r="W145" t="s">
        <v>4946</v>
      </c>
      <c r="X145" t="s">
        <v>6989</v>
      </c>
      <c r="Y145">
        <v>42.1</v>
      </c>
      <c r="Z145">
        <v>42.1</v>
      </c>
      <c r="AA145" s="47">
        <v>1</v>
      </c>
      <c r="AB145">
        <v>0.8</v>
      </c>
      <c r="AC145">
        <v>96</v>
      </c>
      <c r="AD145">
        <v>16758</v>
      </c>
    </row>
    <row r="146" spans="1:30" x14ac:dyDescent="0.2">
      <c r="A146" t="s">
        <v>5092</v>
      </c>
      <c r="B146" t="s">
        <v>1948</v>
      </c>
      <c r="C146" t="s">
        <v>6990</v>
      </c>
      <c r="D146">
        <v>36.200000000000003</v>
      </c>
      <c r="E146">
        <v>36.200000000000003</v>
      </c>
      <c r="F146" s="47">
        <v>0.95</v>
      </c>
      <c r="G146">
        <v>25</v>
      </c>
      <c r="H146">
        <v>100</v>
      </c>
      <c r="I146">
        <v>16552</v>
      </c>
      <c r="K146" t="s">
        <v>5093</v>
      </c>
      <c r="L146" t="s">
        <v>5065</v>
      </c>
      <c r="M146" t="s">
        <v>6991</v>
      </c>
      <c r="N146">
        <v>32.200000000000003</v>
      </c>
      <c r="O146">
        <v>32.200000000000003</v>
      </c>
      <c r="P146" s="47">
        <v>0.73</v>
      </c>
      <c r="Q146">
        <v>384</v>
      </c>
      <c r="R146">
        <v>100</v>
      </c>
      <c r="S146">
        <v>5187831</v>
      </c>
      <c r="V146" t="s">
        <v>5094</v>
      </c>
      <c r="W146" t="s">
        <v>4640</v>
      </c>
      <c r="X146" t="s">
        <v>6992</v>
      </c>
      <c r="Y146">
        <v>42.1</v>
      </c>
      <c r="Z146">
        <v>42.1</v>
      </c>
      <c r="AA146" s="47">
        <v>1</v>
      </c>
      <c r="AB146">
        <v>0.8</v>
      </c>
      <c r="AC146">
        <v>96</v>
      </c>
      <c r="AD146">
        <v>16608</v>
      </c>
    </row>
    <row r="147" spans="1:30" x14ac:dyDescent="0.2">
      <c r="A147" t="s">
        <v>5095</v>
      </c>
      <c r="B147" t="s">
        <v>5096</v>
      </c>
      <c r="C147" t="s">
        <v>6993</v>
      </c>
      <c r="D147">
        <v>36.200000000000003</v>
      </c>
      <c r="E147">
        <v>36.200000000000003</v>
      </c>
      <c r="F147" s="47">
        <v>0.95</v>
      </c>
      <c r="G147">
        <v>25</v>
      </c>
      <c r="H147">
        <v>100</v>
      </c>
      <c r="I147">
        <v>17212</v>
      </c>
      <c r="K147" t="s">
        <v>5097</v>
      </c>
      <c r="L147" t="s">
        <v>5057</v>
      </c>
      <c r="M147" t="s">
        <v>6994</v>
      </c>
      <c r="N147">
        <v>32.200000000000003</v>
      </c>
      <c r="O147">
        <v>32.200000000000003</v>
      </c>
      <c r="P147" s="47">
        <v>0.91</v>
      </c>
      <c r="Q147">
        <v>384</v>
      </c>
      <c r="R147">
        <v>95</v>
      </c>
      <c r="S147">
        <v>2400</v>
      </c>
      <c r="V147" t="s">
        <v>5098</v>
      </c>
      <c r="W147" t="s">
        <v>4904</v>
      </c>
      <c r="X147" t="s">
        <v>6995</v>
      </c>
      <c r="Y147">
        <v>42.1</v>
      </c>
      <c r="Z147">
        <v>42.1</v>
      </c>
      <c r="AA147" s="47">
        <v>1</v>
      </c>
      <c r="AB147">
        <v>0.8</v>
      </c>
      <c r="AC147">
        <v>96</v>
      </c>
      <c r="AD147">
        <v>16606</v>
      </c>
    </row>
    <row r="148" spans="1:30" x14ac:dyDescent="0.2">
      <c r="A148" t="s">
        <v>5099</v>
      </c>
      <c r="B148" t="s">
        <v>5100</v>
      </c>
      <c r="C148" t="s">
        <v>6996</v>
      </c>
      <c r="D148">
        <v>36.200000000000003</v>
      </c>
      <c r="E148">
        <v>36.200000000000003</v>
      </c>
      <c r="F148" s="47">
        <v>0.95</v>
      </c>
      <c r="G148">
        <v>25</v>
      </c>
      <c r="H148">
        <v>100</v>
      </c>
      <c r="I148">
        <v>16502</v>
      </c>
      <c r="K148" t="s">
        <v>5101</v>
      </c>
      <c r="L148" t="s">
        <v>5101</v>
      </c>
      <c r="M148" t="s">
        <v>6997</v>
      </c>
      <c r="N148">
        <v>32.200000000000003</v>
      </c>
      <c r="O148">
        <v>32.200000000000003</v>
      </c>
      <c r="P148" s="47">
        <v>0.73</v>
      </c>
      <c r="Q148">
        <v>384</v>
      </c>
      <c r="R148">
        <v>100</v>
      </c>
      <c r="S148">
        <v>40167</v>
      </c>
      <c r="V148" t="s">
        <v>5102</v>
      </c>
      <c r="W148" t="s">
        <v>4646</v>
      </c>
      <c r="X148" t="s">
        <v>6998</v>
      </c>
      <c r="Y148">
        <v>42.1</v>
      </c>
      <c r="Z148">
        <v>42.1</v>
      </c>
      <c r="AA148" s="47">
        <v>1</v>
      </c>
      <c r="AB148">
        <v>0.8</v>
      </c>
      <c r="AC148">
        <v>96</v>
      </c>
      <c r="AD148">
        <v>16606</v>
      </c>
    </row>
    <row r="149" spans="1:30" x14ac:dyDescent="0.2">
      <c r="A149" t="s">
        <v>5103</v>
      </c>
      <c r="B149" t="s">
        <v>5104</v>
      </c>
      <c r="C149" t="s">
        <v>6999</v>
      </c>
      <c r="D149">
        <v>36.200000000000003</v>
      </c>
      <c r="E149">
        <v>36.200000000000003</v>
      </c>
      <c r="F149" s="47">
        <v>0.95</v>
      </c>
      <c r="G149">
        <v>25</v>
      </c>
      <c r="H149">
        <v>100</v>
      </c>
      <c r="I149">
        <v>16607</v>
      </c>
      <c r="K149" t="s">
        <v>5105</v>
      </c>
      <c r="L149" t="s">
        <v>5106</v>
      </c>
      <c r="M149" t="s">
        <v>7000</v>
      </c>
      <c r="N149">
        <v>32.200000000000003</v>
      </c>
      <c r="O149">
        <v>32.200000000000003</v>
      </c>
      <c r="P149" s="47">
        <v>0.73</v>
      </c>
      <c r="Q149">
        <v>384</v>
      </c>
      <c r="R149">
        <v>100</v>
      </c>
      <c r="S149">
        <v>5277274</v>
      </c>
      <c r="V149" t="s">
        <v>5107</v>
      </c>
      <c r="W149" t="s">
        <v>4597</v>
      </c>
      <c r="X149" t="s">
        <v>7001</v>
      </c>
      <c r="Y149">
        <v>42.1</v>
      </c>
      <c r="Z149">
        <v>42.1</v>
      </c>
      <c r="AA149" s="47">
        <v>1</v>
      </c>
      <c r="AB149">
        <v>0.8</v>
      </c>
      <c r="AC149">
        <v>96</v>
      </c>
      <c r="AD149">
        <v>1812</v>
      </c>
    </row>
    <row r="150" spans="1:30" x14ac:dyDescent="0.2">
      <c r="A150" t="s">
        <v>5108</v>
      </c>
      <c r="B150" t="s">
        <v>2459</v>
      </c>
      <c r="C150" t="s">
        <v>7002</v>
      </c>
      <c r="D150">
        <v>36.200000000000003</v>
      </c>
      <c r="E150">
        <v>36.200000000000003</v>
      </c>
      <c r="F150" s="47">
        <v>0.95</v>
      </c>
      <c r="G150">
        <v>25</v>
      </c>
      <c r="H150">
        <v>100</v>
      </c>
      <c r="I150">
        <v>16498</v>
      </c>
      <c r="K150" t="s">
        <v>5109</v>
      </c>
      <c r="L150" t="s">
        <v>5110</v>
      </c>
      <c r="M150" t="s">
        <v>7003</v>
      </c>
      <c r="N150">
        <v>32.200000000000003</v>
      </c>
      <c r="O150">
        <v>32.200000000000003</v>
      </c>
      <c r="P150" s="47">
        <v>0.73</v>
      </c>
      <c r="Q150">
        <v>384</v>
      </c>
      <c r="R150">
        <v>100</v>
      </c>
      <c r="S150">
        <v>2389</v>
      </c>
      <c r="V150" t="s">
        <v>5111</v>
      </c>
      <c r="W150" t="s">
        <v>5112</v>
      </c>
      <c r="X150" t="s">
        <v>7004</v>
      </c>
      <c r="Y150">
        <v>42.1</v>
      </c>
      <c r="Z150">
        <v>42.1</v>
      </c>
      <c r="AA150" s="47">
        <v>1</v>
      </c>
      <c r="AB150">
        <v>0.8</v>
      </c>
      <c r="AC150">
        <v>96</v>
      </c>
      <c r="AD150">
        <v>16671</v>
      </c>
    </row>
    <row r="151" spans="1:30" x14ac:dyDescent="0.2">
      <c r="A151" t="s">
        <v>5113</v>
      </c>
      <c r="B151" t="s">
        <v>5114</v>
      </c>
      <c r="C151" t="s">
        <v>7005</v>
      </c>
      <c r="D151">
        <v>36.200000000000003</v>
      </c>
      <c r="E151">
        <v>36.200000000000003</v>
      </c>
      <c r="F151" s="47">
        <v>0.95</v>
      </c>
      <c r="G151">
        <v>25</v>
      </c>
      <c r="H151">
        <v>100</v>
      </c>
      <c r="I151">
        <v>16516</v>
      </c>
      <c r="K151" t="s">
        <v>5115</v>
      </c>
      <c r="L151" t="s">
        <v>4944</v>
      </c>
      <c r="M151" t="s">
        <v>7006</v>
      </c>
      <c r="N151">
        <v>32.200000000000003</v>
      </c>
      <c r="O151">
        <v>32.200000000000003</v>
      </c>
      <c r="P151" s="47">
        <v>0.73</v>
      </c>
      <c r="Q151">
        <v>384</v>
      </c>
      <c r="R151">
        <v>100</v>
      </c>
      <c r="S151">
        <v>29082165</v>
      </c>
      <c r="V151" t="s">
        <v>5116</v>
      </c>
      <c r="W151" t="s">
        <v>4597</v>
      </c>
      <c r="X151" t="s">
        <v>7007</v>
      </c>
      <c r="Y151">
        <v>42.1</v>
      </c>
      <c r="Z151">
        <v>42.1</v>
      </c>
      <c r="AA151" s="47">
        <v>1</v>
      </c>
      <c r="AB151">
        <v>0.8</v>
      </c>
      <c r="AC151">
        <v>96</v>
      </c>
      <c r="AD151">
        <v>1812</v>
      </c>
    </row>
    <row r="152" spans="1:30" x14ac:dyDescent="0.2">
      <c r="A152" t="s">
        <v>5117</v>
      </c>
      <c r="B152" t="s">
        <v>5118</v>
      </c>
      <c r="C152" t="s">
        <v>7008</v>
      </c>
      <c r="D152">
        <v>36.200000000000003</v>
      </c>
      <c r="E152">
        <v>36.200000000000003</v>
      </c>
      <c r="F152" s="47">
        <v>0.95</v>
      </c>
      <c r="G152">
        <v>25</v>
      </c>
      <c r="H152">
        <v>100</v>
      </c>
      <c r="I152">
        <v>16522</v>
      </c>
      <c r="K152" t="s">
        <v>5119</v>
      </c>
      <c r="L152" t="s">
        <v>5120</v>
      </c>
      <c r="M152" t="s">
        <v>7009</v>
      </c>
      <c r="N152">
        <v>32.200000000000003</v>
      </c>
      <c r="O152">
        <v>32.200000000000003</v>
      </c>
      <c r="P152" s="47">
        <v>0.91</v>
      </c>
      <c r="Q152">
        <v>384</v>
      </c>
      <c r="R152">
        <v>95</v>
      </c>
      <c r="S152">
        <v>5120</v>
      </c>
      <c r="V152" t="s">
        <v>5121</v>
      </c>
      <c r="W152" t="s">
        <v>5122</v>
      </c>
      <c r="X152" t="s">
        <v>7010</v>
      </c>
      <c r="Y152">
        <v>42.1</v>
      </c>
      <c r="Z152">
        <v>42.1</v>
      </c>
      <c r="AA152" s="47">
        <v>1</v>
      </c>
      <c r="AB152">
        <v>0.8</v>
      </c>
      <c r="AC152">
        <v>96</v>
      </c>
      <c r="AD152">
        <v>16764</v>
      </c>
    </row>
    <row r="153" spans="1:30" x14ac:dyDescent="0.2">
      <c r="A153" t="s">
        <v>5123</v>
      </c>
      <c r="B153" t="s">
        <v>3386</v>
      </c>
      <c r="C153" t="s">
        <v>7011</v>
      </c>
      <c r="D153">
        <v>36.200000000000003</v>
      </c>
      <c r="E153">
        <v>36.200000000000003</v>
      </c>
      <c r="F153" s="47">
        <v>0.95</v>
      </c>
      <c r="G153">
        <v>25</v>
      </c>
      <c r="H153">
        <v>100</v>
      </c>
      <c r="I153">
        <v>16709</v>
      </c>
      <c r="K153" t="s">
        <v>5124</v>
      </c>
      <c r="L153" t="s">
        <v>5125</v>
      </c>
      <c r="M153" t="s">
        <v>7012</v>
      </c>
      <c r="N153">
        <v>32.200000000000003</v>
      </c>
      <c r="O153">
        <v>32.200000000000003</v>
      </c>
      <c r="P153" s="47">
        <v>0.73</v>
      </c>
      <c r="Q153">
        <v>384</v>
      </c>
      <c r="R153">
        <v>100</v>
      </c>
      <c r="S153">
        <v>7225339</v>
      </c>
      <c r="V153" t="s">
        <v>4793</v>
      </c>
      <c r="W153" t="s">
        <v>4646</v>
      </c>
      <c r="X153" t="s">
        <v>7013</v>
      </c>
      <c r="Y153">
        <v>42.1</v>
      </c>
      <c r="Z153">
        <v>42.1</v>
      </c>
      <c r="AA153" s="47">
        <v>1</v>
      </c>
      <c r="AB153">
        <v>0.8</v>
      </c>
      <c r="AC153">
        <v>96</v>
      </c>
      <c r="AD153">
        <v>16604</v>
      </c>
    </row>
    <row r="154" spans="1:30" x14ac:dyDescent="0.2">
      <c r="A154" t="s">
        <v>5126</v>
      </c>
      <c r="B154" t="s">
        <v>5127</v>
      </c>
      <c r="C154" t="s">
        <v>7014</v>
      </c>
      <c r="D154">
        <v>36.200000000000003</v>
      </c>
      <c r="E154">
        <v>36.200000000000003</v>
      </c>
      <c r="F154" s="47">
        <v>0.95</v>
      </c>
      <c r="G154">
        <v>25</v>
      </c>
      <c r="H154">
        <v>100</v>
      </c>
      <c r="I154">
        <v>16506</v>
      </c>
      <c r="K154" t="s">
        <v>5128</v>
      </c>
      <c r="L154" t="s">
        <v>3597</v>
      </c>
      <c r="M154" t="s">
        <v>7015</v>
      </c>
      <c r="N154">
        <v>32.200000000000003</v>
      </c>
      <c r="O154">
        <v>32.200000000000003</v>
      </c>
      <c r="P154" s="47">
        <v>0.73</v>
      </c>
      <c r="Q154">
        <v>384</v>
      </c>
      <c r="R154">
        <v>100</v>
      </c>
      <c r="S154">
        <v>666</v>
      </c>
      <c r="V154" t="s">
        <v>5129</v>
      </c>
      <c r="W154" t="s">
        <v>5112</v>
      </c>
      <c r="X154" t="s">
        <v>7016</v>
      </c>
      <c r="Y154">
        <v>42.1</v>
      </c>
      <c r="Z154">
        <v>42.1</v>
      </c>
      <c r="AA154" s="47">
        <v>1</v>
      </c>
      <c r="AB154">
        <v>0.8</v>
      </c>
      <c r="AC154">
        <v>96</v>
      </c>
      <c r="AD154">
        <v>16671</v>
      </c>
    </row>
    <row r="155" spans="1:30" x14ac:dyDescent="0.2">
      <c r="A155" t="s">
        <v>5130</v>
      </c>
      <c r="B155" t="s">
        <v>5131</v>
      </c>
      <c r="C155" t="s">
        <v>7017</v>
      </c>
      <c r="D155">
        <v>36.200000000000003</v>
      </c>
      <c r="E155">
        <v>36.200000000000003</v>
      </c>
      <c r="F155" s="47">
        <v>0.95</v>
      </c>
      <c r="G155">
        <v>25</v>
      </c>
      <c r="H155">
        <v>100</v>
      </c>
      <c r="I155">
        <v>16545</v>
      </c>
      <c r="K155" t="s">
        <v>5132</v>
      </c>
      <c r="L155" t="s">
        <v>5065</v>
      </c>
      <c r="M155" t="s">
        <v>7018</v>
      </c>
      <c r="N155">
        <v>32.200000000000003</v>
      </c>
      <c r="O155">
        <v>32.200000000000003</v>
      </c>
      <c r="P155" s="47">
        <v>0.73</v>
      </c>
      <c r="Q155">
        <v>384</v>
      </c>
      <c r="R155">
        <v>100</v>
      </c>
      <c r="S155">
        <v>5188967</v>
      </c>
      <c r="V155" t="s">
        <v>5133</v>
      </c>
      <c r="W155" t="s">
        <v>4597</v>
      </c>
      <c r="X155" t="s">
        <v>7019</v>
      </c>
      <c r="Y155">
        <v>42.1</v>
      </c>
      <c r="Z155">
        <v>42.1</v>
      </c>
      <c r="AA155" s="47">
        <v>1</v>
      </c>
      <c r="AB155">
        <v>0.8</v>
      </c>
      <c r="AC155">
        <v>96</v>
      </c>
      <c r="AD155">
        <v>1812</v>
      </c>
    </row>
    <row r="156" spans="1:30" x14ac:dyDescent="0.2">
      <c r="A156" t="s">
        <v>5134</v>
      </c>
      <c r="B156" t="s">
        <v>2155</v>
      </c>
      <c r="C156" t="s">
        <v>7020</v>
      </c>
      <c r="D156">
        <v>36.200000000000003</v>
      </c>
      <c r="E156">
        <v>36.200000000000003</v>
      </c>
      <c r="F156" s="47">
        <v>0.95</v>
      </c>
      <c r="G156">
        <v>25</v>
      </c>
      <c r="H156">
        <v>100</v>
      </c>
      <c r="I156">
        <v>16583</v>
      </c>
      <c r="K156" t="s">
        <v>5135</v>
      </c>
      <c r="L156" t="s">
        <v>5136</v>
      </c>
      <c r="M156" t="s">
        <v>7021</v>
      </c>
      <c r="N156">
        <v>32.200000000000003</v>
      </c>
      <c r="O156">
        <v>32.200000000000003</v>
      </c>
      <c r="P156" s="47">
        <v>0.73</v>
      </c>
      <c r="Q156">
        <v>384</v>
      </c>
      <c r="R156">
        <v>100</v>
      </c>
      <c r="S156">
        <v>973</v>
      </c>
      <c r="V156" t="s">
        <v>5137</v>
      </c>
      <c r="W156" t="s">
        <v>290</v>
      </c>
      <c r="X156" t="s">
        <v>7022</v>
      </c>
      <c r="Y156">
        <v>42.1</v>
      </c>
      <c r="Z156">
        <v>42.1</v>
      </c>
      <c r="AA156" s="47">
        <v>1</v>
      </c>
      <c r="AB156">
        <v>0.8</v>
      </c>
      <c r="AC156">
        <v>96</v>
      </c>
      <c r="AD156">
        <v>669</v>
      </c>
    </row>
    <row r="157" spans="1:30" x14ac:dyDescent="0.2">
      <c r="A157" t="s">
        <v>5138</v>
      </c>
      <c r="B157" t="s">
        <v>5139</v>
      </c>
      <c r="C157" t="s">
        <v>7023</v>
      </c>
      <c r="D157">
        <v>36.200000000000003</v>
      </c>
      <c r="E157">
        <v>36.200000000000003</v>
      </c>
      <c r="F157" s="47">
        <v>0.95</v>
      </c>
      <c r="G157">
        <v>25</v>
      </c>
      <c r="H157">
        <v>100</v>
      </c>
      <c r="I157">
        <v>16502</v>
      </c>
      <c r="K157" t="s">
        <v>5140</v>
      </c>
      <c r="L157" t="s">
        <v>5065</v>
      </c>
      <c r="M157" t="s">
        <v>7024</v>
      </c>
      <c r="N157">
        <v>32.200000000000003</v>
      </c>
      <c r="O157">
        <v>32.200000000000003</v>
      </c>
      <c r="P157" s="47">
        <v>0.73</v>
      </c>
      <c r="Q157">
        <v>384</v>
      </c>
      <c r="R157">
        <v>100</v>
      </c>
      <c r="S157">
        <v>5433848</v>
      </c>
      <c r="V157" t="s">
        <v>5141</v>
      </c>
      <c r="W157" t="s">
        <v>4904</v>
      </c>
      <c r="X157" t="s">
        <v>7025</v>
      </c>
      <c r="Y157">
        <v>42.1</v>
      </c>
      <c r="Z157">
        <v>42.1</v>
      </c>
      <c r="AA157" s="47">
        <v>1</v>
      </c>
      <c r="AB157">
        <v>0.8</v>
      </c>
      <c r="AC157">
        <v>96</v>
      </c>
      <c r="AD157">
        <v>16688</v>
      </c>
    </row>
    <row r="158" spans="1:30" x14ac:dyDescent="0.2">
      <c r="A158" t="s">
        <v>5142</v>
      </c>
      <c r="B158" t="s">
        <v>2280</v>
      </c>
      <c r="C158" t="s">
        <v>7026</v>
      </c>
      <c r="D158">
        <v>36.200000000000003</v>
      </c>
      <c r="E158">
        <v>36.200000000000003</v>
      </c>
      <c r="F158" s="47">
        <v>0.95</v>
      </c>
      <c r="G158">
        <v>25</v>
      </c>
      <c r="H158">
        <v>100</v>
      </c>
      <c r="I158">
        <v>16530</v>
      </c>
      <c r="K158" t="s">
        <v>3588</v>
      </c>
      <c r="L158" t="s">
        <v>3589</v>
      </c>
      <c r="M158" t="s">
        <v>7027</v>
      </c>
      <c r="N158">
        <v>32.200000000000003</v>
      </c>
      <c r="O158">
        <v>64.400000000000006</v>
      </c>
      <c r="P158" s="47">
        <v>0.73</v>
      </c>
      <c r="Q158">
        <v>384</v>
      </c>
      <c r="R158">
        <v>100</v>
      </c>
      <c r="S158">
        <v>51881481</v>
      </c>
      <c r="V158" t="s">
        <v>5143</v>
      </c>
      <c r="W158" t="s">
        <v>4597</v>
      </c>
      <c r="X158" t="s">
        <v>7028</v>
      </c>
      <c r="Y158">
        <v>42.1</v>
      </c>
      <c r="Z158">
        <v>42.1</v>
      </c>
      <c r="AA158" s="47">
        <v>1</v>
      </c>
      <c r="AB158">
        <v>0.8</v>
      </c>
      <c r="AC158">
        <v>96</v>
      </c>
      <c r="AD158">
        <v>1812</v>
      </c>
    </row>
    <row r="159" spans="1:30" x14ac:dyDescent="0.2">
      <c r="A159" t="s">
        <v>5144</v>
      </c>
      <c r="B159" t="s">
        <v>2272</v>
      </c>
      <c r="C159" t="s">
        <v>7029</v>
      </c>
      <c r="D159">
        <v>36.200000000000003</v>
      </c>
      <c r="E159">
        <v>36.200000000000003</v>
      </c>
      <c r="F159" s="47">
        <v>0.95</v>
      </c>
      <c r="G159">
        <v>25</v>
      </c>
      <c r="H159">
        <v>100</v>
      </c>
      <c r="I159">
        <v>16558</v>
      </c>
      <c r="K159" t="s">
        <v>5145</v>
      </c>
      <c r="L159" t="s">
        <v>5146</v>
      </c>
      <c r="M159" t="s">
        <v>7030</v>
      </c>
      <c r="N159">
        <v>32.200000000000003</v>
      </c>
      <c r="O159">
        <v>32.200000000000003</v>
      </c>
      <c r="P159" s="47">
        <v>0.73</v>
      </c>
      <c r="Q159">
        <v>384</v>
      </c>
      <c r="R159">
        <v>100</v>
      </c>
      <c r="S159">
        <v>5373121</v>
      </c>
      <c r="V159" t="s">
        <v>5147</v>
      </c>
      <c r="W159" t="s">
        <v>5148</v>
      </c>
      <c r="X159" t="s">
        <v>7031</v>
      </c>
      <c r="Y159">
        <v>42.1</v>
      </c>
      <c r="Z159">
        <v>42.1</v>
      </c>
      <c r="AA159" s="47">
        <v>1</v>
      </c>
      <c r="AB159">
        <v>0.8</v>
      </c>
      <c r="AC159">
        <v>96</v>
      </c>
      <c r="AD159">
        <v>16605</v>
      </c>
    </row>
    <row r="160" spans="1:30" x14ac:dyDescent="0.2">
      <c r="A160" t="s">
        <v>5149</v>
      </c>
      <c r="B160" t="s">
        <v>4896</v>
      </c>
      <c r="C160" t="s">
        <v>7032</v>
      </c>
      <c r="D160">
        <v>36.200000000000003</v>
      </c>
      <c r="E160">
        <v>36.200000000000003</v>
      </c>
      <c r="F160" s="47">
        <v>0.95</v>
      </c>
      <c r="G160">
        <v>25</v>
      </c>
      <c r="H160">
        <v>100</v>
      </c>
      <c r="I160">
        <v>16486</v>
      </c>
      <c r="K160" t="s">
        <v>5150</v>
      </c>
      <c r="L160" t="s">
        <v>5151</v>
      </c>
      <c r="M160" t="s">
        <v>7033</v>
      </c>
      <c r="N160">
        <v>32.200000000000003</v>
      </c>
      <c r="O160">
        <v>32.200000000000003</v>
      </c>
      <c r="P160" s="47">
        <v>0.73</v>
      </c>
      <c r="Q160">
        <v>384</v>
      </c>
      <c r="R160">
        <v>100</v>
      </c>
      <c r="S160">
        <v>16256129</v>
      </c>
      <c r="V160" t="s">
        <v>5152</v>
      </c>
      <c r="W160" t="s">
        <v>5153</v>
      </c>
      <c r="X160" t="s">
        <v>7034</v>
      </c>
      <c r="Y160">
        <v>42.1</v>
      </c>
      <c r="Z160">
        <v>42.1</v>
      </c>
      <c r="AA160" s="47">
        <v>1</v>
      </c>
      <c r="AB160">
        <v>0.8</v>
      </c>
      <c r="AC160">
        <v>96</v>
      </c>
      <c r="AD160">
        <v>17612</v>
      </c>
    </row>
    <row r="161" spans="1:30" x14ac:dyDescent="0.2">
      <c r="A161" t="s">
        <v>5154</v>
      </c>
      <c r="B161" t="s">
        <v>4711</v>
      </c>
      <c r="C161" t="s">
        <v>7035</v>
      </c>
      <c r="D161">
        <v>36.200000000000003</v>
      </c>
      <c r="E161">
        <v>36.200000000000003</v>
      </c>
      <c r="F161" s="47">
        <v>0.95</v>
      </c>
      <c r="G161">
        <v>25</v>
      </c>
      <c r="H161">
        <v>100</v>
      </c>
      <c r="I161">
        <v>16477</v>
      </c>
      <c r="K161" t="s">
        <v>5155</v>
      </c>
      <c r="L161" t="s">
        <v>5156</v>
      </c>
      <c r="M161" t="s">
        <v>7036</v>
      </c>
      <c r="N161">
        <v>32.200000000000003</v>
      </c>
      <c r="O161">
        <v>32.200000000000003</v>
      </c>
      <c r="P161" s="47">
        <v>0.73</v>
      </c>
      <c r="Q161">
        <v>384</v>
      </c>
      <c r="R161">
        <v>100</v>
      </c>
      <c r="S161">
        <v>431</v>
      </c>
      <c r="V161" t="s">
        <v>4620</v>
      </c>
      <c r="W161" t="s">
        <v>4621</v>
      </c>
      <c r="X161" t="s">
        <v>7037</v>
      </c>
      <c r="Y161">
        <v>42.1</v>
      </c>
      <c r="Z161">
        <v>42.1</v>
      </c>
      <c r="AA161" s="47">
        <v>1</v>
      </c>
      <c r="AB161">
        <v>0.8</v>
      </c>
      <c r="AC161">
        <v>96</v>
      </c>
      <c r="AD161">
        <v>16596</v>
      </c>
    </row>
    <row r="162" spans="1:30" x14ac:dyDescent="0.2">
      <c r="A162" t="s">
        <v>5157</v>
      </c>
      <c r="B162" t="s">
        <v>4633</v>
      </c>
      <c r="C162" t="s">
        <v>7038</v>
      </c>
      <c r="D162">
        <v>36.200000000000003</v>
      </c>
      <c r="E162">
        <v>36.200000000000003</v>
      </c>
      <c r="F162" s="47">
        <v>0.95</v>
      </c>
      <c r="G162">
        <v>25</v>
      </c>
      <c r="H162">
        <v>100</v>
      </c>
      <c r="I162">
        <v>16598</v>
      </c>
      <c r="K162" t="s">
        <v>5158</v>
      </c>
      <c r="L162" t="s">
        <v>3927</v>
      </c>
      <c r="M162" t="s">
        <v>7039</v>
      </c>
      <c r="N162">
        <v>32.200000000000003</v>
      </c>
      <c r="O162">
        <v>32.200000000000003</v>
      </c>
      <c r="P162" s="47">
        <v>0.73</v>
      </c>
      <c r="Q162">
        <v>384</v>
      </c>
      <c r="R162">
        <v>100</v>
      </c>
      <c r="S162">
        <v>3265669</v>
      </c>
      <c r="V162" t="s">
        <v>5159</v>
      </c>
      <c r="W162" t="s">
        <v>4597</v>
      </c>
      <c r="X162" t="s">
        <v>7040</v>
      </c>
      <c r="Y162">
        <v>42.1</v>
      </c>
      <c r="Z162">
        <v>42.1</v>
      </c>
      <c r="AA162" s="47">
        <v>1</v>
      </c>
      <c r="AB162">
        <v>0.8</v>
      </c>
      <c r="AC162">
        <v>96</v>
      </c>
      <c r="AD162">
        <v>1812</v>
      </c>
    </row>
    <row r="163" spans="1:30" x14ac:dyDescent="0.2">
      <c r="A163" t="s">
        <v>5160</v>
      </c>
      <c r="B163" t="s">
        <v>5161</v>
      </c>
      <c r="C163" t="s">
        <v>7041</v>
      </c>
      <c r="D163">
        <v>36.200000000000003</v>
      </c>
      <c r="E163">
        <v>36.200000000000003</v>
      </c>
      <c r="F163" s="47">
        <v>0.95</v>
      </c>
      <c r="G163">
        <v>25</v>
      </c>
      <c r="H163">
        <v>100</v>
      </c>
      <c r="I163">
        <v>17413</v>
      </c>
      <c r="K163" t="s">
        <v>5162</v>
      </c>
      <c r="L163" t="s">
        <v>5163</v>
      </c>
      <c r="M163" t="s">
        <v>7042</v>
      </c>
      <c r="N163">
        <v>32.200000000000003</v>
      </c>
      <c r="O163">
        <v>32.200000000000003</v>
      </c>
      <c r="P163" s="47">
        <v>0.73</v>
      </c>
      <c r="Q163">
        <v>384</v>
      </c>
      <c r="R163">
        <v>100</v>
      </c>
      <c r="S163">
        <v>1435</v>
      </c>
      <c r="V163" t="s">
        <v>5164</v>
      </c>
      <c r="W163" t="s">
        <v>4593</v>
      </c>
      <c r="X163" t="s">
        <v>7043</v>
      </c>
      <c r="Y163">
        <v>42.1</v>
      </c>
      <c r="Z163">
        <v>42.1</v>
      </c>
      <c r="AA163" s="47">
        <v>1</v>
      </c>
      <c r="AB163">
        <v>0.8</v>
      </c>
      <c r="AC163">
        <v>96</v>
      </c>
      <c r="AD163">
        <v>1061</v>
      </c>
    </row>
    <row r="164" spans="1:30" x14ac:dyDescent="0.2">
      <c r="A164" t="s">
        <v>5165</v>
      </c>
      <c r="B164" t="s">
        <v>4711</v>
      </c>
      <c r="C164" t="s">
        <v>7044</v>
      </c>
      <c r="D164">
        <v>36.200000000000003</v>
      </c>
      <c r="E164">
        <v>36.200000000000003</v>
      </c>
      <c r="F164" s="47">
        <v>0.95</v>
      </c>
      <c r="G164">
        <v>25</v>
      </c>
      <c r="H164">
        <v>100</v>
      </c>
      <c r="I164">
        <v>16477</v>
      </c>
      <c r="K164" t="s">
        <v>5166</v>
      </c>
      <c r="L164" t="s">
        <v>5167</v>
      </c>
      <c r="M164" t="s">
        <v>7045</v>
      </c>
      <c r="N164">
        <v>32.200000000000003</v>
      </c>
      <c r="O164">
        <v>32.200000000000003</v>
      </c>
      <c r="P164" s="47">
        <v>0.73</v>
      </c>
      <c r="Q164">
        <v>384</v>
      </c>
      <c r="R164">
        <v>100</v>
      </c>
      <c r="S164">
        <v>4794036</v>
      </c>
      <c r="V164" t="s">
        <v>5168</v>
      </c>
      <c r="W164" t="s">
        <v>5169</v>
      </c>
      <c r="X164" t="s">
        <v>7046</v>
      </c>
      <c r="Y164">
        <v>42.1</v>
      </c>
      <c r="Z164">
        <v>42.1</v>
      </c>
      <c r="AA164" s="47">
        <v>1</v>
      </c>
      <c r="AB164">
        <v>0.8</v>
      </c>
      <c r="AC164">
        <v>96</v>
      </c>
      <c r="AD164">
        <v>14916</v>
      </c>
    </row>
    <row r="165" spans="1:30" x14ac:dyDescent="0.2">
      <c r="A165" t="s">
        <v>5170</v>
      </c>
      <c r="B165" t="s">
        <v>5171</v>
      </c>
      <c r="C165" t="s">
        <v>7047</v>
      </c>
      <c r="D165">
        <v>36.200000000000003</v>
      </c>
      <c r="E165">
        <v>36.200000000000003</v>
      </c>
      <c r="F165" s="47">
        <v>0.95</v>
      </c>
      <c r="G165">
        <v>25</v>
      </c>
      <c r="H165">
        <v>100</v>
      </c>
      <c r="I165">
        <v>16524</v>
      </c>
      <c r="K165" t="s">
        <v>5172</v>
      </c>
      <c r="L165" t="s">
        <v>3546</v>
      </c>
      <c r="M165" t="s">
        <v>7048</v>
      </c>
      <c r="N165">
        <v>32.200000000000003</v>
      </c>
      <c r="O165">
        <v>32.200000000000003</v>
      </c>
      <c r="P165" s="47">
        <v>0.73</v>
      </c>
      <c r="Q165">
        <v>384</v>
      </c>
      <c r="R165">
        <v>100</v>
      </c>
      <c r="S165">
        <v>133636</v>
      </c>
      <c r="V165" t="s">
        <v>5173</v>
      </c>
      <c r="W165" t="s">
        <v>5174</v>
      </c>
      <c r="X165" t="s">
        <v>7049</v>
      </c>
      <c r="Y165">
        <v>42.1</v>
      </c>
      <c r="Z165">
        <v>42.1</v>
      </c>
      <c r="AA165" s="47">
        <v>1</v>
      </c>
      <c r="AB165">
        <v>0.8</v>
      </c>
      <c r="AC165">
        <v>96</v>
      </c>
      <c r="AD165">
        <v>954</v>
      </c>
    </row>
    <row r="166" spans="1:30" x14ac:dyDescent="0.2">
      <c r="A166" t="s">
        <v>5175</v>
      </c>
      <c r="B166" t="s">
        <v>4711</v>
      </c>
      <c r="C166" t="s">
        <v>7050</v>
      </c>
      <c r="D166">
        <v>36.200000000000003</v>
      </c>
      <c r="E166">
        <v>36.200000000000003</v>
      </c>
      <c r="F166" s="47">
        <v>0.95</v>
      </c>
      <c r="G166">
        <v>25</v>
      </c>
      <c r="H166">
        <v>100</v>
      </c>
      <c r="I166">
        <v>16473</v>
      </c>
      <c r="K166" t="s">
        <v>5176</v>
      </c>
      <c r="L166" t="s">
        <v>5156</v>
      </c>
      <c r="M166" t="s">
        <v>7051</v>
      </c>
      <c r="N166">
        <v>32.200000000000003</v>
      </c>
      <c r="O166">
        <v>32.200000000000003</v>
      </c>
      <c r="P166" s="47">
        <v>0.73</v>
      </c>
      <c r="Q166">
        <v>384</v>
      </c>
      <c r="R166">
        <v>100</v>
      </c>
      <c r="S166">
        <v>742</v>
      </c>
      <c r="V166" t="s">
        <v>5177</v>
      </c>
      <c r="W166" t="s">
        <v>5178</v>
      </c>
      <c r="X166" t="s">
        <v>7052</v>
      </c>
      <c r="Y166">
        <v>42.1</v>
      </c>
      <c r="Z166">
        <v>42.1</v>
      </c>
      <c r="AA166" s="47">
        <v>1</v>
      </c>
      <c r="AB166">
        <v>0.8</v>
      </c>
      <c r="AC166">
        <v>96</v>
      </c>
      <c r="AD166">
        <v>14572</v>
      </c>
    </row>
    <row r="167" spans="1:30" x14ac:dyDescent="0.2">
      <c r="A167" t="s">
        <v>5179</v>
      </c>
      <c r="B167" t="s">
        <v>2719</v>
      </c>
      <c r="C167" t="s">
        <v>7053</v>
      </c>
      <c r="D167">
        <v>36.200000000000003</v>
      </c>
      <c r="E167">
        <v>36.200000000000003</v>
      </c>
      <c r="F167" s="47">
        <v>0.95</v>
      </c>
      <c r="G167">
        <v>25</v>
      </c>
      <c r="H167">
        <v>100</v>
      </c>
      <c r="I167">
        <v>16857</v>
      </c>
      <c r="K167" t="s">
        <v>5180</v>
      </c>
      <c r="L167" t="s">
        <v>5181</v>
      </c>
      <c r="M167" t="s">
        <v>7054</v>
      </c>
      <c r="N167">
        <v>32.200000000000003</v>
      </c>
      <c r="O167">
        <v>32.200000000000003</v>
      </c>
      <c r="P167" s="47">
        <v>0.73</v>
      </c>
      <c r="Q167">
        <v>384</v>
      </c>
      <c r="R167">
        <v>100</v>
      </c>
      <c r="S167">
        <v>1828248</v>
      </c>
      <c r="V167" t="s">
        <v>5182</v>
      </c>
      <c r="W167" t="s">
        <v>5183</v>
      </c>
      <c r="X167" t="s">
        <v>7055</v>
      </c>
      <c r="Y167">
        <v>42.1</v>
      </c>
      <c r="Z167">
        <v>42.1</v>
      </c>
      <c r="AA167" s="47">
        <v>1</v>
      </c>
      <c r="AB167">
        <v>0.8</v>
      </c>
      <c r="AC167">
        <v>96</v>
      </c>
      <c r="AD167">
        <v>3433</v>
      </c>
    </row>
    <row r="168" spans="1:30" x14ac:dyDescent="0.2">
      <c r="A168" t="s">
        <v>5184</v>
      </c>
      <c r="B168" t="s">
        <v>4711</v>
      </c>
      <c r="C168" t="s">
        <v>7056</v>
      </c>
      <c r="D168">
        <v>36.200000000000003</v>
      </c>
      <c r="E168">
        <v>36.200000000000003</v>
      </c>
      <c r="F168" s="47">
        <v>0.95</v>
      </c>
      <c r="G168">
        <v>25</v>
      </c>
      <c r="H168">
        <v>100</v>
      </c>
      <c r="I168">
        <v>16477</v>
      </c>
      <c r="K168" t="s">
        <v>5185</v>
      </c>
      <c r="L168" t="s">
        <v>5186</v>
      </c>
      <c r="M168" t="s">
        <v>7057</v>
      </c>
      <c r="N168">
        <v>32.200000000000003</v>
      </c>
      <c r="O168">
        <v>32.200000000000003</v>
      </c>
      <c r="P168" s="47">
        <v>0.73</v>
      </c>
      <c r="Q168">
        <v>384</v>
      </c>
      <c r="R168">
        <v>100</v>
      </c>
      <c r="S168">
        <v>6930927</v>
      </c>
      <c r="V168" t="s">
        <v>5187</v>
      </c>
      <c r="W168" t="s">
        <v>4904</v>
      </c>
      <c r="X168" t="s">
        <v>7058</v>
      </c>
      <c r="Y168">
        <v>42.1</v>
      </c>
      <c r="Z168">
        <v>42.1</v>
      </c>
      <c r="AA168" s="47">
        <v>1</v>
      </c>
      <c r="AB168">
        <v>0.8</v>
      </c>
      <c r="AC168">
        <v>96</v>
      </c>
      <c r="AD168">
        <v>16688</v>
      </c>
    </row>
    <row r="169" spans="1:30" x14ac:dyDescent="0.2">
      <c r="A169" t="s">
        <v>5188</v>
      </c>
      <c r="B169" t="s">
        <v>4817</v>
      </c>
      <c r="C169" t="s">
        <v>6346</v>
      </c>
      <c r="D169">
        <v>36.200000000000003</v>
      </c>
      <c r="E169">
        <v>36.200000000000003</v>
      </c>
      <c r="F169" s="47">
        <v>0.95</v>
      </c>
      <c r="G169">
        <v>25</v>
      </c>
      <c r="H169">
        <v>100</v>
      </c>
      <c r="I169">
        <v>17062</v>
      </c>
      <c r="K169" t="s">
        <v>5189</v>
      </c>
      <c r="L169" t="s">
        <v>4944</v>
      </c>
      <c r="M169" t="s">
        <v>7059</v>
      </c>
      <c r="N169">
        <v>32.200000000000003</v>
      </c>
      <c r="O169">
        <v>32.200000000000003</v>
      </c>
      <c r="P169" s="47">
        <v>0.73</v>
      </c>
      <c r="Q169">
        <v>384</v>
      </c>
      <c r="R169">
        <v>100</v>
      </c>
      <c r="S169">
        <v>30789352</v>
      </c>
      <c r="V169" t="s">
        <v>5190</v>
      </c>
      <c r="W169" t="s">
        <v>4646</v>
      </c>
      <c r="X169" t="s">
        <v>7060</v>
      </c>
      <c r="Y169">
        <v>42.1</v>
      </c>
      <c r="Z169">
        <v>42.1</v>
      </c>
      <c r="AA169" s="47">
        <v>1</v>
      </c>
      <c r="AB169">
        <v>0.8</v>
      </c>
      <c r="AC169">
        <v>96</v>
      </c>
      <c r="AD169">
        <v>16604</v>
      </c>
    </row>
    <row r="170" spans="1:30" x14ac:dyDescent="0.2">
      <c r="A170" t="s">
        <v>5191</v>
      </c>
      <c r="B170" t="s">
        <v>5192</v>
      </c>
      <c r="C170" t="s">
        <v>7061</v>
      </c>
      <c r="D170">
        <v>36.200000000000003</v>
      </c>
      <c r="E170">
        <v>36.200000000000003</v>
      </c>
      <c r="F170" s="47">
        <v>0.95</v>
      </c>
      <c r="G170">
        <v>25</v>
      </c>
      <c r="H170">
        <v>100</v>
      </c>
      <c r="I170">
        <v>16757</v>
      </c>
      <c r="K170" t="s">
        <v>5193</v>
      </c>
      <c r="L170" t="s">
        <v>5194</v>
      </c>
      <c r="M170" t="s">
        <v>7062</v>
      </c>
      <c r="N170">
        <v>32.200000000000003</v>
      </c>
      <c r="O170">
        <v>32.200000000000003</v>
      </c>
      <c r="P170" s="47">
        <v>0.73</v>
      </c>
      <c r="Q170">
        <v>384</v>
      </c>
      <c r="R170">
        <v>100</v>
      </c>
      <c r="S170">
        <v>5554369</v>
      </c>
      <c r="V170" t="s">
        <v>5195</v>
      </c>
      <c r="W170" t="s">
        <v>5196</v>
      </c>
      <c r="X170" t="s">
        <v>7063</v>
      </c>
      <c r="Y170">
        <v>42.1</v>
      </c>
      <c r="Z170">
        <v>42.1</v>
      </c>
      <c r="AA170" s="47">
        <v>1</v>
      </c>
      <c r="AB170">
        <v>0.8</v>
      </c>
      <c r="AC170">
        <v>96</v>
      </c>
      <c r="AD170">
        <v>16734</v>
      </c>
    </row>
    <row r="171" spans="1:30" x14ac:dyDescent="0.2">
      <c r="A171" t="s">
        <v>5197</v>
      </c>
      <c r="B171" t="s">
        <v>4711</v>
      </c>
      <c r="C171" t="s">
        <v>7064</v>
      </c>
      <c r="D171">
        <v>36.200000000000003</v>
      </c>
      <c r="E171">
        <v>36.200000000000003</v>
      </c>
      <c r="F171" s="47">
        <v>0.95</v>
      </c>
      <c r="G171">
        <v>25</v>
      </c>
      <c r="H171">
        <v>100</v>
      </c>
      <c r="I171">
        <v>16473</v>
      </c>
      <c r="K171" t="s">
        <v>5198</v>
      </c>
      <c r="L171" t="s">
        <v>5049</v>
      </c>
      <c r="M171" t="s">
        <v>7065</v>
      </c>
      <c r="N171">
        <v>32.200000000000003</v>
      </c>
      <c r="O171">
        <v>32.200000000000003</v>
      </c>
      <c r="P171" s="47">
        <v>0.91</v>
      </c>
      <c r="Q171">
        <v>384</v>
      </c>
      <c r="R171">
        <v>95</v>
      </c>
      <c r="S171">
        <v>12388</v>
      </c>
      <c r="V171" t="s">
        <v>5199</v>
      </c>
      <c r="W171" t="s">
        <v>4597</v>
      </c>
      <c r="X171" t="s">
        <v>7066</v>
      </c>
      <c r="Y171">
        <v>42.1</v>
      </c>
      <c r="Z171">
        <v>42.1</v>
      </c>
      <c r="AA171" s="47">
        <v>1</v>
      </c>
      <c r="AB171">
        <v>0.8</v>
      </c>
      <c r="AC171">
        <v>96</v>
      </c>
      <c r="AD171">
        <v>1812</v>
      </c>
    </row>
    <row r="172" spans="1:30" x14ac:dyDescent="0.2">
      <c r="A172" t="s">
        <v>5200</v>
      </c>
      <c r="B172" t="s">
        <v>2451</v>
      </c>
      <c r="C172" t="s">
        <v>7067</v>
      </c>
      <c r="D172">
        <v>36.200000000000003</v>
      </c>
      <c r="E172">
        <v>36.200000000000003</v>
      </c>
      <c r="F172" s="47">
        <v>0.95</v>
      </c>
      <c r="G172">
        <v>25</v>
      </c>
      <c r="H172">
        <v>100</v>
      </c>
      <c r="I172">
        <v>16491</v>
      </c>
      <c r="K172" t="s">
        <v>5201</v>
      </c>
      <c r="L172" t="s">
        <v>5202</v>
      </c>
      <c r="M172" t="s">
        <v>7068</v>
      </c>
      <c r="N172">
        <v>32.200000000000003</v>
      </c>
      <c r="O172">
        <v>32.200000000000003</v>
      </c>
      <c r="P172" s="47">
        <v>0.73</v>
      </c>
      <c r="Q172">
        <v>384</v>
      </c>
      <c r="R172">
        <v>100</v>
      </c>
      <c r="S172">
        <v>2839318</v>
      </c>
      <c r="V172" t="s">
        <v>5203</v>
      </c>
      <c r="W172" t="s">
        <v>5204</v>
      </c>
      <c r="X172" t="s">
        <v>7069</v>
      </c>
      <c r="Y172">
        <v>42.1</v>
      </c>
      <c r="Z172">
        <v>42.1</v>
      </c>
      <c r="AA172" s="47">
        <v>1</v>
      </c>
      <c r="AB172">
        <v>0.8</v>
      </c>
      <c r="AC172">
        <v>96</v>
      </c>
      <c r="AD172">
        <v>16604</v>
      </c>
    </row>
    <row r="173" spans="1:30" x14ac:dyDescent="0.2">
      <c r="A173" t="s">
        <v>5205</v>
      </c>
      <c r="B173" t="s">
        <v>5206</v>
      </c>
      <c r="C173" t="s">
        <v>7070</v>
      </c>
      <c r="D173">
        <v>36.200000000000003</v>
      </c>
      <c r="E173">
        <v>36.200000000000003</v>
      </c>
      <c r="F173" s="47">
        <v>0.95</v>
      </c>
      <c r="G173">
        <v>25</v>
      </c>
      <c r="H173">
        <v>100</v>
      </c>
      <c r="I173">
        <v>16496</v>
      </c>
      <c r="K173" t="s">
        <v>5207</v>
      </c>
      <c r="L173" t="s">
        <v>5208</v>
      </c>
      <c r="M173" t="s">
        <v>7071</v>
      </c>
      <c r="N173">
        <v>32.200000000000003</v>
      </c>
      <c r="O173">
        <v>32.200000000000003</v>
      </c>
      <c r="P173" s="47">
        <v>0.73</v>
      </c>
      <c r="Q173">
        <v>384</v>
      </c>
      <c r="R173">
        <v>100</v>
      </c>
      <c r="S173">
        <v>2944106</v>
      </c>
      <c r="V173" t="s">
        <v>5046</v>
      </c>
      <c r="W173" t="s">
        <v>4904</v>
      </c>
      <c r="X173" t="s">
        <v>7072</v>
      </c>
      <c r="Y173">
        <v>42.1</v>
      </c>
      <c r="Z173">
        <v>42.1</v>
      </c>
      <c r="AA173" s="47">
        <v>1</v>
      </c>
      <c r="AB173">
        <v>0.8</v>
      </c>
      <c r="AC173">
        <v>96</v>
      </c>
      <c r="AD173">
        <v>16524</v>
      </c>
    </row>
    <row r="174" spans="1:30" x14ac:dyDescent="0.2">
      <c r="A174" t="s">
        <v>5209</v>
      </c>
      <c r="B174" t="s">
        <v>4884</v>
      </c>
      <c r="C174" t="s">
        <v>7073</v>
      </c>
      <c r="D174">
        <v>36.200000000000003</v>
      </c>
      <c r="E174">
        <v>36.200000000000003</v>
      </c>
      <c r="F174" s="47">
        <v>0.95</v>
      </c>
      <c r="G174">
        <v>25</v>
      </c>
      <c r="H174">
        <v>100</v>
      </c>
      <c r="I174">
        <v>17195</v>
      </c>
      <c r="K174" t="s">
        <v>5210</v>
      </c>
      <c r="L174" t="s">
        <v>3986</v>
      </c>
      <c r="M174" t="s">
        <v>7074</v>
      </c>
      <c r="N174">
        <v>32.200000000000003</v>
      </c>
      <c r="O174">
        <v>32.200000000000003</v>
      </c>
      <c r="P174" s="47">
        <v>0.91</v>
      </c>
      <c r="Q174">
        <v>384</v>
      </c>
      <c r="R174">
        <v>95</v>
      </c>
      <c r="S174">
        <v>2216</v>
      </c>
      <c r="V174" t="s">
        <v>4620</v>
      </c>
      <c r="W174" t="s">
        <v>4621</v>
      </c>
      <c r="X174" t="s">
        <v>7075</v>
      </c>
      <c r="Y174">
        <v>42.1</v>
      </c>
      <c r="Z174">
        <v>42.1</v>
      </c>
      <c r="AA174" s="47">
        <v>1</v>
      </c>
      <c r="AB174">
        <v>0.8</v>
      </c>
      <c r="AC174">
        <v>96</v>
      </c>
      <c r="AD174">
        <v>16680</v>
      </c>
    </row>
    <row r="175" spans="1:30" x14ac:dyDescent="0.2">
      <c r="A175" t="s">
        <v>5211</v>
      </c>
      <c r="B175" t="s">
        <v>4633</v>
      </c>
      <c r="C175" t="s">
        <v>7076</v>
      </c>
      <c r="D175">
        <v>36.200000000000003</v>
      </c>
      <c r="E175">
        <v>36.200000000000003</v>
      </c>
      <c r="F175" s="47">
        <v>0.95</v>
      </c>
      <c r="G175">
        <v>25</v>
      </c>
      <c r="H175">
        <v>100</v>
      </c>
      <c r="I175">
        <v>16598</v>
      </c>
      <c r="K175" t="s">
        <v>5212</v>
      </c>
      <c r="L175" t="s">
        <v>5213</v>
      </c>
      <c r="M175" t="s">
        <v>7077</v>
      </c>
      <c r="N175">
        <v>32.200000000000003</v>
      </c>
      <c r="O175">
        <v>32.200000000000003</v>
      </c>
      <c r="P175" s="47">
        <v>0.73</v>
      </c>
      <c r="Q175">
        <v>384</v>
      </c>
      <c r="R175">
        <v>100</v>
      </c>
      <c r="S175">
        <v>4833177</v>
      </c>
      <c r="V175" t="s">
        <v>4620</v>
      </c>
      <c r="W175" t="s">
        <v>4621</v>
      </c>
      <c r="X175" t="s">
        <v>7078</v>
      </c>
      <c r="Y175">
        <v>42.1</v>
      </c>
      <c r="Z175">
        <v>42.1</v>
      </c>
      <c r="AA175" s="47">
        <v>1</v>
      </c>
      <c r="AB175">
        <v>0.8</v>
      </c>
      <c r="AC175">
        <v>96</v>
      </c>
      <c r="AD175">
        <v>16680</v>
      </c>
    </row>
    <row r="176" spans="1:30" x14ac:dyDescent="0.2">
      <c r="A176" t="s">
        <v>5214</v>
      </c>
      <c r="B176" t="s">
        <v>5215</v>
      </c>
      <c r="C176" t="s">
        <v>7079</v>
      </c>
      <c r="D176">
        <v>36.200000000000003</v>
      </c>
      <c r="E176">
        <v>36.200000000000003</v>
      </c>
      <c r="F176" s="47">
        <v>0.95</v>
      </c>
      <c r="G176">
        <v>25</v>
      </c>
      <c r="H176">
        <v>100</v>
      </c>
      <c r="I176">
        <v>16569</v>
      </c>
      <c r="K176" t="s">
        <v>5216</v>
      </c>
      <c r="L176" t="s">
        <v>5217</v>
      </c>
      <c r="M176" t="s">
        <v>7080</v>
      </c>
      <c r="N176">
        <v>32.200000000000003</v>
      </c>
      <c r="O176">
        <v>32.200000000000003</v>
      </c>
      <c r="P176" s="47">
        <v>0.73</v>
      </c>
      <c r="Q176">
        <v>384</v>
      </c>
      <c r="R176">
        <v>100</v>
      </c>
      <c r="S176">
        <v>5785761</v>
      </c>
      <c r="V176" t="s">
        <v>5218</v>
      </c>
      <c r="W176" t="s">
        <v>4904</v>
      </c>
      <c r="X176" t="s">
        <v>7081</v>
      </c>
      <c r="Y176">
        <v>42.1</v>
      </c>
      <c r="Z176">
        <v>42.1</v>
      </c>
      <c r="AA176" s="47">
        <v>1</v>
      </c>
      <c r="AB176">
        <v>0.8</v>
      </c>
      <c r="AC176">
        <v>96</v>
      </c>
      <c r="AD176">
        <v>16688</v>
      </c>
    </row>
    <row r="177" spans="1:30" x14ac:dyDescent="0.2">
      <c r="A177" t="s">
        <v>5219</v>
      </c>
      <c r="B177" t="s">
        <v>2267</v>
      </c>
      <c r="C177" t="s">
        <v>7082</v>
      </c>
      <c r="D177">
        <v>36.200000000000003</v>
      </c>
      <c r="E177">
        <v>36.200000000000003</v>
      </c>
      <c r="F177" s="47">
        <v>0.95</v>
      </c>
      <c r="G177">
        <v>25</v>
      </c>
      <c r="H177">
        <v>100</v>
      </c>
      <c r="I177">
        <v>16485</v>
      </c>
      <c r="K177" t="s">
        <v>5180</v>
      </c>
      <c r="L177" t="s">
        <v>5181</v>
      </c>
      <c r="M177" t="s">
        <v>7083</v>
      </c>
      <c r="N177">
        <v>32.200000000000003</v>
      </c>
      <c r="O177">
        <v>32.200000000000003</v>
      </c>
      <c r="P177" s="47">
        <v>0.73</v>
      </c>
      <c r="Q177">
        <v>384</v>
      </c>
      <c r="R177">
        <v>100</v>
      </c>
      <c r="S177">
        <v>1828273</v>
      </c>
      <c r="V177" t="s">
        <v>5220</v>
      </c>
      <c r="W177" t="s">
        <v>4606</v>
      </c>
      <c r="X177" t="s">
        <v>7084</v>
      </c>
      <c r="Y177">
        <v>42.1</v>
      </c>
      <c r="Z177">
        <v>42.1</v>
      </c>
      <c r="AA177" s="47">
        <v>1</v>
      </c>
      <c r="AB177">
        <v>0.8</v>
      </c>
      <c r="AC177">
        <v>96</v>
      </c>
      <c r="AD177">
        <v>15582</v>
      </c>
    </row>
    <row r="178" spans="1:30" x14ac:dyDescent="0.2">
      <c r="A178" t="s">
        <v>5221</v>
      </c>
      <c r="B178" t="s">
        <v>5222</v>
      </c>
      <c r="C178" t="s">
        <v>7085</v>
      </c>
      <c r="D178">
        <v>36.200000000000003</v>
      </c>
      <c r="E178">
        <v>36.200000000000003</v>
      </c>
      <c r="F178" s="47">
        <v>0.95</v>
      </c>
      <c r="G178">
        <v>25</v>
      </c>
      <c r="H178">
        <v>100</v>
      </c>
      <c r="I178">
        <v>16504</v>
      </c>
      <c r="K178" t="s">
        <v>5223</v>
      </c>
      <c r="L178" t="s">
        <v>5065</v>
      </c>
      <c r="M178" t="s">
        <v>7086</v>
      </c>
      <c r="N178">
        <v>32.200000000000003</v>
      </c>
      <c r="O178">
        <v>32.200000000000003</v>
      </c>
      <c r="P178" s="47">
        <v>0.73</v>
      </c>
      <c r="Q178">
        <v>384</v>
      </c>
      <c r="R178">
        <v>100</v>
      </c>
      <c r="S178">
        <v>5148472</v>
      </c>
      <c r="V178" t="s">
        <v>5224</v>
      </c>
      <c r="W178" t="s">
        <v>5225</v>
      </c>
      <c r="X178" t="s">
        <v>7087</v>
      </c>
      <c r="Y178">
        <v>42.1</v>
      </c>
      <c r="Z178">
        <v>42.1</v>
      </c>
      <c r="AA178" s="47">
        <v>1</v>
      </c>
      <c r="AB178">
        <v>0.8</v>
      </c>
      <c r="AC178">
        <v>96</v>
      </c>
      <c r="AD178">
        <v>16759</v>
      </c>
    </row>
    <row r="179" spans="1:30" x14ac:dyDescent="0.2">
      <c r="A179" t="s">
        <v>5226</v>
      </c>
      <c r="B179" t="s">
        <v>2135</v>
      </c>
      <c r="C179" t="s">
        <v>7088</v>
      </c>
      <c r="D179">
        <v>36.200000000000003</v>
      </c>
      <c r="E179">
        <v>36.200000000000003</v>
      </c>
      <c r="F179" s="47">
        <v>0.95</v>
      </c>
      <c r="G179">
        <v>25</v>
      </c>
      <c r="H179">
        <v>100</v>
      </c>
      <c r="I179">
        <v>16583</v>
      </c>
      <c r="K179" t="s">
        <v>5227</v>
      </c>
      <c r="L179" t="s">
        <v>5065</v>
      </c>
      <c r="M179" t="s">
        <v>7089</v>
      </c>
      <c r="N179">
        <v>32.200000000000003</v>
      </c>
      <c r="O179">
        <v>32.200000000000003</v>
      </c>
      <c r="P179" s="47">
        <v>0.73</v>
      </c>
      <c r="Q179">
        <v>384</v>
      </c>
      <c r="R179">
        <v>100</v>
      </c>
      <c r="S179">
        <v>5451037</v>
      </c>
      <c r="V179" t="s">
        <v>5228</v>
      </c>
      <c r="W179" t="s">
        <v>4637</v>
      </c>
      <c r="X179" t="s">
        <v>7090</v>
      </c>
      <c r="Y179">
        <v>42.1</v>
      </c>
      <c r="Z179">
        <v>42.1</v>
      </c>
      <c r="AA179" s="47">
        <v>1</v>
      </c>
      <c r="AB179">
        <v>0.8</v>
      </c>
      <c r="AC179">
        <v>96</v>
      </c>
      <c r="AD179">
        <v>15661</v>
      </c>
    </row>
    <row r="180" spans="1:30" x14ac:dyDescent="0.2">
      <c r="A180" t="s">
        <v>5229</v>
      </c>
      <c r="B180" t="s">
        <v>4633</v>
      </c>
      <c r="C180" t="s">
        <v>7091</v>
      </c>
      <c r="D180">
        <v>36.200000000000003</v>
      </c>
      <c r="E180">
        <v>36.200000000000003</v>
      </c>
      <c r="F180" s="47">
        <v>0.95</v>
      </c>
      <c r="G180">
        <v>25</v>
      </c>
      <c r="H180">
        <v>100</v>
      </c>
      <c r="I180">
        <v>16598</v>
      </c>
      <c r="K180" t="s">
        <v>5230</v>
      </c>
      <c r="L180" t="s">
        <v>5231</v>
      </c>
      <c r="M180" t="s">
        <v>7092</v>
      </c>
      <c r="N180">
        <v>32.200000000000003</v>
      </c>
      <c r="O180">
        <v>32.200000000000003</v>
      </c>
      <c r="P180" s="47">
        <v>0.73</v>
      </c>
      <c r="Q180">
        <v>384</v>
      </c>
      <c r="R180">
        <v>100</v>
      </c>
      <c r="S180">
        <v>4449</v>
      </c>
      <c r="V180" t="s">
        <v>5232</v>
      </c>
      <c r="W180" t="s">
        <v>4593</v>
      </c>
      <c r="X180" t="s">
        <v>7093</v>
      </c>
      <c r="Y180">
        <v>42.1</v>
      </c>
      <c r="Z180">
        <v>42.1</v>
      </c>
      <c r="AA180" s="47">
        <v>1</v>
      </c>
      <c r="AB180">
        <v>0.8</v>
      </c>
      <c r="AC180">
        <v>96</v>
      </c>
      <c r="AD180">
        <v>1061</v>
      </c>
    </row>
    <row r="181" spans="1:30" x14ac:dyDescent="0.2">
      <c r="A181" t="s">
        <v>5233</v>
      </c>
      <c r="B181" t="s">
        <v>4711</v>
      </c>
      <c r="C181" t="s">
        <v>7094</v>
      </c>
      <c r="D181">
        <v>36.200000000000003</v>
      </c>
      <c r="E181">
        <v>36.200000000000003</v>
      </c>
      <c r="F181" s="47">
        <v>0.95</v>
      </c>
      <c r="G181">
        <v>25</v>
      </c>
      <c r="H181">
        <v>100</v>
      </c>
      <c r="I181">
        <v>16477</v>
      </c>
      <c r="K181" t="s">
        <v>5234</v>
      </c>
      <c r="L181" t="s">
        <v>5065</v>
      </c>
      <c r="M181" t="s">
        <v>7095</v>
      </c>
      <c r="N181">
        <v>32.200000000000003</v>
      </c>
      <c r="O181">
        <v>32.200000000000003</v>
      </c>
      <c r="P181" s="47">
        <v>0.73</v>
      </c>
      <c r="Q181">
        <v>384</v>
      </c>
      <c r="R181">
        <v>100</v>
      </c>
      <c r="S181">
        <v>5442406</v>
      </c>
      <c r="V181" t="s">
        <v>5235</v>
      </c>
      <c r="W181" t="s">
        <v>4646</v>
      </c>
      <c r="X181" t="s">
        <v>7096</v>
      </c>
      <c r="Y181">
        <v>42.1</v>
      </c>
      <c r="Z181">
        <v>42.1</v>
      </c>
      <c r="AA181" s="47">
        <v>1</v>
      </c>
      <c r="AB181">
        <v>0.8</v>
      </c>
      <c r="AC181">
        <v>96</v>
      </c>
      <c r="AD181">
        <v>16606</v>
      </c>
    </row>
    <row r="182" spans="1:30" x14ac:dyDescent="0.2">
      <c r="A182" t="s">
        <v>5236</v>
      </c>
      <c r="B182" t="s">
        <v>5237</v>
      </c>
      <c r="C182" t="s">
        <v>7097</v>
      </c>
      <c r="D182">
        <v>36.200000000000003</v>
      </c>
      <c r="E182">
        <v>36.200000000000003</v>
      </c>
      <c r="F182" s="47">
        <v>0.95</v>
      </c>
      <c r="G182">
        <v>25</v>
      </c>
      <c r="H182">
        <v>100</v>
      </c>
      <c r="I182">
        <v>16389</v>
      </c>
      <c r="K182" t="s">
        <v>5238</v>
      </c>
      <c r="L182" t="s">
        <v>5239</v>
      </c>
      <c r="M182" t="s">
        <v>7098</v>
      </c>
      <c r="N182">
        <v>32.200000000000003</v>
      </c>
      <c r="O182">
        <v>32.200000000000003</v>
      </c>
      <c r="P182" s="47">
        <v>0.73</v>
      </c>
      <c r="Q182">
        <v>384</v>
      </c>
      <c r="R182">
        <v>100</v>
      </c>
      <c r="S182">
        <v>1833666</v>
      </c>
      <c r="V182" t="s">
        <v>5240</v>
      </c>
      <c r="W182" t="s">
        <v>4669</v>
      </c>
      <c r="X182" t="s">
        <v>7099</v>
      </c>
      <c r="Y182">
        <v>42.1</v>
      </c>
      <c r="Z182">
        <v>42.1</v>
      </c>
      <c r="AA182" s="47">
        <v>1</v>
      </c>
      <c r="AB182">
        <v>0.8</v>
      </c>
      <c r="AC182">
        <v>96</v>
      </c>
      <c r="AD182">
        <v>16608</v>
      </c>
    </row>
    <row r="183" spans="1:30" x14ac:dyDescent="0.2">
      <c r="A183" t="s">
        <v>5241</v>
      </c>
      <c r="B183" t="s">
        <v>2719</v>
      </c>
      <c r="C183" t="s">
        <v>7100</v>
      </c>
      <c r="D183">
        <v>36.200000000000003</v>
      </c>
      <c r="E183">
        <v>36.200000000000003</v>
      </c>
      <c r="F183" s="47">
        <v>0.95</v>
      </c>
      <c r="G183">
        <v>25</v>
      </c>
      <c r="H183">
        <v>100</v>
      </c>
      <c r="I183">
        <v>16872</v>
      </c>
      <c r="K183" t="s">
        <v>5242</v>
      </c>
      <c r="L183" t="s">
        <v>3986</v>
      </c>
      <c r="M183" t="s">
        <v>7101</v>
      </c>
      <c r="N183">
        <v>32.200000000000003</v>
      </c>
      <c r="O183">
        <v>32.200000000000003</v>
      </c>
      <c r="P183" s="47">
        <v>0.91</v>
      </c>
      <c r="Q183">
        <v>384</v>
      </c>
      <c r="R183">
        <v>95</v>
      </c>
      <c r="S183">
        <v>2466</v>
      </c>
      <c r="V183" t="s">
        <v>4810</v>
      </c>
      <c r="W183" t="s">
        <v>4811</v>
      </c>
      <c r="X183" t="s">
        <v>7102</v>
      </c>
      <c r="Y183">
        <v>42.1</v>
      </c>
      <c r="Z183">
        <v>42.1</v>
      </c>
      <c r="AA183" s="47">
        <v>1</v>
      </c>
      <c r="AB183">
        <v>0.8</v>
      </c>
      <c r="AC183">
        <v>96</v>
      </c>
      <c r="AD183">
        <v>17030</v>
      </c>
    </row>
    <row r="184" spans="1:30" x14ac:dyDescent="0.2">
      <c r="A184" t="s">
        <v>4745</v>
      </c>
      <c r="B184" t="s">
        <v>1983</v>
      </c>
      <c r="C184" t="s">
        <v>6726</v>
      </c>
      <c r="D184">
        <v>36.200000000000003</v>
      </c>
      <c r="E184">
        <v>36.200000000000003</v>
      </c>
      <c r="F184" s="47">
        <v>0.95</v>
      </c>
      <c r="G184">
        <v>25</v>
      </c>
      <c r="H184">
        <v>100</v>
      </c>
      <c r="I184">
        <v>16587</v>
      </c>
      <c r="K184" t="s">
        <v>5243</v>
      </c>
      <c r="L184" t="s">
        <v>5244</v>
      </c>
      <c r="M184" t="s">
        <v>7103</v>
      </c>
      <c r="N184">
        <v>32.200000000000003</v>
      </c>
      <c r="O184">
        <v>32.200000000000003</v>
      </c>
      <c r="P184" s="47">
        <v>0.91</v>
      </c>
      <c r="Q184">
        <v>384</v>
      </c>
      <c r="R184">
        <v>95</v>
      </c>
      <c r="S184">
        <v>429</v>
      </c>
      <c r="V184" t="s">
        <v>5245</v>
      </c>
      <c r="W184" t="s">
        <v>2137</v>
      </c>
      <c r="X184" t="s">
        <v>7104</v>
      </c>
      <c r="Y184">
        <v>42.1</v>
      </c>
      <c r="Z184">
        <v>42.1</v>
      </c>
      <c r="AA184" s="47">
        <v>1</v>
      </c>
      <c r="AB184">
        <v>0.8</v>
      </c>
      <c r="AC184">
        <v>96</v>
      </c>
      <c r="AD184">
        <v>1638</v>
      </c>
    </row>
    <row r="185" spans="1:30" x14ac:dyDescent="0.2">
      <c r="A185" t="s">
        <v>5246</v>
      </c>
      <c r="B185" t="s">
        <v>4711</v>
      </c>
      <c r="C185" t="s">
        <v>7105</v>
      </c>
      <c r="D185">
        <v>36.200000000000003</v>
      </c>
      <c r="E185">
        <v>36.200000000000003</v>
      </c>
      <c r="F185" s="47">
        <v>0.95</v>
      </c>
      <c r="G185">
        <v>25</v>
      </c>
      <c r="H185">
        <v>100</v>
      </c>
      <c r="I185">
        <v>16473</v>
      </c>
      <c r="K185" t="s">
        <v>5247</v>
      </c>
      <c r="L185" t="s">
        <v>5065</v>
      </c>
      <c r="M185" t="s">
        <v>7106</v>
      </c>
      <c r="N185">
        <v>32.200000000000003</v>
      </c>
      <c r="O185">
        <v>32.200000000000003</v>
      </c>
      <c r="P185" s="47">
        <v>0.73</v>
      </c>
      <c r="Q185">
        <v>384</v>
      </c>
      <c r="R185">
        <v>100</v>
      </c>
      <c r="S185">
        <v>5217326</v>
      </c>
      <c r="V185" t="s">
        <v>5248</v>
      </c>
      <c r="W185" t="s">
        <v>5249</v>
      </c>
      <c r="X185" t="s">
        <v>7107</v>
      </c>
      <c r="Y185">
        <v>42.1</v>
      </c>
      <c r="Z185">
        <v>42.1</v>
      </c>
      <c r="AA185" s="47">
        <v>1</v>
      </c>
      <c r="AB185">
        <v>0.8</v>
      </c>
      <c r="AC185">
        <v>96</v>
      </c>
      <c r="AD185">
        <v>15632</v>
      </c>
    </row>
    <row r="186" spans="1:30" x14ac:dyDescent="0.2">
      <c r="A186" t="s">
        <v>5250</v>
      </c>
      <c r="B186" t="s">
        <v>3414</v>
      </c>
      <c r="C186" t="s">
        <v>7108</v>
      </c>
      <c r="D186">
        <v>36.200000000000003</v>
      </c>
      <c r="E186">
        <v>36.200000000000003</v>
      </c>
      <c r="F186" s="47">
        <v>0.95</v>
      </c>
      <c r="G186">
        <v>25</v>
      </c>
      <c r="H186">
        <v>100</v>
      </c>
      <c r="I186">
        <v>16506</v>
      </c>
      <c r="K186" t="s">
        <v>5251</v>
      </c>
      <c r="L186" t="s">
        <v>5252</v>
      </c>
      <c r="M186" t="s">
        <v>7109</v>
      </c>
      <c r="N186">
        <v>32.200000000000003</v>
      </c>
      <c r="O186">
        <v>32.200000000000003</v>
      </c>
      <c r="P186" s="47">
        <v>0.73</v>
      </c>
      <c r="Q186">
        <v>384</v>
      </c>
      <c r="R186">
        <v>100</v>
      </c>
      <c r="S186">
        <v>2258456</v>
      </c>
      <c r="V186" t="s">
        <v>5253</v>
      </c>
      <c r="W186" t="s">
        <v>4606</v>
      </c>
      <c r="X186" t="s">
        <v>7110</v>
      </c>
      <c r="Y186">
        <v>42.1</v>
      </c>
      <c r="Z186">
        <v>42.1</v>
      </c>
      <c r="AA186" s="47">
        <v>1</v>
      </c>
      <c r="AB186">
        <v>0.8</v>
      </c>
      <c r="AC186">
        <v>96</v>
      </c>
      <c r="AD186">
        <v>15582</v>
      </c>
    </row>
    <row r="187" spans="1:30" x14ac:dyDescent="0.2">
      <c r="A187" t="s">
        <v>5254</v>
      </c>
      <c r="B187" t="s">
        <v>2141</v>
      </c>
      <c r="C187" t="s">
        <v>7111</v>
      </c>
      <c r="D187">
        <v>36.200000000000003</v>
      </c>
      <c r="E187">
        <v>36.200000000000003</v>
      </c>
      <c r="F187" s="47">
        <v>0.95</v>
      </c>
      <c r="G187">
        <v>25</v>
      </c>
      <c r="H187">
        <v>100</v>
      </c>
      <c r="I187">
        <v>1638</v>
      </c>
      <c r="K187" t="s">
        <v>5255</v>
      </c>
      <c r="L187" t="s">
        <v>5256</v>
      </c>
      <c r="M187" t="s">
        <v>7112</v>
      </c>
      <c r="N187">
        <v>32.200000000000003</v>
      </c>
      <c r="O187">
        <v>32.200000000000003</v>
      </c>
      <c r="P187" s="47">
        <v>0.73</v>
      </c>
      <c r="Q187">
        <v>384</v>
      </c>
      <c r="R187">
        <v>100</v>
      </c>
      <c r="S187">
        <v>2434308</v>
      </c>
      <c r="V187" t="s">
        <v>5257</v>
      </c>
      <c r="W187" t="s">
        <v>5258</v>
      </c>
      <c r="X187" t="s">
        <v>7113</v>
      </c>
      <c r="Y187">
        <v>42.1</v>
      </c>
      <c r="Z187">
        <v>42.1</v>
      </c>
      <c r="AA187" s="47">
        <v>1</v>
      </c>
      <c r="AB187">
        <v>0.8</v>
      </c>
      <c r="AC187">
        <v>96</v>
      </c>
      <c r="AD187">
        <v>17575</v>
      </c>
    </row>
    <row r="188" spans="1:30" x14ac:dyDescent="0.2">
      <c r="A188" t="s">
        <v>5259</v>
      </c>
      <c r="B188" t="s">
        <v>4711</v>
      </c>
      <c r="C188" t="s">
        <v>7114</v>
      </c>
      <c r="D188">
        <v>36.200000000000003</v>
      </c>
      <c r="E188">
        <v>36.200000000000003</v>
      </c>
      <c r="F188" s="47">
        <v>0.95</v>
      </c>
      <c r="G188">
        <v>25</v>
      </c>
      <c r="H188">
        <v>100</v>
      </c>
      <c r="I188">
        <v>16473</v>
      </c>
      <c r="K188" t="s">
        <v>5260</v>
      </c>
      <c r="L188" t="s">
        <v>5053</v>
      </c>
      <c r="M188" t="s">
        <v>7115</v>
      </c>
      <c r="N188">
        <v>32.200000000000003</v>
      </c>
      <c r="O188">
        <v>32.200000000000003</v>
      </c>
      <c r="P188" s="47">
        <v>0.73</v>
      </c>
      <c r="Q188">
        <v>384</v>
      </c>
      <c r="R188">
        <v>100</v>
      </c>
      <c r="S188">
        <v>1872</v>
      </c>
      <c r="V188" t="s">
        <v>5261</v>
      </c>
      <c r="W188" t="s">
        <v>5178</v>
      </c>
      <c r="X188" t="s">
        <v>7116</v>
      </c>
      <c r="Y188">
        <v>42.1</v>
      </c>
      <c r="Z188">
        <v>42.1</v>
      </c>
      <c r="AA188" s="47">
        <v>1</v>
      </c>
      <c r="AB188">
        <v>0.8</v>
      </c>
      <c r="AC188">
        <v>96</v>
      </c>
      <c r="AD188">
        <v>16631</v>
      </c>
    </row>
    <row r="189" spans="1:30" x14ac:dyDescent="0.2">
      <c r="A189" t="s">
        <v>5262</v>
      </c>
      <c r="B189" t="s">
        <v>5263</v>
      </c>
      <c r="C189" t="s">
        <v>7117</v>
      </c>
      <c r="D189">
        <v>36.200000000000003</v>
      </c>
      <c r="E189">
        <v>36.200000000000003</v>
      </c>
      <c r="F189" s="47">
        <v>0.95</v>
      </c>
      <c r="G189">
        <v>25</v>
      </c>
      <c r="H189">
        <v>100</v>
      </c>
      <c r="I189">
        <v>16552</v>
      </c>
      <c r="K189" t="s">
        <v>5264</v>
      </c>
      <c r="L189" t="s">
        <v>5265</v>
      </c>
      <c r="M189" t="s">
        <v>7118</v>
      </c>
      <c r="N189">
        <v>32.200000000000003</v>
      </c>
      <c r="O189">
        <v>32.200000000000003</v>
      </c>
      <c r="P189" s="47">
        <v>0.73</v>
      </c>
      <c r="Q189">
        <v>384</v>
      </c>
      <c r="R189">
        <v>100</v>
      </c>
      <c r="S189">
        <v>38183</v>
      </c>
      <c r="V189" t="s">
        <v>5266</v>
      </c>
      <c r="W189" t="s">
        <v>4597</v>
      </c>
      <c r="X189" t="s">
        <v>7119</v>
      </c>
      <c r="Y189">
        <v>42.1</v>
      </c>
      <c r="Z189">
        <v>42.1</v>
      </c>
      <c r="AA189" s="47">
        <v>1</v>
      </c>
      <c r="AB189">
        <v>0.8</v>
      </c>
      <c r="AC189">
        <v>96</v>
      </c>
      <c r="AD189">
        <v>1812</v>
      </c>
    </row>
    <row r="190" spans="1:30" x14ac:dyDescent="0.2">
      <c r="A190" t="s">
        <v>5267</v>
      </c>
      <c r="B190" t="s">
        <v>5268</v>
      </c>
      <c r="C190" t="s">
        <v>7120</v>
      </c>
      <c r="D190">
        <v>36.200000000000003</v>
      </c>
      <c r="E190">
        <v>36.200000000000003</v>
      </c>
      <c r="F190" s="47">
        <v>0.95</v>
      </c>
      <c r="G190">
        <v>25</v>
      </c>
      <c r="H190">
        <v>100</v>
      </c>
      <c r="I190">
        <v>16457</v>
      </c>
      <c r="K190" t="s">
        <v>5269</v>
      </c>
      <c r="L190" t="s">
        <v>3546</v>
      </c>
      <c r="M190" t="s">
        <v>7121</v>
      </c>
      <c r="N190">
        <v>32.200000000000003</v>
      </c>
      <c r="O190">
        <v>32.200000000000003</v>
      </c>
      <c r="P190" s="47">
        <v>0.91</v>
      </c>
      <c r="Q190">
        <v>384</v>
      </c>
      <c r="R190">
        <v>95</v>
      </c>
      <c r="S190">
        <v>183858</v>
      </c>
      <c r="V190" t="s">
        <v>5270</v>
      </c>
      <c r="W190" t="s">
        <v>5271</v>
      </c>
      <c r="X190" t="s">
        <v>7122</v>
      </c>
      <c r="Y190">
        <v>42.1</v>
      </c>
      <c r="Z190">
        <v>42.1</v>
      </c>
      <c r="AA190" s="47">
        <v>1</v>
      </c>
      <c r="AB190">
        <v>0.8</v>
      </c>
      <c r="AC190">
        <v>96</v>
      </c>
      <c r="AD190">
        <v>16587</v>
      </c>
    </row>
    <row r="191" spans="1:30" x14ac:dyDescent="0.2">
      <c r="A191" t="s">
        <v>3653</v>
      </c>
      <c r="B191" t="s">
        <v>3644</v>
      </c>
      <c r="C191" t="s">
        <v>7123</v>
      </c>
      <c r="D191">
        <v>36.200000000000003</v>
      </c>
      <c r="E191">
        <v>36.200000000000003</v>
      </c>
      <c r="F191" s="47">
        <v>0.95</v>
      </c>
      <c r="G191">
        <v>25</v>
      </c>
      <c r="H191">
        <v>100</v>
      </c>
      <c r="I191">
        <v>16488</v>
      </c>
      <c r="K191" t="s">
        <v>5272</v>
      </c>
      <c r="L191" t="s">
        <v>5273</v>
      </c>
      <c r="M191" t="s">
        <v>7124</v>
      </c>
      <c r="N191">
        <v>32.200000000000003</v>
      </c>
      <c r="O191">
        <v>32.200000000000003</v>
      </c>
      <c r="P191" s="47">
        <v>0.91</v>
      </c>
      <c r="Q191">
        <v>384</v>
      </c>
      <c r="R191">
        <v>95</v>
      </c>
      <c r="S191">
        <v>4437</v>
      </c>
      <c r="V191" t="s">
        <v>5274</v>
      </c>
      <c r="W191" t="s">
        <v>4684</v>
      </c>
      <c r="X191" t="s">
        <v>7125</v>
      </c>
      <c r="Y191">
        <v>42.1</v>
      </c>
      <c r="Z191">
        <v>42.1</v>
      </c>
      <c r="AA191" s="47">
        <v>1</v>
      </c>
      <c r="AB191">
        <v>0.8</v>
      </c>
      <c r="AC191">
        <v>96</v>
      </c>
      <c r="AD191">
        <v>16598</v>
      </c>
    </row>
    <row r="192" spans="1:30" x14ac:dyDescent="0.2">
      <c r="A192" t="s">
        <v>5275</v>
      </c>
      <c r="B192" t="s">
        <v>2719</v>
      </c>
      <c r="C192" t="s">
        <v>7126</v>
      </c>
      <c r="D192">
        <v>36.200000000000003</v>
      </c>
      <c r="E192">
        <v>36.200000000000003</v>
      </c>
      <c r="F192" s="47">
        <v>0.95</v>
      </c>
      <c r="G192">
        <v>25</v>
      </c>
      <c r="H192">
        <v>100</v>
      </c>
      <c r="I192">
        <v>16868</v>
      </c>
      <c r="K192" t="s">
        <v>5276</v>
      </c>
      <c r="L192" t="s">
        <v>5277</v>
      </c>
      <c r="M192" t="s">
        <v>7127</v>
      </c>
      <c r="N192">
        <v>32.200000000000003</v>
      </c>
      <c r="O192">
        <v>32.200000000000003</v>
      </c>
      <c r="P192" s="47">
        <v>0.73</v>
      </c>
      <c r="Q192">
        <v>384</v>
      </c>
      <c r="R192">
        <v>100</v>
      </c>
      <c r="S192">
        <v>3734192</v>
      </c>
      <c r="V192" t="s">
        <v>5278</v>
      </c>
      <c r="W192" t="s">
        <v>4646</v>
      </c>
      <c r="X192" t="s">
        <v>7128</v>
      </c>
      <c r="Y192">
        <v>42.1</v>
      </c>
      <c r="Z192">
        <v>42.1</v>
      </c>
      <c r="AA192" s="47">
        <v>1</v>
      </c>
      <c r="AB192">
        <v>0.8</v>
      </c>
      <c r="AC192">
        <v>96</v>
      </c>
      <c r="AD192">
        <v>16604</v>
      </c>
    </row>
    <row r="193" spans="1:30" x14ac:dyDescent="0.2">
      <c r="A193" t="s">
        <v>5279</v>
      </c>
      <c r="B193" t="s">
        <v>5008</v>
      </c>
      <c r="C193" t="s">
        <v>7129</v>
      </c>
      <c r="D193">
        <v>36.200000000000003</v>
      </c>
      <c r="E193">
        <v>36.200000000000003</v>
      </c>
      <c r="F193" s="47">
        <v>0.95</v>
      </c>
      <c r="G193">
        <v>25</v>
      </c>
      <c r="H193">
        <v>100</v>
      </c>
      <c r="I193">
        <v>16475</v>
      </c>
      <c r="K193" t="s">
        <v>5280</v>
      </c>
      <c r="L193" t="s">
        <v>5273</v>
      </c>
      <c r="M193" t="s">
        <v>7130</v>
      </c>
      <c r="N193">
        <v>32.200000000000003</v>
      </c>
      <c r="O193">
        <v>32.200000000000003</v>
      </c>
      <c r="P193" s="47">
        <v>0.91</v>
      </c>
      <c r="Q193">
        <v>384</v>
      </c>
      <c r="R193">
        <v>95</v>
      </c>
      <c r="S193">
        <v>6229</v>
      </c>
      <c r="V193" t="s">
        <v>5281</v>
      </c>
      <c r="W193" t="s">
        <v>5282</v>
      </c>
      <c r="X193" t="s">
        <v>7131</v>
      </c>
      <c r="Y193">
        <v>42.1</v>
      </c>
      <c r="Z193">
        <v>42.1</v>
      </c>
      <c r="AA193" s="47">
        <v>1</v>
      </c>
      <c r="AB193">
        <v>0.8</v>
      </c>
      <c r="AC193">
        <v>96</v>
      </c>
      <c r="AD193">
        <v>16589</v>
      </c>
    </row>
    <row r="194" spans="1:30" x14ac:dyDescent="0.2">
      <c r="A194" t="s">
        <v>5283</v>
      </c>
      <c r="B194" t="s">
        <v>5284</v>
      </c>
      <c r="C194" t="s">
        <v>7132</v>
      </c>
      <c r="D194">
        <v>36.200000000000003</v>
      </c>
      <c r="E194">
        <v>36.200000000000003</v>
      </c>
      <c r="F194" s="47">
        <v>0.95</v>
      </c>
      <c r="G194">
        <v>25</v>
      </c>
      <c r="H194">
        <v>100</v>
      </c>
      <c r="I194">
        <v>16503</v>
      </c>
      <c r="K194" t="s">
        <v>5285</v>
      </c>
      <c r="L194" t="s">
        <v>5286</v>
      </c>
      <c r="M194" t="s">
        <v>7133</v>
      </c>
      <c r="N194">
        <v>32.200000000000003</v>
      </c>
      <c r="O194">
        <v>32.200000000000003</v>
      </c>
      <c r="P194" s="47">
        <v>0.73</v>
      </c>
      <c r="Q194">
        <v>384</v>
      </c>
      <c r="R194">
        <v>100</v>
      </c>
      <c r="S194">
        <v>220476</v>
      </c>
      <c r="V194" t="s">
        <v>4668</v>
      </c>
      <c r="W194" t="s">
        <v>4669</v>
      </c>
      <c r="X194" t="s">
        <v>7134</v>
      </c>
      <c r="Y194">
        <v>42.1</v>
      </c>
      <c r="Z194">
        <v>42.1</v>
      </c>
      <c r="AA194" s="47">
        <v>1</v>
      </c>
      <c r="AB194">
        <v>0.8</v>
      </c>
      <c r="AC194">
        <v>96</v>
      </c>
      <c r="AD194">
        <v>16606</v>
      </c>
    </row>
    <row r="195" spans="1:30" x14ac:dyDescent="0.2">
      <c r="A195" t="s">
        <v>5287</v>
      </c>
      <c r="B195" t="s">
        <v>1884</v>
      </c>
      <c r="C195" t="s">
        <v>7135</v>
      </c>
      <c r="D195">
        <v>36.200000000000003</v>
      </c>
      <c r="E195">
        <v>36.200000000000003</v>
      </c>
      <c r="F195" s="47">
        <v>0.95</v>
      </c>
      <c r="G195">
        <v>25</v>
      </c>
      <c r="H195">
        <v>100</v>
      </c>
      <c r="I195">
        <v>17101</v>
      </c>
      <c r="K195" t="s">
        <v>5288</v>
      </c>
      <c r="L195" t="s">
        <v>5289</v>
      </c>
      <c r="M195" t="s">
        <v>7136</v>
      </c>
      <c r="N195">
        <v>32.200000000000003</v>
      </c>
      <c r="O195">
        <v>32.200000000000003</v>
      </c>
      <c r="P195" s="47">
        <v>0.73</v>
      </c>
      <c r="Q195">
        <v>384</v>
      </c>
      <c r="R195">
        <v>100</v>
      </c>
      <c r="S195">
        <v>6935360</v>
      </c>
      <c r="V195" t="s">
        <v>4749</v>
      </c>
      <c r="W195" t="s">
        <v>4640</v>
      </c>
      <c r="X195" t="s">
        <v>7137</v>
      </c>
      <c r="Y195">
        <v>42.1</v>
      </c>
      <c r="Z195">
        <v>42.1</v>
      </c>
      <c r="AA195" s="47">
        <v>1</v>
      </c>
      <c r="AB195">
        <v>0.8</v>
      </c>
      <c r="AC195">
        <v>96</v>
      </c>
      <c r="AD195">
        <v>16592</v>
      </c>
    </row>
    <row r="196" spans="1:30" x14ac:dyDescent="0.2">
      <c r="A196" t="s">
        <v>5290</v>
      </c>
      <c r="B196" t="s">
        <v>2719</v>
      </c>
      <c r="C196" t="s">
        <v>7138</v>
      </c>
      <c r="D196">
        <v>36.200000000000003</v>
      </c>
      <c r="E196">
        <v>36.200000000000003</v>
      </c>
      <c r="F196" s="47">
        <v>0.95</v>
      </c>
      <c r="G196">
        <v>25</v>
      </c>
      <c r="H196">
        <v>100</v>
      </c>
      <c r="I196">
        <v>16889</v>
      </c>
      <c r="K196" t="s">
        <v>5291</v>
      </c>
      <c r="L196" t="s">
        <v>5156</v>
      </c>
      <c r="M196" t="s">
        <v>7139</v>
      </c>
      <c r="N196">
        <v>32.200000000000003</v>
      </c>
      <c r="O196">
        <v>32.200000000000003</v>
      </c>
      <c r="P196" s="47">
        <v>0.73</v>
      </c>
      <c r="Q196">
        <v>384</v>
      </c>
      <c r="R196">
        <v>100</v>
      </c>
      <c r="S196">
        <v>1431</v>
      </c>
      <c r="V196" t="s">
        <v>5292</v>
      </c>
      <c r="W196" t="s">
        <v>5293</v>
      </c>
      <c r="X196" t="s">
        <v>7140</v>
      </c>
      <c r="Y196">
        <v>42.1</v>
      </c>
      <c r="Z196">
        <v>42.1</v>
      </c>
      <c r="AA196" s="47">
        <v>1</v>
      </c>
      <c r="AB196">
        <v>0.8</v>
      </c>
      <c r="AC196">
        <v>96</v>
      </c>
      <c r="AD196">
        <v>15820</v>
      </c>
    </row>
    <row r="197" spans="1:30" x14ac:dyDescent="0.2">
      <c r="A197" t="s">
        <v>5294</v>
      </c>
      <c r="B197" t="s">
        <v>2737</v>
      </c>
      <c r="C197" t="s">
        <v>7141</v>
      </c>
      <c r="D197">
        <v>36.200000000000003</v>
      </c>
      <c r="E197">
        <v>36.200000000000003</v>
      </c>
      <c r="F197" s="47">
        <v>0.95</v>
      </c>
      <c r="G197">
        <v>25</v>
      </c>
      <c r="H197">
        <v>100</v>
      </c>
      <c r="I197">
        <v>16531</v>
      </c>
      <c r="K197" t="s">
        <v>5295</v>
      </c>
      <c r="L197" t="s">
        <v>5296</v>
      </c>
      <c r="M197" t="s">
        <v>7142</v>
      </c>
      <c r="N197">
        <v>32.200000000000003</v>
      </c>
      <c r="O197">
        <v>32.200000000000003</v>
      </c>
      <c r="P197" s="47">
        <v>0.73</v>
      </c>
      <c r="Q197">
        <v>384</v>
      </c>
      <c r="R197">
        <v>100</v>
      </c>
      <c r="S197">
        <v>1837</v>
      </c>
      <c r="V197" t="s">
        <v>5297</v>
      </c>
      <c r="W197" t="s">
        <v>5298</v>
      </c>
      <c r="X197" t="s">
        <v>7143</v>
      </c>
      <c r="Y197">
        <v>42.1</v>
      </c>
      <c r="Z197">
        <v>42.1</v>
      </c>
      <c r="AA197" s="47">
        <v>1</v>
      </c>
      <c r="AB197">
        <v>0.8</v>
      </c>
      <c r="AC197">
        <v>96</v>
      </c>
      <c r="AD197">
        <v>15715</v>
      </c>
    </row>
    <row r="198" spans="1:30" x14ac:dyDescent="0.2">
      <c r="A198" t="s">
        <v>5299</v>
      </c>
      <c r="B198" t="s">
        <v>2719</v>
      </c>
      <c r="C198" t="s">
        <v>7144</v>
      </c>
      <c r="D198">
        <v>36.200000000000003</v>
      </c>
      <c r="E198">
        <v>36.200000000000003</v>
      </c>
      <c r="F198" s="47">
        <v>0.95</v>
      </c>
      <c r="G198">
        <v>25</v>
      </c>
      <c r="H198">
        <v>100</v>
      </c>
      <c r="I198">
        <v>16882</v>
      </c>
      <c r="K198" t="s">
        <v>5300</v>
      </c>
      <c r="L198" t="s">
        <v>5301</v>
      </c>
      <c r="M198" t="s">
        <v>7145</v>
      </c>
      <c r="N198">
        <v>32.200000000000003</v>
      </c>
      <c r="O198">
        <v>32.200000000000003</v>
      </c>
      <c r="P198" s="47">
        <v>0.73</v>
      </c>
      <c r="Q198">
        <v>384</v>
      </c>
      <c r="R198">
        <v>100</v>
      </c>
      <c r="S198">
        <v>5453739</v>
      </c>
      <c r="V198" t="s">
        <v>5302</v>
      </c>
      <c r="W198" t="s">
        <v>5303</v>
      </c>
      <c r="X198" t="s">
        <v>7146</v>
      </c>
      <c r="Y198">
        <v>42.1</v>
      </c>
      <c r="Z198">
        <v>42.1</v>
      </c>
      <c r="AA198" s="47">
        <v>1</v>
      </c>
      <c r="AB198">
        <v>0.8</v>
      </c>
      <c r="AC198">
        <v>96</v>
      </c>
      <c r="AD198">
        <v>17199</v>
      </c>
    </row>
    <row r="199" spans="1:30" x14ac:dyDescent="0.2">
      <c r="A199" t="s">
        <v>4068</v>
      </c>
      <c r="B199" t="s">
        <v>2445</v>
      </c>
      <c r="C199" t="s">
        <v>6596</v>
      </c>
      <c r="D199">
        <v>36.200000000000003</v>
      </c>
      <c r="E199">
        <v>36.200000000000003</v>
      </c>
      <c r="F199" s="47">
        <v>0.95</v>
      </c>
      <c r="G199">
        <v>25</v>
      </c>
      <c r="H199">
        <v>100</v>
      </c>
      <c r="I199">
        <v>16583</v>
      </c>
      <c r="K199" t="s">
        <v>5304</v>
      </c>
      <c r="L199" t="s">
        <v>5305</v>
      </c>
      <c r="M199" t="s">
        <v>7147</v>
      </c>
      <c r="N199">
        <v>32.200000000000003</v>
      </c>
      <c r="O199">
        <v>32.200000000000003</v>
      </c>
      <c r="P199" s="47">
        <v>0.73</v>
      </c>
      <c r="Q199">
        <v>384</v>
      </c>
      <c r="R199">
        <v>100</v>
      </c>
      <c r="S199">
        <v>588</v>
      </c>
      <c r="V199" t="s">
        <v>5306</v>
      </c>
      <c r="W199" t="s">
        <v>4640</v>
      </c>
      <c r="X199" t="s">
        <v>7148</v>
      </c>
      <c r="Y199">
        <v>42.1</v>
      </c>
      <c r="Z199">
        <v>42.1</v>
      </c>
      <c r="AA199" s="47">
        <v>1</v>
      </c>
      <c r="AB199">
        <v>0.8</v>
      </c>
      <c r="AC199">
        <v>96</v>
      </c>
      <c r="AD199">
        <v>16690</v>
      </c>
    </row>
    <row r="200" spans="1:30" x14ac:dyDescent="0.2">
      <c r="A200" t="s">
        <v>5307</v>
      </c>
      <c r="B200" t="s">
        <v>2719</v>
      </c>
      <c r="C200" t="s">
        <v>7149</v>
      </c>
      <c r="D200">
        <v>36.200000000000003</v>
      </c>
      <c r="E200">
        <v>36.200000000000003</v>
      </c>
      <c r="F200" s="47">
        <v>0.95</v>
      </c>
      <c r="G200">
        <v>25</v>
      </c>
      <c r="H200">
        <v>100</v>
      </c>
      <c r="I200">
        <v>16846</v>
      </c>
      <c r="K200" t="s">
        <v>5308</v>
      </c>
      <c r="L200" t="s">
        <v>5194</v>
      </c>
      <c r="M200" t="s">
        <v>7150</v>
      </c>
      <c r="N200">
        <v>32.200000000000003</v>
      </c>
      <c r="O200">
        <v>32.200000000000003</v>
      </c>
      <c r="P200" s="47">
        <v>0.73</v>
      </c>
      <c r="Q200">
        <v>384</v>
      </c>
      <c r="R200">
        <v>100</v>
      </c>
      <c r="S200">
        <v>5625379</v>
      </c>
      <c r="V200" t="s">
        <v>5309</v>
      </c>
      <c r="W200" t="s">
        <v>5310</v>
      </c>
      <c r="X200" t="s">
        <v>7151</v>
      </c>
      <c r="Y200">
        <v>42.1</v>
      </c>
      <c r="Z200">
        <v>42.1</v>
      </c>
      <c r="AA200" s="47">
        <v>1</v>
      </c>
      <c r="AB200">
        <v>0.8</v>
      </c>
      <c r="AC200">
        <v>96</v>
      </c>
      <c r="AD200">
        <v>16615</v>
      </c>
    </row>
    <row r="201" spans="1:30" x14ac:dyDescent="0.2">
      <c r="A201" t="s">
        <v>5311</v>
      </c>
      <c r="B201" t="s">
        <v>3052</v>
      </c>
      <c r="C201" t="s">
        <v>7152</v>
      </c>
      <c r="D201">
        <v>36.200000000000003</v>
      </c>
      <c r="E201">
        <v>36.200000000000003</v>
      </c>
      <c r="F201" s="47">
        <v>0.95</v>
      </c>
      <c r="G201">
        <v>25</v>
      </c>
      <c r="H201">
        <v>100</v>
      </c>
      <c r="I201">
        <v>16520</v>
      </c>
      <c r="K201" t="s">
        <v>5312</v>
      </c>
      <c r="L201" t="s">
        <v>4098</v>
      </c>
      <c r="M201" t="s">
        <v>7153</v>
      </c>
      <c r="N201">
        <v>32.200000000000003</v>
      </c>
      <c r="O201">
        <v>32.200000000000003</v>
      </c>
      <c r="P201" s="47">
        <v>0.91</v>
      </c>
      <c r="Q201">
        <v>384</v>
      </c>
      <c r="R201">
        <v>95</v>
      </c>
      <c r="S201">
        <v>1739</v>
      </c>
      <c r="V201" t="s">
        <v>5313</v>
      </c>
      <c r="W201" t="s">
        <v>4646</v>
      </c>
      <c r="X201" t="s">
        <v>7154</v>
      </c>
      <c r="Y201">
        <v>42.1</v>
      </c>
      <c r="Z201">
        <v>42.1</v>
      </c>
      <c r="AA201" s="47">
        <v>1</v>
      </c>
      <c r="AB201">
        <v>0.8</v>
      </c>
      <c r="AC201">
        <v>96</v>
      </c>
      <c r="AD201">
        <v>16606</v>
      </c>
    </row>
    <row r="202" spans="1:30" x14ac:dyDescent="0.2">
      <c r="A202" t="s">
        <v>5314</v>
      </c>
      <c r="B202" t="s">
        <v>4711</v>
      </c>
      <c r="C202" t="s">
        <v>7155</v>
      </c>
      <c r="D202">
        <v>36.200000000000003</v>
      </c>
      <c r="E202">
        <v>36.200000000000003</v>
      </c>
      <c r="F202" s="47">
        <v>0.95</v>
      </c>
      <c r="G202">
        <v>25</v>
      </c>
      <c r="H202">
        <v>100</v>
      </c>
      <c r="I202">
        <v>16477</v>
      </c>
      <c r="K202" t="s">
        <v>5315</v>
      </c>
      <c r="L202" t="s">
        <v>5156</v>
      </c>
      <c r="M202" t="s">
        <v>7156</v>
      </c>
      <c r="N202">
        <v>32.200000000000003</v>
      </c>
      <c r="O202">
        <v>32.200000000000003</v>
      </c>
      <c r="P202" s="47">
        <v>0.73</v>
      </c>
      <c r="Q202">
        <v>384</v>
      </c>
      <c r="R202">
        <v>100</v>
      </c>
      <c r="S202">
        <v>742</v>
      </c>
      <c r="V202" t="s">
        <v>5316</v>
      </c>
      <c r="W202" t="s">
        <v>5317</v>
      </c>
      <c r="X202" t="s">
        <v>7157</v>
      </c>
      <c r="Y202">
        <v>42.1</v>
      </c>
      <c r="Z202">
        <v>42.1</v>
      </c>
      <c r="AA202" s="47">
        <v>1</v>
      </c>
      <c r="AB202">
        <v>0.8</v>
      </c>
      <c r="AC202">
        <v>96</v>
      </c>
      <c r="AD202">
        <v>16688</v>
      </c>
    </row>
    <row r="203" spans="1:30" x14ac:dyDescent="0.2">
      <c r="A203" t="s">
        <v>5318</v>
      </c>
      <c r="B203" t="s">
        <v>2464</v>
      </c>
      <c r="C203" t="s">
        <v>7158</v>
      </c>
      <c r="D203">
        <v>36.200000000000003</v>
      </c>
      <c r="E203">
        <v>36.200000000000003</v>
      </c>
      <c r="F203" s="47">
        <v>0.95</v>
      </c>
      <c r="G203">
        <v>25</v>
      </c>
      <c r="H203">
        <v>100</v>
      </c>
      <c r="I203">
        <v>16759</v>
      </c>
      <c r="K203" t="s">
        <v>5319</v>
      </c>
      <c r="L203" t="s">
        <v>5320</v>
      </c>
      <c r="M203" t="s">
        <v>7159</v>
      </c>
      <c r="N203">
        <v>32.200000000000003</v>
      </c>
      <c r="O203">
        <v>32.200000000000003</v>
      </c>
      <c r="P203" s="47">
        <v>0.73</v>
      </c>
      <c r="Q203">
        <v>384</v>
      </c>
      <c r="R203">
        <v>100</v>
      </c>
      <c r="S203">
        <v>5314057</v>
      </c>
      <c r="V203" t="s">
        <v>5321</v>
      </c>
      <c r="W203" t="s">
        <v>4646</v>
      </c>
      <c r="X203" t="s">
        <v>7160</v>
      </c>
      <c r="Y203">
        <v>42.1</v>
      </c>
      <c r="Z203">
        <v>42.1</v>
      </c>
      <c r="AA203" s="47">
        <v>1</v>
      </c>
      <c r="AB203">
        <v>0.8</v>
      </c>
      <c r="AC203">
        <v>96</v>
      </c>
      <c r="AD203">
        <v>16604</v>
      </c>
    </row>
    <row r="204" spans="1:30" x14ac:dyDescent="0.2">
      <c r="A204" t="s">
        <v>5322</v>
      </c>
      <c r="B204" t="s">
        <v>5323</v>
      </c>
      <c r="C204" t="s">
        <v>7161</v>
      </c>
      <c r="D204">
        <v>36.200000000000003</v>
      </c>
      <c r="E204">
        <v>36.200000000000003</v>
      </c>
      <c r="F204" s="47">
        <v>0.95</v>
      </c>
      <c r="G204">
        <v>25</v>
      </c>
      <c r="H204">
        <v>100</v>
      </c>
      <c r="I204">
        <v>16197</v>
      </c>
      <c r="K204" t="s">
        <v>5324</v>
      </c>
      <c r="L204" t="s">
        <v>5065</v>
      </c>
      <c r="M204" t="s">
        <v>7162</v>
      </c>
      <c r="N204">
        <v>32.200000000000003</v>
      </c>
      <c r="O204">
        <v>32.200000000000003</v>
      </c>
      <c r="P204" s="47">
        <v>0.73</v>
      </c>
      <c r="Q204">
        <v>384</v>
      </c>
      <c r="R204">
        <v>100</v>
      </c>
      <c r="S204">
        <v>5134962</v>
      </c>
      <c r="V204" t="s">
        <v>5325</v>
      </c>
      <c r="W204" t="s">
        <v>4646</v>
      </c>
      <c r="X204" t="s">
        <v>7163</v>
      </c>
      <c r="Y204">
        <v>42.1</v>
      </c>
      <c r="Z204">
        <v>42.1</v>
      </c>
      <c r="AA204" s="47">
        <v>1</v>
      </c>
      <c r="AB204">
        <v>0.8</v>
      </c>
      <c r="AC204">
        <v>96</v>
      </c>
      <c r="AD204">
        <v>16604</v>
      </c>
    </row>
    <row r="205" spans="1:30" x14ac:dyDescent="0.2">
      <c r="A205" t="s">
        <v>5326</v>
      </c>
      <c r="B205" t="s">
        <v>5171</v>
      </c>
      <c r="C205" t="s">
        <v>7164</v>
      </c>
      <c r="D205">
        <v>36.200000000000003</v>
      </c>
      <c r="E205">
        <v>36.200000000000003</v>
      </c>
      <c r="F205" s="47">
        <v>0.95</v>
      </c>
      <c r="G205">
        <v>25</v>
      </c>
      <c r="H205">
        <v>100</v>
      </c>
      <c r="I205">
        <v>16523</v>
      </c>
      <c r="K205" t="s">
        <v>5327</v>
      </c>
      <c r="L205" t="s">
        <v>5065</v>
      </c>
      <c r="M205" t="s">
        <v>7165</v>
      </c>
      <c r="N205">
        <v>32.200000000000003</v>
      </c>
      <c r="O205">
        <v>32.200000000000003</v>
      </c>
      <c r="P205" s="47">
        <v>0.73</v>
      </c>
      <c r="Q205">
        <v>384</v>
      </c>
      <c r="R205">
        <v>100</v>
      </c>
      <c r="S205">
        <v>5642752</v>
      </c>
      <c r="V205" t="s">
        <v>5328</v>
      </c>
      <c r="W205" t="s">
        <v>4640</v>
      </c>
      <c r="X205" t="s">
        <v>7166</v>
      </c>
      <c r="Y205">
        <v>42.1</v>
      </c>
      <c r="Z205">
        <v>42.1</v>
      </c>
      <c r="AA205" s="47">
        <v>1</v>
      </c>
      <c r="AB205">
        <v>0.8</v>
      </c>
      <c r="AC205">
        <v>96</v>
      </c>
      <c r="AD205">
        <v>16608</v>
      </c>
    </row>
    <row r="206" spans="1:30" x14ac:dyDescent="0.2">
      <c r="A206" t="s">
        <v>5329</v>
      </c>
      <c r="B206" t="s">
        <v>3412</v>
      </c>
      <c r="C206" t="s">
        <v>7167</v>
      </c>
      <c r="D206">
        <v>36.200000000000003</v>
      </c>
      <c r="E206">
        <v>36.200000000000003</v>
      </c>
      <c r="F206" s="47">
        <v>0.95</v>
      </c>
      <c r="G206">
        <v>25</v>
      </c>
      <c r="H206">
        <v>100</v>
      </c>
      <c r="I206">
        <v>1840</v>
      </c>
      <c r="K206" t="s">
        <v>5330</v>
      </c>
      <c r="L206" t="s">
        <v>5156</v>
      </c>
      <c r="M206" t="s">
        <v>7168</v>
      </c>
      <c r="N206">
        <v>32.200000000000003</v>
      </c>
      <c r="O206">
        <v>32.200000000000003</v>
      </c>
      <c r="P206" s="47">
        <v>0.73</v>
      </c>
      <c r="Q206">
        <v>384</v>
      </c>
      <c r="R206">
        <v>100</v>
      </c>
      <c r="S206">
        <v>742</v>
      </c>
      <c r="V206" t="s">
        <v>5331</v>
      </c>
      <c r="W206" t="s">
        <v>4646</v>
      </c>
      <c r="X206" t="s">
        <v>7169</v>
      </c>
      <c r="Y206">
        <v>42.1</v>
      </c>
      <c r="Z206">
        <v>42.1</v>
      </c>
      <c r="AA206" s="47">
        <v>1</v>
      </c>
      <c r="AB206">
        <v>0.8</v>
      </c>
      <c r="AC206">
        <v>96</v>
      </c>
      <c r="AD206">
        <v>16604</v>
      </c>
    </row>
    <row r="207" spans="1:30" x14ac:dyDescent="0.2">
      <c r="A207" t="s">
        <v>5332</v>
      </c>
      <c r="B207" t="s">
        <v>2637</v>
      </c>
      <c r="C207" t="s">
        <v>7170</v>
      </c>
      <c r="D207">
        <v>36.200000000000003</v>
      </c>
      <c r="E207">
        <v>36.200000000000003</v>
      </c>
      <c r="F207" s="47">
        <v>0.95</v>
      </c>
      <c r="G207">
        <v>25</v>
      </c>
      <c r="H207">
        <v>100</v>
      </c>
      <c r="I207">
        <v>16543</v>
      </c>
      <c r="K207" t="s">
        <v>5333</v>
      </c>
      <c r="L207" t="s">
        <v>5065</v>
      </c>
      <c r="M207" t="s">
        <v>7171</v>
      </c>
      <c r="N207">
        <v>32.200000000000003</v>
      </c>
      <c r="O207">
        <v>32.200000000000003</v>
      </c>
      <c r="P207" s="47">
        <v>0.73</v>
      </c>
      <c r="Q207">
        <v>384</v>
      </c>
      <c r="R207">
        <v>100</v>
      </c>
      <c r="S207">
        <v>5040211</v>
      </c>
      <c r="V207" t="s">
        <v>4793</v>
      </c>
      <c r="W207" t="s">
        <v>4646</v>
      </c>
      <c r="X207" t="s">
        <v>7172</v>
      </c>
      <c r="Y207">
        <v>42.1</v>
      </c>
      <c r="Z207">
        <v>42.1</v>
      </c>
      <c r="AA207" s="47">
        <v>1</v>
      </c>
      <c r="AB207">
        <v>0.8</v>
      </c>
      <c r="AC207">
        <v>96</v>
      </c>
      <c r="AD207">
        <v>16605</v>
      </c>
    </row>
    <row r="208" spans="1:30" x14ac:dyDescent="0.2">
      <c r="A208" t="s">
        <v>5334</v>
      </c>
      <c r="B208" t="s">
        <v>5335</v>
      </c>
      <c r="C208" t="s">
        <v>7173</v>
      </c>
      <c r="D208">
        <v>36.200000000000003</v>
      </c>
      <c r="E208">
        <v>36.200000000000003</v>
      </c>
      <c r="F208" s="47">
        <v>0.95</v>
      </c>
      <c r="G208">
        <v>25</v>
      </c>
      <c r="H208">
        <v>100</v>
      </c>
      <c r="I208">
        <v>16552</v>
      </c>
      <c r="K208" t="s">
        <v>5336</v>
      </c>
      <c r="L208" t="s">
        <v>5049</v>
      </c>
      <c r="M208" t="s">
        <v>7174</v>
      </c>
      <c r="N208">
        <v>32.200000000000003</v>
      </c>
      <c r="O208">
        <v>32.200000000000003</v>
      </c>
      <c r="P208" s="47">
        <v>0.91</v>
      </c>
      <c r="Q208">
        <v>384</v>
      </c>
      <c r="R208">
        <v>95</v>
      </c>
      <c r="S208">
        <v>13335</v>
      </c>
      <c r="V208" t="s">
        <v>5337</v>
      </c>
      <c r="W208" t="s">
        <v>5338</v>
      </c>
      <c r="X208" t="s">
        <v>7175</v>
      </c>
      <c r="Y208">
        <v>42.1</v>
      </c>
      <c r="Z208">
        <v>42.1</v>
      </c>
      <c r="AA208" s="47">
        <v>1</v>
      </c>
      <c r="AB208">
        <v>0.8</v>
      </c>
      <c r="AC208">
        <v>96</v>
      </c>
      <c r="AD208">
        <v>17446</v>
      </c>
    </row>
    <row r="209" spans="1:30" x14ac:dyDescent="0.2">
      <c r="A209" t="s">
        <v>5339</v>
      </c>
      <c r="B209" t="s">
        <v>4711</v>
      </c>
      <c r="C209" t="s">
        <v>7176</v>
      </c>
      <c r="D209">
        <v>36.200000000000003</v>
      </c>
      <c r="E209">
        <v>36.200000000000003</v>
      </c>
      <c r="F209" s="47">
        <v>0.95</v>
      </c>
      <c r="G209">
        <v>25</v>
      </c>
      <c r="H209">
        <v>100</v>
      </c>
      <c r="I209">
        <v>16477</v>
      </c>
      <c r="K209" t="s">
        <v>5340</v>
      </c>
      <c r="L209" t="s">
        <v>5341</v>
      </c>
      <c r="M209" t="s">
        <v>7177</v>
      </c>
      <c r="N209">
        <v>32.200000000000003</v>
      </c>
      <c r="O209">
        <v>32.200000000000003</v>
      </c>
      <c r="P209" s="47">
        <v>0.73</v>
      </c>
      <c r="Q209">
        <v>384</v>
      </c>
      <c r="R209">
        <v>100</v>
      </c>
      <c r="S209">
        <v>1254521</v>
      </c>
      <c r="V209" t="s">
        <v>4586</v>
      </c>
      <c r="W209" t="s">
        <v>4587</v>
      </c>
      <c r="X209" t="s">
        <v>7178</v>
      </c>
      <c r="Y209">
        <v>42.1</v>
      </c>
      <c r="Z209">
        <v>42.1</v>
      </c>
      <c r="AA209" s="47">
        <v>1</v>
      </c>
      <c r="AB209">
        <v>0.8</v>
      </c>
      <c r="AC209">
        <v>96</v>
      </c>
      <c r="AD209">
        <v>16836</v>
      </c>
    </row>
    <row r="210" spans="1:30" x14ac:dyDescent="0.2">
      <c r="A210" t="s">
        <v>5342</v>
      </c>
      <c r="B210" t="s">
        <v>5343</v>
      </c>
      <c r="C210" t="s">
        <v>6349</v>
      </c>
      <c r="D210">
        <v>36.200000000000003</v>
      </c>
      <c r="E210">
        <v>36.200000000000003</v>
      </c>
      <c r="F210" s="47">
        <v>0.95</v>
      </c>
      <c r="G210">
        <v>25</v>
      </c>
      <c r="H210">
        <v>100</v>
      </c>
      <c r="I210">
        <v>17046</v>
      </c>
      <c r="K210" t="s">
        <v>5344</v>
      </c>
      <c r="L210" t="s">
        <v>5345</v>
      </c>
      <c r="M210" t="s">
        <v>7179</v>
      </c>
      <c r="N210">
        <v>32.200000000000003</v>
      </c>
      <c r="O210">
        <v>32.200000000000003</v>
      </c>
      <c r="P210" s="47">
        <v>0.73</v>
      </c>
      <c r="Q210">
        <v>384</v>
      </c>
      <c r="R210">
        <v>100</v>
      </c>
      <c r="S210">
        <v>6053331</v>
      </c>
      <c r="V210" t="s">
        <v>5346</v>
      </c>
      <c r="W210" t="s">
        <v>5249</v>
      </c>
      <c r="X210" t="s">
        <v>7180</v>
      </c>
      <c r="Y210">
        <v>42.1</v>
      </c>
      <c r="Z210">
        <v>42.1</v>
      </c>
      <c r="AA210" s="47">
        <v>1</v>
      </c>
      <c r="AB210">
        <v>0.8</v>
      </c>
      <c r="AC210">
        <v>96</v>
      </c>
      <c r="AD210">
        <v>16434</v>
      </c>
    </row>
    <row r="211" spans="1:30" x14ac:dyDescent="0.2">
      <c r="A211" t="s">
        <v>5347</v>
      </c>
      <c r="B211" t="s">
        <v>4711</v>
      </c>
      <c r="C211" t="s">
        <v>7181</v>
      </c>
      <c r="D211">
        <v>36.200000000000003</v>
      </c>
      <c r="E211">
        <v>36.200000000000003</v>
      </c>
      <c r="F211" s="47">
        <v>0.95</v>
      </c>
      <c r="G211">
        <v>25</v>
      </c>
      <c r="H211">
        <v>100</v>
      </c>
      <c r="I211">
        <v>16473</v>
      </c>
      <c r="K211" t="s">
        <v>5348</v>
      </c>
      <c r="L211" t="s">
        <v>5349</v>
      </c>
      <c r="M211" t="s">
        <v>7182</v>
      </c>
      <c r="N211">
        <v>32.200000000000003</v>
      </c>
      <c r="O211">
        <v>32.200000000000003</v>
      </c>
      <c r="P211" s="47">
        <v>0.73</v>
      </c>
      <c r="Q211">
        <v>384</v>
      </c>
      <c r="R211">
        <v>100</v>
      </c>
      <c r="S211">
        <v>3814509</v>
      </c>
      <c r="V211" t="s">
        <v>4793</v>
      </c>
      <c r="W211" t="s">
        <v>4646</v>
      </c>
      <c r="X211" t="s">
        <v>7183</v>
      </c>
      <c r="Y211">
        <v>42.1</v>
      </c>
      <c r="Z211">
        <v>42.1</v>
      </c>
      <c r="AA211" s="47">
        <v>1</v>
      </c>
      <c r="AB211">
        <v>0.8</v>
      </c>
      <c r="AC211">
        <v>96</v>
      </c>
      <c r="AD211">
        <v>16606</v>
      </c>
    </row>
    <row r="212" spans="1:30" x14ac:dyDescent="0.2">
      <c r="A212" t="s">
        <v>3708</v>
      </c>
      <c r="B212" t="s">
        <v>2250</v>
      </c>
      <c r="C212" t="s">
        <v>6738</v>
      </c>
      <c r="D212">
        <v>36.200000000000003</v>
      </c>
      <c r="E212">
        <v>36.200000000000003</v>
      </c>
      <c r="F212" s="47">
        <v>0.95</v>
      </c>
      <c r="G212">
        <v>25</v>
      </c>
      <c r="H212">
        <v>100</v>
      </c>
      <c r="I212">
        <v>16583</v>
      </c>
      <c r="K212" t="s">
        <v>5350</v>
      </c>
      <c r="L212" t="s">
        <v>5351</v>
      </c>
      <c r="M212" t="s">
        <v>7184</v>
      </c>
      <c r="N212">
        <v>32.200000000000003</v>
      </c>
      <c r="O212">
        <v>32.200000000000003</v>
      </c>
      <c r="P212" s="47">
        <v>0.91</v>
      </c>
      <c r="Q212">
        <v>384</v>
      </c>
      <c r="R212">
        <v>95</v>
      </c>
      <c r="S212">
        <v>4324194</v>
      </c>
      <c r="V212" t="s">
        <v>5352</v>
      </c>
      <c r="W212" t="s">
        <v>4601</v>
      </c>
      <c r="X212" t="s">
        <v>7185</v>
      </c>
      <c r="Y212">
        <v>42.1</v>
      </c>
      <c r="Z212">
        <v>42.1</v>
      </c>
      <c r="AA212" s="47">
        <v>1</v>
      </c>
      <c r="AB212">
        <v>0.8</v>
      </c>
      <c r="AC212">
        <v>96</v>
      </c>
      <c r="AD212">
        <v>1785</v>
      </c>
    </row>
    <row r="213" spans="1:30" x14ac:dyDescent="0.2">
      <c r="A213" t="s">
        <v>5353</v>
      </c>
      <c r="B213" t="s">
        <v>5354</v>
      </c>
      <c r="C213" t="s">
        <v>7186</v>
      </c>
      <c r="D213">
        <v>36.200000000000003</v>
      </c>
      <c r="E213">
        <v>36.200000000000003</v>
      </c>
      <c r="F213" s="47">
        <v>0.95</v>
      </c>
      <c r="G213">
        <v>25</v>
      </c>
      <c r="H213">
        <v>100</v>
      </c>
      <c r="I213">
        <v>16565</v>
      </c>
      <c r="K213" t="s">
        <v>5355</v>
      </c>
      <c r="L213" t="s">
        <v>5065</v>
      </c>
      <c r="M213" t="s">
        <v>7187</v>
      </c>
      <c r="N213">
        <v>32.200000000000003</v>
      </c>
      <c r="O213">
        <v>32.200000000000003</v>
      </c>
      <c r="P213" s="47">
        <v>0.73</v>
      </c>
      <c r="Q213">
        <v>384</v>
      </c>
      <c r="R213">
        <v>100</v>
      </c>
      <c r="S213">
        <v>5614195</v>
      </c>
      <c r="V213" t="s">
        <v>5356</v>
      </c>
      <c r="W213" t="s">
        <v>4646</v>
      </c>
      <c r="X213" t="s">
        <v>7188</v>
      </c>
      <c r="Y213">
        <v>42.1</v>
      </c>
      <c r="Z213">
        <v>42.1</v>
      </c>
      <c r="AA213" s="47">
        <v>1</v>
      </c>
      <c r="AB213">
        <v>0.8</v>
      </c>
      <c r="AC213">
        <v>96</v>
      </c>
      <c r="AD213">
        <v>16603</v>
      </c>
    </row>
    <row r="214" spans="1:30" x14ac:dyDescent="0.2">
      <c r="A214" t="s">
        <v>5357</v>
      </c>
      <c r="B214" t="s">
        <v>5358</v>
      </c>
      <c r="C214" t="s">
        <v>7189</v>
      </c>
      <c r="D214">
        <v>36.200000000000003</v>
      </c>
      <c r="E214">
        <v>36.200000000000003</v>
      </c>
      <c r="F214" s="47">
        <v>0.95</v>
      </c>
      <c r="G214">
        <v>25</v>
      </c>
      <c r="H214">
        <v>100</v>
      </c>
      <c r="I214">
        <v>16494</v>
      </c>
      <c r="K214" t="s">
        <v>5359</v>
      </c>
      <c r="L214" t="s">
        <v>5360</v>
      </c>
      <c r="M214" t="s">
        <v>7190</v>
      </c>
      <c r="N214">
        <v>32.200000000000003</v>
      </c>
      <c r="O214">
        <v>32.200000000000003</v>
      </c>
      <c r="P214" s="47">
        <v>0.73</v>
      </c>
      <c r="Q214">
        <v>384</v>
      </c>
      <c r="R214">
        <v>100</v>
      </c>
      <c r="S214">
        <v>2839759</v>
      </c>
      <c r="V214" t="s">
        <v>5361</v>
      </c>
      <c r="W214" t="s">
        <v>2066</v>
      </c>
      <c r="X214" t="s">
        <v>7191</v>
      </c>
      <c r="Y214">
        <v>42.1</v>
      </c>
      <c r="Z214">
        <v>42.1</v>
      </c>
      <c r="AA214" s="47">
        <v>1</v>
      </c>
      <c r="AB214">
        <v>0.8</v>
      </c>
      <c r="AC214">
        <v>96</v>
      </c>
      <c r="AD214">
        <v>16818</v>
      </c>
    </row>
    <row r="215" spans="1:30" x14ac:dyDescent="0.2">
      <c r="A215" t="s">
        <v>5362</v>
      </c>
      <c r="B215" t="s">
        <v>4711</v>
      </c>
      <c r="C215" t="s">
        <v>7192</v>
      </c>
      <c r="D215">
        <v>36.200000000000003</v>
      </c>
      <c r="E215">
        <v>36.200000000000003</v>
      </c>
      <c r="F215" s="47">
        <v>0.95</v>
      </c>
      <c r="G215">
        <v>25</v>
      </c>
      <c r="H215">
        <v>100</v>
      </c>
      <c r="I215">
        <v>16473</v>
      </c>
      <c r="K215" t="s">
        <v>5363</v>
      </c>
      <c r="L215" t="s">
        <v>4944</v>
      </c>
      <c r="M215" t="s">
        <v>7193</v>
      </c>
      <c r="N215">
        <v>32.200000000000003</v>
      </c>
      <c r="O215">
        <v>64.400000000000006</v>
      </c>
      <c r="P215" s="47">
        <v>0.73</v>
      </c>
      <c r="Q215">
        <v>384</v>
      </c>
      <c r="R215">
        <v>100</v>
      </c>
      <c r="S215">
        <v>44705218</v>
      </c>
      <c r="V215" t="s">
        <v>5364</v>
      </c>
      <c r="W215" t="s">
        <v>4597</v>
      </c>
      <c r="X215" t="s">
        <v>7194</v>
      </c>
      <c r="Y215">
        <v>42.1</v>
      </c>
      <c r="Z215">
        <v>42.1</v>
      </c>
      <c r="AA215" s="47">
        <v>1</v>
      </c>
      <c r="AB215">
        <v>0.8</v>
      </c>
      <c r="AC215">
        <v>96</v>
      </c>
      <c r="AD215">
        <v>1812</v>
      </c>
    </row>
    <row r="216" spans="1:30" x14ac:dyDescent="0.2">
      <c r="A216" t="s">
        <v>5365</v>
      </c>
      <c r="B216" t="s">
        <v>5366</v>
      </c>
      <c r="C216" t="s">
        <v>7195</v>
      </c>
      <c r="D216">
        <v>36.200000000000003</v>
      </c>
      <c r="E216">
        <v>36.200000000000003</v>
      </c>
      <c r="F216" s="47">
        <v>0.95</v>
      </c>
      <c r="G216">
        <v>25</v>
      </c>
      <c r="H216">
        <v>100</v>
      </c>
      <c r="I216">
        <v>16676</v>
      </c>
      <c r="K216" t="s">
        <v>5367</v>
      </c>
      <c r="L216" t="s">
        <v>5368</v>
      </c>
      <c r="M216" t="s">
        <v>7196</v>
      </c>
      <c r="N216">
        <v>32.200000000000003</v>
      </c>
      <c r="O216">
        <v>64.400000000000006</v>
      </c>
      <c r="P216" s="47">
        <v>0.73</v>
      </c>
      <c r="Q216">
        <v>384</v>
      </c>
      <c r="R216">
        <v>100</v>
      </c>
      <c r="S216">
        <v>37244481</v>
      </c>
      <c r="V216" t="s">
        <v>5369</v>
      </c>
      <c r="W216" t="s">
        <v>5370</v>
      </c>
      <c r="X216" t="s">
        <v>7197</v>
      </c>
      <c r="Y216">
        <v>42.1</v>
      </c>
      <c r="Z216">
        <v>42.1</v>
      </c>
      <c r="AA216" s="47">
        <v>1</v>
      </c>
      <c r="AB216">
        <v>0.8</v>
      </c>
      <c r="AC216">
        <v>96</v>
      </c>
      <c r="AD216">
        <v>16603</v>
      </c>
    </row>
    <row r="217" spans="1:30" x14ac:dyDescent="0.2">
      <c r="A217" t="s">
        <v>5371</v>
      </c>
      <c r="B217" t="s">
        <v>2719</v>
      </c>
      <c r="C217" t="s">
        <v>7198</v>
      </c>
      <c r="D217">
        <v>36.200000000000003</v>
      </c>
      <c r="E217">
        <v>36.200000000000003</v>
      </c>
      <c r="F217" s="47">
        <v>0.95</v>
      </c>
      <c r="G217">
        <v>25</v>
      </c>
      <c r="H217">
        <v>100</v>
      </c>
      <c r="I217">
        <v>16857</v>
      </c>
      <c r="K217" t="s">
        <v>5372</v>
      </c>
      <c r="L217" t="s">
        <v>5049</v>
      </c>
      <c r="M217" t="s">
        <v>7199</v>
      </c>
      <c r="N217">
        <v>32.200000000000003</v>
      </c>
      <c r="O217">
        <v>32.200000000000003</v>
      </c>
      <c r="P217" s="47">
        <v>0.91</v>
      </c>
      <c r="Q217">
        <v>384</v>
      </c>
      <c r="R217">
        <v>95</v>
      </c>
      <c r="S217">
        <v>12460</v>
      </c>
      <c r="V217" t="s">
        <v>5373</v>
      </c>
      <c r="W217" t="s">
        <v>4606</v>
      </c>
      <c r="X217" t="s">
        <v>7200</v>
      </c>
      <c r="Y217">
        <v>42.1</v>
      </c>
      <c r="Z217">
        <v>42.1</v>
      </c>
      <c r="AA217" s="47">
        <v>1</v>
      </c>
      <c r="AB217">
        <v>0.8</v>
      </c>
      <c r="AC217">
        <v>96</v>
      </c>
      <c r="AD217">
        <v>15582</v>
      </c>
    </row>
    <row r="218" spans="1:30" x14ac:dyDescent="0.2">
      <c r="A218" t="s">
        <v>5374</v>
      </c>
      <c r="B218" t="s">
        <v>5375</v>
      </c>
      <c r="C218" t="s">
        <v>7201</v>
      </c>
      <c r="D218">
        <v>36.200000000000003</v>
      </c>
      <c r="E218">
        <v>36.200000000000003</v>
      </c>
      <c r="F218" s="47">
        <v>0.95</v>
      </c>
      <c r="G218">
        <v>25</v>
      </c>
      <c r="H218">
        <v>100</v>
      </c>
      <c r="I218">
        <v>16480</v>
      </c>
      <c r="K218" t="s">
        <v>5376</v>
      </c>
      <c r="L218" t="s">
        <v>5377</v>
      </c>
      <c r="M218" t="s">
        <v>7202</v>
      </c>
      <c r="N218">
        <v>32.200000000000003</v>
      </c>
      <c r="O218">
        <v>32.200000000000003</v>
      </c>
      <c r="P218" s="47">
        <v>0.73</v>
      </c>
      <c r="Q218">
        <v>384</v>
      </c>
      <c r="R218">
        <v>100</v>
      </c>
      <c r="S218">
        <v>3529281</v>
      </c>
      <c r="V218" t="s">
        <v>5378</v>
      </c>
      <c r="W218" t="s">
        <v>4597</v>
      </c>
      <c r="X218" t="s">
        <v>7203</v>
      </c>
      <c r="Y218">
        <v>42.1</v>
      </c>
      <c r="Z218">
        <v>42.1</v>
      </c>
      <c r="AA218" s="47">
        <v>1</v>
      </c>
      <c r="AB218">
        <v>0.8</v>
      </c>
      <c r="AC218">
        <v>96</v>
      </c>
      <c r="AD218">
        <v>1812</v>
      </c>
    </row>
    <row r="219" spans="1:30" x14ac:dyDescent="0.2">
      <c r="A219" t="s">
        <v>4762</v>
      </c>
      <c r="B219" t="s">
        <v>3152</v>
      </c>
      <c r="C219" t="s">
        <v>6741</v>
      </c>
      <c r="D219">
        <v>36.200000000000003</v>
      </c>
      <c r="E219">
        <v>36.200000000000003</v>
      </c>
      <c r="F219" s="47">
        <v>0.95</v>
      </c>
      <c r="G219">
        <v>25</v>
      </c>
      <c r="H219">
        <v>100</v>
      </c>
      <c r="I219">
        <v>16541</v>
      </c>
      <c r="K219" t="s">
        <v>5379</v>
      </c>
      <c r="L219" t="s">
        <v>3986</v>
      </c>
      <c r="M219" t="s">
        <v>7204</v>
      </c>
      <c r="N219">
        <v>32.200000000000003</v>
      </c>
      <c r="O219">
        <v>32.200000000000003</v>
      </c>
      <c r="P219" s="47">
        <v>0.91</v>
      </c>
      <c r="Q219">
        <v>384</v>
      </c>
      <c r="R219">
        <v>95</v>
      </c>
      <c r="S219">
        <v>2108</v>
      </c>
      <c r="V219" t="s">
        <v>5380</v>
      </c>
      <c r="W219" t="s">
        <v>4593</v>
      </c>
      <c r="X219" t="s">
        <v>7205</v>
      </c>
      <c r="Y219">
        <v>42.1</v>
      </c>
      <c r="Z219">
        <v>42.1</v>
      </c>
      <c r="AA219" s="47">
        <v>1</v>
      </c>
      <c r="AB219">
        <v>0.8</v>
      </c>
      <c r="AC219">
        <v>96</v>
      </c>
      <c r="AD219">
        <v>1061</v>
      </c>
    </row>
    <row r="220" spans="1:30" x14ac:dyDescent="0.2">
      <c r="A220" t="s">
        <v>5381</v>
      </c>
      <c r="B220" t="s">
        <v>2719</v>
      </c>
      <c r="C220" t="s">
        <v>7206</v>
      </c>
      <c r="D220">
        <v>36.200000000000003</v>
      </c>
      <c r="E220">
        <v>36.200000000000003</v>
      </c>
      <c r="F220" s="47">
        <v>0.95</v>
      </c>
      <c r="G220">
        <v>25</v>
      </c>
      <c r="H220">
        <v>100</v>
      </c>
      <c r="I220">
        <v>16857</v>
      </c>
      <c r="K220" t="s">
        <v>5382</v>
      </c>
      <c r="L220" t="s">
        <v>5383</v>
      </c>
      <c r="M220" t="s">
        <v>7207</v>
      </c>
      <c r="N220">
        <v>32.200000000000003</v>
      </c>
      <c r="O220">
        <v>32.200000000000003</v>
      </c>
      <c r="P220" s="47">
        <v>0.73</v>
      </c>
      <c r="Q220">
        <v>384</v>
      </c>
      <c r="R220">
        <v>100</v>
      </c>
      <c r="S220">
        <v>4129092</v>
      </c>
      <c r="V220" t="s">
        <v>5384</v>
      </c>
      <c r="W220" t="s">
        <v>5385</v>
      </c>
      <c r="X220" t="s">
        <v>7208</v>
      </c>
      <c r="Y220">
        <v>42.1</v>
      </c>
      <c r="Z220">
        <v>42.1</v>
      </c>
      <c r="AA220" s="47">
        <v>0.84</v>
      </c>
      <c r="AB220">
        <v>0.8</v>
      </c>
      <c r="AC220">
        <v>100</v>
      </c>
      <c r="AD220">
        <v>16666</v>
      </c>
    </row>
    <row r="221" spans="1:30" x14ac:dyDescent="0.2">
      <c r="A221" t="s">
        <v>4789</v>
      </c>
      <c r="B221" t="s">
        <v>4790</v>
      </c>
      <c r="C221" t="s">
        <v>7209</v>
      </c>
      <c r="D221">
        <v>36.200000000000003</v>
      </c>
      <c r="E221">
        <v>36.200000000000003</v>
      </c>
      <c r="F221" s="47">
        <v>0.95</v>
      </c>
      <c r="G221">
        <v>25</v>
      </c>
      <c r="H221">
        <v>100</v>
      </c>
      <c r="I221">
        <v>16539</v>
      </c>
      <c r="K221" t="s">
        <v>5386</v>
      </c>
      <c r="L221" t="s">
        <v>5065</v>
      </c>
      <c r="M221" t="s">
        <v>7210</v>
      </c>
      <c r="N221">
        <v>32.200000000000003</v>
      </c>
      <c r="O221">
        <v>32.200000000000003</v>
      </c>
      <c r="P221" s="47">
        <v>0.73</v>
      </c>
      <c r="Q221">
        <v>384</v>
      </c>
      <c r="R221">
        <v>100</v>
      </c>
      <c r="S221">
        <v>5051540</v>
      </c>
      <c r="V221" t="s">
        <v>5387</v>
      </c>
      <c r="W221" t="s">
        <v>4646</v>
      </c>
      <c r="X221" t="s">
        <v>7211</v>
      </c>
      <c r="Y221">
        <v>42.1</v>
      </c>
      <c r="Z221">
        <v>42.1</v>
      </c>
      <c r="AA221" s="47">
        <v>1</v>
      </c>
      <c r="AB221">
        <v>0.8</v>
      </c>
      <c r="AC221">
        <v>96</v>
      </c>
      <c r="AD221">
        <v>16606</v>
      </c>
    </row>
    <row r="222" spans="1:30" x14ac:dyDescent="0.2">
      <c r="A222" t="s">
        <v>5388</v>
      </c>
      <c r="B222" t="s">
        <v>5389</v>
      </c>
      <c r="C222" t="s">
        <v>7212</v>
      </c>
      <c r="D222">
        <v>36.200000000000003</v>
      </c>
      <c r="E222">
        <v>36.200000000000003</v>
      </c>
      <c r="F222" s="47">
        <v>0.95</v>
      </c>
      <c r="G222">
        <v>25</v>
      </c>
      <c r="H222">
        <v>100</v>
      </c>
      <c r="I222">
        <v>16527</v>
      </c>
      <c r="K222" t="s">
        <v>5390</v>
      </c>
      <c r="L222" t="s">
        <v>5065</v>
      </c>
      <c r="M222" t="s">
        <v>7213</v>
      </c>
      <c r="N222">
        <v>32.200000000000003</v>
      </c>
      <c r="O222">
        <v>32.200000000000003</v>
      </c>
      <c r="P222" s="47">
        <v>0.73</v>
      </c>
      <c r="Q222">
        <v>384</v>
      </c>
      <c r="R222">
        <v>100</v>
      </c>
      <c r="S222">
        <v>5322471</v>
      </c>
      <c r="V222" t="s">
        <v>5391</v>
      </c>
      <c r="W222" t="s">
        <v>4946</v>
      </c>
      <c r="X222" t="s">
        <v>7214</v>
      </c>
      <c r="Y222">
        <v>42.1</v>
      </c>
      <c r="Z222">
        <v>42.1</v>
      </c>
      <c r="AA222" s="47">
        <v>1</v>
      </c>
      <c r="AB222">
        <v>0.8</v>
      </c>
      <c r="AC222">
        <v>96</v>
      </c>
      <c r="AD222">
        <v>16763</v>
      </c>
    </row>
    <row r="223" spans="1:30" x14ac:dyDescent="0.2">
      <c r="A223" t="s">
        <v>5392</v>
      </c>
      <c r="B223" t="s">
        <v>2129</v>
      </c>
      <c r="C223" t="s">
        <v>7215</v>
      </c>
      <c r="D223">
        <v>36.200000000000003</v>
      </c>
      <c r="E223">
        <v>36.200000000000003</v>
      </c>
      <c r="F223" s="47">
        <v>0.95</v>
      </c>
      <c r="G223">
        <v>25</v>
      </c>
      <c r="H223">
        <v>100</v>
      </c>
      <c r="I223">
        <v>16582</v>
      </c>
      <c r="K223" t="s">
        <v>5393</v>
      </c>
      <c r="L223" t="s">
        <v>5065</v>
      </c>
      <c r="M223" t="s">
        <v>7216</v>
      </c>
      <c r="N223">
        <v>32.200000000000003</v>
      </c>
      <c r="O223">
        <v>32.200000000000003</v>
      </c>
      <c r="P223" s="47">
        <v>0.73</v>
      </c>
      <c r="Q223">
        <v>384</v>
      </c>
      <c r="R223">
        <v>100</v>
      </c>
      <c r="S223">
        <v>5171707</v>
      </c>
      <c r="V223" t="s">
        <v>5394</v>
      </c>
      <c r="W223" t="s">
        <v>4597</v>
      </c>
      <c r="X223" t="s">
        <v>7217</v>
      </c>
      <c r="Y223">
        <v>42.1</v>
      </c>
      <c r="Z223">
        <v>42.1</v>
      </c>
      <c r="AA223" s="47">
        <v>1</v>
      </c>
      <c r="AB223">
        <v>0.8</v>
      </c>
      <c r="AC223">
        <v>96</v>
      </c>
      <c r="AD223">
        <v>1812</v>
      </c>
    </row>
    <row r="224" spans="1:30" x14ac:dyDescent="0.2">
      <c r="A224" t="s">
        <v>5395</v>
      </c>
      <c r="B224" t="s">
        <v>4711</v>
      </c>
      <c r="C224" t="s">
        <v>7218</v>
      </c>
      <c r="D224">
        <v>36.200000000000003</v>
      </c>
      <c r="E224">
        <v>36.200000000000003</v>
      </c>
      <c r="F224" s="47">
        <v>0.95</v>
      </c>
      <c r="G224">
        <v>25</v>
      </c>
      <c r="H224">
        <v>100</v>
      </c>
      <c r="I224">
        <v>16477</v>
      </c>
      <c r="K224" t="s">
        <v>5396</v>
      </c>
      <c r="L224" t="s">
        <v>5065</v>
      </c>
      <c r="M224" t="s">
        <v>7219</v>
      </c>
      <c r="N224">
        <v>32.200000000000003</v>
      </c>
      <c r="O224">
        <v>32.200000000000003</v>
      </c>
      <c r="P224" s="47">
        <v>0.73</v>
      </c>
      <c r="Q224">
        <v>384</v>
      </c>
      <c r="R224">
        <v>100</v>
      </c>
      <c r="S224">
        <v>5370799</v>
      </c>
      <c r="V224" t="s">
        <v>5397</v>
      </c>
      <c r="W224" t="s">
        <v>2791</v>
      </c>
      <c r="X224" t="s">
        <v>7220</v>
      </c>
      <c r="Y224">
        <v>42.1</v>
      </c>
      <c r="Z224">
        <v>42.1</v>
      </c>
      <c r="AA224" s="47">
        <v>1</v>
      </c>
      <c r="AB224">
        <v>0.8</v>
      </c>
      <c r="AC224">
        <v>96</v>
      </c>
      <c r="AD224">
        <v>16590</v>
      </c>
    </row>
    <row r="225" spans="1:30" x14ac:dyDescent="0.2">
      <c r="A225" t="s">
        <v>5398</v>
      </c>
      <c r="B225" t="s">
        <v>4711</v>
      </c>
      <c r="C225" t="s">
        <v>7221</v>
      </c>
      <c r="D225">
        <v>36.200000000000003</v>
      </c>
      <c r="E225">
        <v>36.200000000000003</v>
      </c>
      <c r="F225" s="47">
        <v>0.95</v>
      </c>
      <c r="G225">
        <v>25</v>
      </c>
      <c r="H225">
        <v>100</v>
      </c>
      <c r="I225">
        <v>16473</v>
      </c>
      <c r="K225" t="s">
        <v>5399</v>
      </c>
      <c r="L225" t="s">
        <v>5256</v>
      </c>
      <c r="M225" t="s">
        <v>7222</v>
      </c>
      <c r="N225">
        <v>32.200000000000003</v>
      </c>
      <c r="O225">
        <v>32.200000000000003</v>
      </c>
      <c r="P225" s="47">
        <v>0.73</v>
      </c>
      <c r="Q225">
        <v>384</v>
      </c>
      <c r="R225">
        <v>100</v>
      </c>
      <c r="S225">
        <v>222551</v>
      </c>
      <c r="V225" t="s">
        <v>5400</v>
      </c>
      <c r="W225" t="s">
        <v>4597</v>
      </c>
      <c r="X225" t="s">
        <v>7223</v>
      </c>
      <c r="Y225">
        <v>42.1</v>
      </c>
      <c r="Z225">
        <v>42.1</v>
      </c>
      <c r="AA225" s="47">
        <v>1</v>
      </c>
      <c r="AB225">
        <v>0.8</v>
      </c>
      <c r="AC225">
        <v>96</v>
      </c>
      <c r="AD225">
        <v>1812</v>
      </c>
    </row>
    <row r="226" spans="1:30" x14ac:dyDescent="0.2">
      <c r="A226" t="s">
        <v>5401</v>
      </c>
      <c r="B226" t="s">
        <v>3386</v>
      </c>
      <c r="C226" t="s">
        <v>7224</v>
      </c>
      <c r="D226">
        <v>36.200000000000003</v>
      </c>
      <c r="E226">
        <v>36.200000000000003</v>
      </c>
      <c r="F226" s="47">
        <v>0.95</v>
      </c>
      <c r="G226">
        <v>25</v>
      </c>
      <c r="H226">
        <v>100</v>
      </c>
      <c r="I226">
        <v>16709</v>
      </c>
      <c r="K226" t="s">
        <v>5402</v>
      </c>
      <c r="L226" t="s">
        <v>5403</v>
      </c>
      <c r="M226" t="s">
        <v>7225</v>
      </c>
      <c r="N226">
        <v>32.200000000000003</v>
      </c>
      <c r="O226">
        <v>32.200000000000003</v>
      </c>
      <c r="P226" s="47">
        <v>0.73</v>
      </c>
      <c r="Q226">
        <v>384</v>
      </c>
      <c r="R226">
        <v>100</v>
      </c>
      <c r="S226">
        <v>3458001</v>
      </c>
      <c r="V226" t="s">
        <v>5404</v>
      </c>
      <c r="W226" t="s">
        <v>4597</v>
      </c>
      <c r="X226" t="s">
        <v>7226</v>
      </c>
      <c r="Y226">
        <v>42.1</v>
      </c>
      <c r="Z226">
        <v>42.1</v>
      </c>
      <c r="AA226" s="47">
        <v>1</v>
      </c>
      <c r="AB226">
        <v>0.8</v>
      </c>
      <c r="AC226">
        <v>96</v>
      </c>
      <c r="AD226">
        <v>1812</v>
      </c>
    </row>
    <row r="227" spans="1:30" x14ac:dyDescent="0.2">
      <c r="A227" t="s">
        <v>5405</v>
      </c>
      <c r="B227" t="s">
        <v>5323</v>
      </c>
      <c r="C227" t="s">
        <v>7227</v>
      </c>
      <c r="D227">
        <v>36.200000000000003</v>
      </c>
      <c r="E227">
        <v>36.200000000000003</v>
      </c>
      <c r="F227" s="47">
        <v>0.95</v>
      </c>
      <c r="G227">
        <v>25</v>
      </c>
      <c r="H227">
        <v>100</v>
      </c>
      <c r="I227">
        <v>16849</v>
      </c>
      <c r="K227" t="s">
        <v>5406</v>
      </c>
      <c r="L227" t="s">
        <v>5065</v>
      </c>
      <c r="M227" t="s">
        <v>7228</v>
      </c>
      <c r="N227">
        <v>32.200000000000003</v>
      </c>
      <c r="O227">
        <v>32.200000000000003</v>
      </c>
      <c r="P227" s="47">
        <v>0.73</v>
      </c>
      <c r="Q227">
        <v>384</v>
      </c>
      <c r="R227">
        <v>100</v>
      </c>
      <c r="S227">
        <v>5141346</v>
      </c>
      <c r="V227" t="s">
        <v>5407</v>
      </c>
      <c r="W227" t="s">
        <v>5408</v>
      </c>
      <c r="X227" t="s">
        <v>7229</v>
      </c>
      <c r="Y227">
        <v>42.1</v>
      </c>
      <c r="Z227">
        <v>42.1</v>
      </c>
      <c r="AA227" s="47">
        <v>1</v>
      </c>
      <c r="AB227">
        <v>0.8</v>
      </c>
      <c r="AC227">
        <v>96</v>
      </c>
      <c r="AD227">
        <v>16605</v>
      </c>
    </row>
    <row r="228" spans="1:30" x14ac:dyDescent="0.2">
      <c r="A228" t="s">
        <v>5409</v>
      </c>
      <c r="B228" t="s">
        <v>5008</v>
      </c>
      <c r="C228" t="s">
        <v>7230</v>
      </c>
      <c r="D228">
        <v>36.200000000000003</v>
      </c>
      <c r="E228">
        <v>36.200000000000003</v>
      </c>
      <c r="F228" s="47">
        <v>0.95</v>
      </c>
      <c r="G228">
        <v>25</v>
      </c>
      <c r="H228">
        <v>100</v>
      </c>
      <c r="I228">
        <v>16475</v>
      </c>
      <c r="K228" t="s">
        <v>5410</v>
      </c>
      <c r="L228" t="s">
        <v>5065</v>
      </c>
      <c r="M228" t="s">
        <v>7231</v>
      </c>
      <c r="N228">
        <v>32.200000000000003</v>
      </c>
      <c r="O228">
        <v>32.200000000000003</v>
      </c>
      <c r="P228" s="47">
        <v>0.73</v>
      </c>
      <c r="Q228">
        <v>384</v>
      </c>
      <c r="R228">
        <v>100</v>
      </c>
      <c r="S228">
        <v>4902215</v>
      </c>
      <c r="V228" t="s">
        <v>4683</v>
      </c>
      <c r="W228" t="s">
        <v>4684</v>
      </c>
      <c r="X228" t="s">
        <v>7232</v>
      </c>
      <c r="Y228">
        <v>42.1</v>
      </c>
      <c r="Z228">
        <v>42.1</v>
      </c>
      <c r="AA228" s="47">
        <v>1</v>
      </c>
      <c r="AB228">
        <v>0.8</v>
      </c>
      <c r="AC228">
        <v>96</v>
      </c>
      <c r="AD228">
        <v>16597</v>
      </c>
    </row>
    <row r="229" spans="1:30" x14ac:dyDescent="0.2">
      <c r="A229" t="s">
        <v>5411</v>
      </c>
      <c r="B229" t="s">
        <v>4711</v>
      </c>
      <c r="C229" t="s">
        <v>7233</v>
      </c>
      <c r="D229">
        <v>36.200000000000003</v>
      </c>
      <c r="E229">
        <v>36.200000000000003</v>
      </c>
      <c r="F229" s="47">
        <v>0.95</v>
      </c>
      <c r="G229">
        <v>25</v>
      </c>
      <c r="H229">
        <v>100</v>
      </c>
      <c r="I229">
        <v>16473</v>
      </c>
      <c r="K229" t="s">
        <v>5412</v>
      </c>
      <c r="L229" t="s">
        <v>5065</v>
      </c>
      <c r="M229" t="s">
        <v>7234</v>
      </c>
      <c r="N229">
        <v>32.200000000000003</v>
      </c>
      <c r="O229">
        <v>32.200000000000003</v>
      </c>
      <c r="P229" s="47">
        <v>0.73</v>
      </c>
      <c r="Q229">
        <v>384</v>
      </c>
      <c r="R229">
        <v>100</v>
      </c>
      <c r="S229">
        <v>5150703</v>
      </c>
      <c r="V229" t="s">
        <v>5046</v>
      </c>
      <c r="W229" t="s">
        <v>4904</v>
      </c>
      <c r="X229" t="s">
        <v>7235</v>
      </c>
      <c r="Y229">
        <v>42.1</v>
      </c>
      <c r="Z229">
        <v>42.1</v>
      </c>
      <c r="AA229" s="47">
        <v>1</v>
      </c>
      <c r="AB229">
        <v>0.8</v>
      </c>
      <c r="AC229">
        <v>96</v>
      </c>
      <c r="AD229">
        <v>16688</v>
      </c>
    </row>
    <row r="230" spans="1:30" x14ac:dyDescent="0.2">
      <c r="A230" t="s">
        <v>5413</v>
      </c>
      <c r="B230" t="s">
        <v>4734</v>
      </c>
      <c r="C230" t="s">
        <v>7236</v>
      </c>
      <c r="D230">
        <v>36.200000000000003</v>
      </c>
      <c r="E230">
        <v>36.200000000000003</v>
      </c>
      <c r="F230" s="47">
        <v>0.95</v>
      </c>
      <c r="G230">
        <v>25</v>
      </c>
      <c r="H230">
        <v>100</v>
      </c>
      <c r="I230">
        <v>965</v>
      </c>
      <c r="K230" t="s">
        <v>5414</v>
      </c>
      <c r="L230" t="s">
        <v>5415</v>
      </c>
      <c r="M230" t="s">
        <v>7237</v>
      </c>
      <c r="N230">
        <v>32.200000000000003</v>
      </c>
      <c r="O230">
        <v>32.200000000000003</v>
      </c>
      <c r="P230" s="47">
        <v>0.73</v>
      </c>
      <c r="Q230">
        <v>384</v>
      </c>
      <c r="R230">
        <v>100</v>
      </c>
      <c r="S230">
        <v>5713068</v>
      </c>
      <c r="V230" t="s">
        <v>5416</v>
      </c>
      <c r="W230" t="s">
        <v>5417</v>
      </c>
      <c r="X230" t="s">
        <v>7238</v>
      </c>
      <c r="Y230">
        <v>42.1</v>
      </c>
      <c r="Z230">
        <v>42.1</v>
      </c>
      <c r="AA230" s="47">
        <v>1</v>
      </c>
      <c r="AB230">
        <v>0.8</v>
      </c>
      <c r="AC230">
        <v>96</v>
      </c>
      <c r="AD230">
        <v>16706</v>
      </c>
    </row>
    <row r="231" spans="1:30" x14ac:dyDescent="0.2">
      <c r="A231" t="s">
        <v>5418</v>
      </c>
      <c r="B231" t="s">
        <v>2869</v>
      </c>
      <c r="C231" t="s">
        <v>7239</v>
      </c>
      <c r="D231">
        <v>36.200000000000003</v>
      </c>
      <c r="E231">
        <v>36.200000000000003</v>
      </c>
      <c r="F231" s="47">
        <v>0.95</v>
      </c>
      <c r="G231">
        <v>25</v>
      </c>
      <c r="H231">
        <v>100</v>
      </c>
      <c r="I231">
        <v>16509</v>
      </c>
      <c r="K231" t="s">
        <v>5419</v>
      </c>
      <c r="L231" t="s">
        <v>5420</v>
      </c>
      <c r="M231" t="s">
        <v>7240</v>
      </c>
      <c r="N231">
        <v>32.200000000000003</v>
      </c>
      <c r="O231">
        <v>32.200000000000003</v>
      </c>
      <c r="P231" s="47">
        <v>0.73</v>
      </c>
      <c r="Q231">
        <v>384</v>
      </c>
      <c r="R231">
        <v>100</v>
      </c>
      <c r="S231">
        <v>4811981</v>
      </c>
      <c r="V231" t="s">
        <v>5421</v>
      </c>
      <c r="W231" t="s">
        <v>5422</v>
      </c>
      <c r="X231" t="s">
        <v>7241</v>
      </c>
      <c r="Y231">
        <v>42.1</v>
      </c>
      <c r="Z231">
        <v>42.1</v>
      </c>
      <c r="AA231" s="47">
        <v>1</v>
      </c>
      <c r="AB231">
        <v>0.8</v>
      </c>
      <c r="AC231">
        <v>96</v>
      </c>
      <c r="AD231">
        <v>16604</v>
      </c>
    </row>
    <row r="232" spans="1:30" x14ac:dyDescent="0.2">
      <c r="A232" t="s">
        <v>5423</v>
      </c>
      <c r="B232" t="s">
        <v>5424</v>
      </c>
      <c r="C232" t="s">
        <v>7242</v>
      </c>
      <c r="D232">
        <v>36.200000000000003</v>
      </c>
      <c r="E232">
        <v>36.200000000000003</v>
      </c>
      <c r="F232" s="47">
        <v>0.95</v>
      </c>
      <c r="G232">
        <v>25</v>
      </c>
      <c r="H232">
        <v>100</v>
      </c>
      <c r="I232">
        <v>16556</v>
      </c>
      <c r="K232" t="s">
        <v>5425</v>
      </c>
      <c r="L232" t="s">
        <v>5065</v>
      </c>
      <c r="M232" t="s">
        <v>7243</v>
      </c>
      <c r="N232">
        <v>32.200000000000003</v>
      </c>
      <c r="O232">
        <v>32.200000000000003</v>
      </c>
      <c r="P232" s="47">
        <v>0.73</v>
      </c>
      <c r="Q232">
        <v>384</v>
      </c>
      <c r="R232">
        <v>100</v>
      </c>
      <c r="S232">
        <v>5162363</v>
      </c>
      <c r="V232" t="s">
        <v>5426</v>
      </c>
      <c r="W232" t="s">
        <v>2061</v>
      </c>
      <c r="X232" t="s">
        <v>7244</v>
      </c>
      <c r="Y232">
        <v>42.1</v>
      </c>
      <c r="Z232">
        <v>42.1</v>
      </c>
      <c r="AA232" s="47">
        <v>1</v>
      </c>
      <c r="AB232">
        <v>0.8</v>
      </c>
      <c r="AC232">
        <v>96</v>
      </c>
      <c r="AD232">
        <v>16819</v>
      </c>
    </row>
    <row r="233" spans="1:30" x14ac:dyDescent="0.2">
      <c r="A233" t="s">
        <v>5427</v>
      </c>
      <c r="B233" t="s">
        <v>5428</v>
      </c>
      <c r="C233" t="s">
        <v>7245</v>
      </c>
      <c r="D233">
        <v>36.200000000000003</v>
      </c>
      <c r="E233">
        <v>36.200000000000003</v>
      </c>
      <c r="F233" s="47">
        <v>0.95</v>
      </c>
      <c r="G233">
        <v>25</v>
      </c>
      <c r="H233">
        <v>100</v>
      </c>
      <c r="I233">
        <v>16481</v>
      </c>
      <c r="K233" t="s">
        <v>5429</v>
      </c>
      <c r="L233" t="s">
        <v>4336</v>
      </c>
      <c r="M233" t="s">
        <v>7246</v>
      </c>
      <c r="N233">
        <v>32.200000000000003</v>
      </c>
      <c r="O233">
        <v>32.200000000000003</v>
      </c>
      <c r="P233" s="47">
        <v>0.73</v>
      </c>
      <c r="Q233">
        <v>384</v>
      </c>
      <c r="R233">
        <v>100</v>
      </c>
      <c r="S233">
        <v>1768</v>
      </c>
      <c r="V233" t="s">
        <v>5430</v>
      </c>
      <c r="W233" t="s">
        <v>4946</v>
      </c>
      <c r="X233" t="s">
        <v>7247</v>
      </c>
      <c r="Y233">
        <v>42.1</v>
      </c>
      <c r="Z233">
        <v>42.1</v>
      </c>
      <c r="AA233" s="47">
        <v>1</v>
      </c>
      <c r="AB233">
        <v>0.8</v>
      </c>
      <c r="AC233">
        <v>96</v>
      </c>
      <c r="AD233">
        <v>16758</v>
      </c>
    </row>
    <row r="234" spans="1:30" x14ac:dyDescent="0.2">
      <c r="A234" t="s">
        <v>5431</v>
      </c>
      <c r="B234" t="s">
        <v>5432</v>
      </c>
      <c r="C234" t="s">
        <v>7248</v>
      </c>
      <c r="D234">
        <v>36.200000000000003</v>
      </c>
      <c r="E234">
        <v>36.200000000000003</v>
      </c>
      <c r="F234" s="47">
        <v>0.95</v>
      </c>
      <c r="G234">
        <v>25</v>
      </c>
      <c r="H234">
        <v>100</v>
      </c>
      <c r="I234">
        <v>16538</v>
      </c>
      <c r="K234" t="s">
        <v>5101</v>
      </c>
      <c r="L234" t="s">
        <v>5101</v>
      </c>
      <c r="M234" t="s">
        <v>7249</v>
      </c>
      <c r="N234">
        <v>32.200000000000003</v>
      </c>
      <c r="O234">
        <v>32.200000000000003</v>
      </c>
      <c r="P234" s="47">
        <v>0.73</v>
      </c>
      <c r="Q234">
        <v>384</v>
      </c>
      <c r="R234">
        <v>100</v>
      </c>
      <c r="S234">
        <v>28890</v>
      </c>
      <c r="V234" t="s">
        <v>5433</v>
      </c>
      <c r="W234" t="s">
        <v>2115</v>
      </c>
      <c r="X234" t="s">
        <v>7250</v>
      </c>
      <c r="Y234">
        <v>42.1</v>
      </c>
      <c r="Z234">
        <v>42.1</v>
      </c>
      <c r="AA234" s="47">
        <v>1</v>
      </c>
      <c r="AB234">
        <v>0.8</v>
      </c>
      <c r="AC234">
        <v>96</v>
      </c>
      <c r="AD234">
        <v>16583</v>
      </c>
    </row>
    <row r="235" spans="1:30" x14ac:dyDescent="0.2">
      <c r="A235" t="s">
        <v>5434</v>
      </c>
      <c r="B235" t="s">
        <v>2719</v>
      </c>
      <c r="C235" t="s">
        <v>7251</v>
      </c>
      <c r="D235">
        <v>36.200000000000003</v>
      </c>
      <c r="E235">
        <v>36.200000000000003</v>
      </c>
      <c r="F235" s="47">
        <v>0.95</v>
      </c>
      <c r="G235">
        <v>25</v>
      </c>
      <c r="H235">
        <v>100</v>
      </c>
      <c r="I235">
        <v>16835</v>
      </c>
      <c r="K235" t="s">
        <v>5435</v>
      </c>
      <c r="L235" t="s">
        <v>5436</v>
      </c>
      <c r="M235" t="s">
        <v>7252</v>
      </c>
      <c r="N235">
        <v>32.200000000000003</v>
      </c>
      <c r="O235">
        <v>32.200000000000003</v>
      </c>
      <c r="P235" s="47">
        <v>0.73</v>
      </c>
      <c r="Q235">
        <v>384</v>
      </c>
      <c r="R235">
        <v>100</v>
      </c>
      <c r="S235">
        <v>3580</v>
      </c>
      <c r="V235" t="s">
        <v>5437</v>
      </c>
      <c r="W235" t="s">
        <v>4946</v>
      </c>
      <c r="X235" t="s">
        <v>7253</v>
      </c>
      <c r="Y235">
        <v>42.1</v>
      </c>
      <c r="Z235">
        <v>42.1</v>
      </c>
      <c r="AA235" s="47">
        <v>1</v>
      </c>
      <c r="AB235">
        <v>0.8</v>
      </c>
      <c r="AC235">
        <v>96</v>
      </c>
      <c r="AD235">
        <v>16758</v>
      </c>
    </row>
    <row r="236" spans="1:30" x14ac:dyDescent="0.2">
      <c r="A236" t="s">
        <v>5438</v>
      </c>
      <c r="B236" t="s">
        <v>3386</v>
      </c>
      <c r="C236" t="s">
        <v>7254</v>
      </c>
      <c r="D236">
        <v>36.200000000000003</v>
      </c>
      <c r="E236">
        <v>36.200000000000003</v>
      </c>
      <c r="F236" s="47">
        <v>0.95</v>
      </c>
      <c r="G236">
        <v>25</v>
      </c>
      <c r="H236">
        <v>100</v>
      </c>
      <c r="I236">
        <v>16709</v>
      </c>
      <c r="K236" t="s">
        <v>5439</v>
      </c>
      <c r="L236" t="s">
        <v>5065</v>
      </c>
      <c r="M236" t="s">
        <v>7255</v>
      </c>
      <c r="N236">
        <v>32.200000000000003</v>
      </c>
      <c r="O236">
        <v>32.200000000000003</v>
      </c>
      <c r="P236" s="47">
        <v>0.73</v>
      </c>
      <c r="Q236">
        <v>384</v>
      </c>
      <c r="R236">
        <v>100</v>
      </c>
      <c r="S236">
        <v>5182537</v>
      </c>
      <c r="V236" t="s">
        <v>5440</v>
      </c>
      <c r="W236" t="s">
        <v>4646</v>
      </c>
      <c r="X236" t="s">
        <v>7256</v>
      </c>
      <c r="Y236">
        <v>42.1</v>
      </c>
      <c r="Z236">
        <v>42.1</v>
      </c>
      <c r="AA236" s="47">
        <v>1</v>
      </c>
      <c r="AB236">
        <v>0.8</v>
      </c>
      <c r="AC236">
        <v>96</v>
      </c>
      <c r="AD236">
        <v>16605</v>
      </c>
    </row>
    <row r="237" spans="1:30" x14ac:dyDescent="0.2">
      <c r="A237" t="s">
        <v>5441</v>
      </c>
      <c r="B237" t="s">
        <v>5284</v>
      </c>
      <c r="C237" t="s">
        <v>7257</v>
      </c>
      <c r="D237">
        <v>36.200000000000003</v>
      </c>
      <c r="E237">
        <v>36.200000000000003</v>
      </c>
      <c r="F237" s="47">
        <v>0.95</v>
      </c>
      <c r="G237">
        <v>25</v>
      </c>
      <c r="H237">
        <v>100</v>
      </c>
      <c r="I237">
        <v>16503</v>
      </c>
      <c r="K237" t="s">
        <v>5442</v>
      </c>
      <c r="L237" t="s">
        <v>5443</v>
      </c>
      <c r="M237" t="s">
        <v>7258</v>
      </c>
      <c r="N237">
        <v>32.200000000000003</v>
      </c>
      <c r="O237">
        <v>32.200000000000003</v>
      </c>
      <c r="P237" s="47">
        <v>0.73</v>
      </c>
      <c r="Q237">
        <v>384</v>
      </c>
      <c r="R237">
        <v>100</v>
      </c>
      <c r="S237">
        <v>7157610</v>
      </c>
      <c r="V237" t="s">
        <v>5444</v>
      </c>
      <c r="W237" t="s">
        <v>5249</v>
      </c>
      <c r="X237" t="s">
        <v>7259</v>
      </c>
      <c r="Y237">
        <v>42.1</v>
      </c>
      <c r="Z237">
        <v>42.1</v>
      </c>
      <c r="AA237" s="47">
        <v>1</v>
      </c>
      <c r="AB237">
        <v>0.8</v>
      </c>
      <c r="AC237">
        <v>96</v>
      </c>
      <c r="AD237">
        <v>16430</v>
      </c>
    </row>
    <row r="238" spans="1:30" x14ac:dyDescent="0.2">
      <c r="A238" t="s">
        <v>4608</v>
      </c>
      <c r="B238" t="s">
        <v>2295</v>
      </c>
      <c r="C238" t="s">
        <v>6637</v>
      </c>
      <c r="D238">
        <v>36.200000000000003</v>
      </c>
      <c r="E238">
        <v>36.200000000000003</v>
      </c>
      <c r="F238" s="47">
        <v>0.95</v>
      </c>
      <c r="G238">
        <v>25</v>
      </c>
      <c r="H238">
        <v>100</v>
      </c>
      <c r="I238">
        <v>16586</v>
      </c>
      <c r="K238" t="s">
        <v>5445</v>
      </c>
      <c r="L238" t="s">
        <v>5273</v>
      </c>
      <c r="M238" t="s">
        <v>7260</v>
      </c>
      <c r="N238">
        <v>32.200000000000003</v>
      </c>
      <c r="O238">
        <v>32.200000000000003</v>
      </c>
      <c r="P238" s="47">
        <v>0.91</v>
      </c>
      <c r="Q238">
        <v>384</v>
      </c>
      <c r="R238">
        <v>95</v>
      </c>
      <c r="S238">
        <v>6229</v>
      </c>
      <c r="V238" t="s">
        <v>5446</v>
      </c>
      <c r="W238" t="s">
        <v>5447</v>
      </c>
      <c r="X238" t="s">
        <v>7261</v>
      </c>
      <c r="Y238">
        <v>42.1</v>
      </c>
      <c r="Z238">
        <v>42.1</v>
      </c>
      <c r="AA238" s="47">
        <v>1</v>
      </c>
      <c r="AB238">
        <v>0.8</v>
      </c>
      <c r="AC238">
        <v>96</v>
      </c>
      <c r="AD238">
        <v>16694</v>
      </c>
    </row>
    <row r="239" spans="1:30" x14ac:dyDescent="0.2">
      <c r="A239" t="s">
        <v>5448</v>
      </c>
      <c r="B239" t="s">
        <v>5449</v>
      </c>
      <c r="C239" t="s">
        <v>7262</v>
      </c>
      <c r="D239">
        <v>36.200000000000003</v>
      </c>
      <c r="E239">
        <v>36.200000000000003</v>
      </c>
      <c r="F239" s="47">
        <v>0.95</v>
      </c>
      <c r="G239">
        <v>25</v>
      </c>
      <c r="H239">
        <v>100</v>
      </c>
      <c r="I239">
        <v>16560</v>
      </c>
      <c r="K239" t="s">
        <v>5450</v>
      </c>
      <c r="L239" t="s">
        <v>5065</v>
      </c>
      <c r="M239" t="s">
        <v>7263</v>
      </c>
      <c r="N239">
        <v>32.200000000000003</v>
      </c>
      <c r="O239">
        <v>32.200000000000003</v>
      </c>
      <c r="P239" s="47">
        <v>0.73</v>
      </c>
      <c r="Q239">
        <v>384</v>
      </c>
      <c r="R239">
        <v>100</v>
      </c>
      <c r="S239">
        <v>5266155</v>
      </c>
      <c r="V239" t="s">
        <v>5451</v>
      </c>
      <c r="W239" t="s">
        <v>4646</v>
      </c>
      <c r="X239" t="s">
        <v>7264</v>
      </c>
      <c r="Y239">
        <v>42.1</v>
      </c>
      <c r="Z239">
        <v>42.1</v>
      </c>
      <c r="AA239" s="47">
        <v>1</v>
      </c>
      <c r="AB239">
        <v>0.8</v>
      </c>
      <c r="AC239">
        <v>96</v>
      </c>
      <c r="AD239">
        <v>16606</v>
      </c>
    </row>
    <row r="240" spans="1:30" x14ac:dyDescent="0.2">
      <c r="A240" t="s">
        <v>5452</v>
      </c>
      <c r="B240" t="s">
        <v>5453</v>
      </c>
      <c r="C240" t="s">
        <v>7265</v>
      </c>
      <c r="D240">
        <v>36.200000000000003</v>
      </c>
      <c r="E240">
        <v>36.200000000000003</v>
      </c>
      <c r="F240" s="47">
        <v>0.95</v>
      </c>
      <c r="G240">
        <v>25</v>
      </c>
      <c r="H240">
        <v>100</v>
      </c>
      <c r="I240">
        <v>16446</v>
      </c>
      <c r="K240" t="s">
        <v>5454</v>
      </c>
      <c r="L240" t="s">
        <v>5256</v>
      </c>
      <c r="M240" t="s">
        <v>7266</v>
      </c>
      <c r="N240">
        <v>32.200000000000003</v>
      </c>
      <c r="O240">
        <v>32.200000000000003</v>
      </c>
      <c r="P240" s="47">
        <v>0.73</v>
      </c>
      <c r="Q240">
        <v>384</v>
      </c>
      <c r="R240">
        <v>100</v>
      </c>
      <c r="S240">
        <v>4445687</v>
      </c>
      <c r="V240" t="s">
        <v>5455</v>
      </c>
      <c r="W240" t="s">
        <v>4646</v>
      </c>
      <c r="X240" t="s">
        <v>7267</v>
      </c>
      <c r="Y240">
        <v>42.1</v>
      </c>
      <c r="Z240">
        <v>42.1</v>
      </c>
      <c r="AA240" s="47">
        <v>1</v>
      </c>
      <c r="AB240">
        <v>0.8</v>
      </c>
      <c r="AC240">
        <v>96</v>
      </c>
      <c r="AD240">
        <v>16606</v>
      </c>
    </row>
    <row r="241" spans="1:30" x14ac:dyDescent="0.2">
      <c r="A241" t="s">
        <v>5456</v>
      </c>
      <c r="B241" t="s">
        <v>2719</v>
      </c>
      <c r="C241" t="s">
        <v>7268</v>
      </c>
      <c r="D241">
        <v>36.200000000000003</v>
      </c>
      <c r="E241">
        <v>36.200000000000003</v>
      </c>
      <c r="F241" s="47">
        <v>0.95</v>
      </c>
      <c r="G241">
        <v>25</v>
      </c>
      <c r="H241">
        <v>100</v>
      </c>
      <c r="I241">
        <v>16857</v>
      </c>
      <c r="K241" t="s">
        <v>5457</v>
      </c>
      <c r="L241" t="s">
        <v>5217</v>
      </c>
      <c r="M241" t="s">
        <v>7269</v>
      </c>
      <c r="N241">
        <v>32.200000000000003</v>
      </c>
      <c r="O241">
        <v>32.200000000000003</v>
      </c>
      <c r="P241" s="47">
        <v>0.73</v>
      </c>
      <c r="Q241">
        <v>384</v>
      </c>
      <c r="R241">
        <v>100</v>
      </c>
      <c r="S241">
        <v>5785766</v>
      </c>
      <c r="V241" t="s">
        <v>5458</v>
      </c>
      <c r="W241" t="s">
        <v>5459</v>
      </c>
      <c r="X241" t="s">
        <v>7270</v>
      </c>
      <c r="Y241">
        <v>42.1</v>
      </c>
      <c r="Z241">
        <v>42.1</v>
      </c>
      <c r="AA241" s="47">
        <v>1</v>
      </c>
      <c r="AB241">
        <v>0.8</v>
      </c>
      <c r="AC241">
        <v>96</v>
      </c>
      <c r="AD241">
        <v>16599</v>
      </c>
    </row>
    <row r="242" spans="1:30" x14ac:dyDescent="0.2">
      <c r="A242" t="s">
        <v>5460</v>
      </c>
      <c r="B242" t="s">
        <v>5461</v>
      </c>
      <c r="C242" t="s">
        <v>7271</v>
      </c>
      <c r="D242">
        <v>36.200000000000003</v>
      </c>
      <c r="E242">
        <v>36.200000000000003</v>
      </c>
      <c r="F242" s="47">
        <v>0.95</v>
      </c>
      <c r="G242">
        <v>25</v>
      </c>
      <c r="H242">
        <v>100</v>
      </c>
      <c r="I242">
        <v>16683</v>
      </c>
      <c r="K242" t="s">
        <v>5462</v>
      </c>
      <c r="L242" t="s">
        <v>5065</v>
      </c>
      <c r="M242" t="s">
        <v>7272</v>
      </c>
      <c r="N242">
        <v>32.200000000000003</v>
      </c>
      <c r="O242">
        <v>32.200000000000003</v>
      </c>
      <c r="P242" s="47">
        <v>0.73</v>
      </c>
      <c r="Q242">
        <v>384</v>
      </c>
      <c r="R242">
        <v>100</v>
      </c>
      <c r="S242">
        <v>5289395</v>
      </c>
      <c r="V242" t="s">
        <v>5463</v>
      </c>
      <c r="W242" t="s">
        <v>2940</v>
      </c>
      <c r="X242" t="s">
        <v>7273</v>
      </c>
      <c r="Y242">
        <v>42.1</v>
      </c>
      <c r="Z242">
        <v>42.1</v>
      </c>
      <c r="AA242" s="47">
        <v>1</v>
      </c>
      <c r="AB242">
        <v>0.8</v>
      </c>
      <c r="AC242">
        <v>96</v>
      </c>
      <c r="AD242">
        <v>16505</v>
      </c>
    </row>
    <row r="243" spans="1:30" x14ac:dyDescent="0.2">
      <c r="A243" t="s">
        <v>5464</v>
      </c>
      <c r="B243" t="s">
        <v>4734</v>
      </c>
      <c r="C243" t="s">
        <v>7274</v>
      </c>
      <c r="D243">
        <v>36.200000000000003</v>
      </c>
      <c r="E243">
        <v>36.200000000000003</v>
      </c>
      <c r="F243" s="47">
        <v>0.95</v>
      </c>
      <c r="G243">
        <v>25</v>
      </c>
      <c r="H243">
        <v>100</v>
      </c>
      <c r="I243">
        <v>945</v>
      </c>
      <c r="K243" t="s">
        <v>5465</v>
      </c>
      <c r="L243" t="s">
        <v>5065</v>
      </c>
      <c r="M243" t="s">
        <v>7275</v>
      </c>
      <c r="N243">
        <v>32.200000000000003</v>
      </c>
      <c r="O243">
        <v>32.200000000000003</v>
      </c>
      <c r="P243" s="47">
        <v>0.73</v>
      </c>
      <c r="Q243">
        <v>384</v>
      </c>
      <c r="R243">
        <v>100</v>
      </c>
      <c r="S243">
        <v>5297040</v>
      </c>
      <c r="V243" t="s">
        <v>5466</v>
      </c>
      <c r="W243" t="s">
        <v>4597</v>
      </c>
      <c r="X243" t="s">
        <v>7276</v>
      </c>
      <c r="Y243">
        <v>42.1</v>
      </c>
      <c r="Z243">
        <v>42.1</v>
      </c>
      <c r="AA243" s="47">
        <v>1</v>
      </c>
      <c r="AB243">
        <v>0.8</v>
      </c>
      <c r="AC243">
        <v>96</v>
      </c>
      <c r="AD243">
        <v>1812</v>
      </c>
    </row>
    <row r="244" spans="1:30" x14ac:dyDescent="0.2">
      <c r="A244" t="s">
        <v>5467</v>
      </c>
      <c r="B244" t="s">
        <v>5354</v>
      </c>
      <c r="C244" t="s">
        <v>7277</v>
      </c>
      <c r="D244">
        <v>36.200000000000003</v>
      </c>
      <c r="E244">
        <v>36.200000000000003</v>
      </c>
      <c r="F244" s="47">
        <v>0.95</v>
      </c>
      <c r="G244">
        <v>25</v>
      </c>
      <c r="H244">
        <v>100</v>
      </c>
      <c r="I244">
        <v>801</v>
      </c>
      <c r="K244" t="s">
        <v>5468</v>
      </c>
      <c r="L244" t="s">
        <v>5469</v>
      </c>
      <c r="M244" t="s">
        <v>7278</v>
      </c>
      <c r="N244">
        <v>32.200000000000003</v>
      </c>
      <c r="O244">
        <v>32.200000000000003</v>
      </c>
      <c r="P244" s="47">
        <v>0.73</v>
      </c>
      <c r="Q244">
        <v>384</v>
      </c>
      <c r="R244">
        <v>100</v>
      </c>
      <c r="S244">
        <v>2025576</v>
      </c>
      <c r="V244" t="s">
        <v>4749</v>
      </c>
      <c r="W244" t="s">
        <v>4640</v>
      </c>
      <c r="X244" t="s">
        <v>7279</v>
      </c>
      <c r="Y244">
        <v>42.1</v>
      </c>
      <c r="Z244">
        <v>42.1</v>
      </c>
      <c r="AA244" s="47">
        <v>1</v>
      </c>
      <c r="AB244">
        <v>0.8</v>
      </c>
      <c r="AC244">
        <v>96</v>
      </c>
      <c r="AD244">
        <v>16526</v>
      </c>
    </row>
    <row r="245" spans="1:30" x14ac:dyDescent="0.2">
      <c r="A245" t="s">
        <v>5470</v>
      </c>
      <c r="B245" t="s">
        <v>4801</v>
      </c>
      <c r="C245" t="s">
        <v>7280</v>
      </c>
      <c r="D245">
        <v>36.200000000000003</v>
      </c>
      <c r="E245">
        <v>36.200000000000003</v>
      </c>
      <c r="F245" s="47">
        <v>0.95</v>
      </c>
      <c r="G245">
        <v>25</v>
      </c>
      <c r="H245">
        <v>100</v>
      </c>
      <c r="I245">
        <v>1166</v>
      </c>
      <c r="K245" t="s">
        <v>5471</v>
      </c>
      <c r="L245" t="s">
        <v>5472</v>
      </c>
      <c r="M245" t="s">
        <v>7281</v>
      </c>
      <c r="N245">
        <v>32.200000000000003</v>
      </c>
      <c r="O245">
        <v>32.200000000000003</v>
      </c>
      <c r="P245" s="47">
        <v>0.91</v>
      </c>
      <c r="Q245">
        <v>384</v>
      </c>
      <c r="R245">
        <v>95</v>
      </c>
      <c r="S245">
        <v>623</v>
      </c>
      <c r="V245" t="s">
        <v>5391</v>
      </c>
      <c r="W245" t="s">
        <v>4946</v>
      </c>
      <c r="X245" t="s">
        <v>7282</v>
      </c>
      <c r="Y245">
        <v>42.1</v>
      </c>
      <c r="Z245">
        <v>42.1</v>
      </c>
      <c r="AA245" s="47">
        <v>1</v>
      </c>
      <c r="AB245">
        <v>0.8</v>
      </c>
      <c r="AC245">
        <v>96</v>
      </c>
      <c r="AD245">
        <v>16785</v>
      </c>
    </row>
    <row r="246" spans="1:30" x14ac:dyDescent="0.2">
      <c r="A246" t="s">
        <v>5473</v>
      </c>
      <c r="B246" t="s">
        <v>4633</v>
      </c>
      <c r="C246" t="s">
        <v>7283</v>
      </c>
      <c r="D246">
        <v>36.200000000000003</v>
      </c>
      <c r="E246">
        <v>36.200000000000003</v>
      </c>
      <c r="F246" s="47">
        <v>0.95</v>
      </c>
      <c r="G246">
        <v>25</v>
      </c>
      <c r="H246">
        <v>100</v>
      </c>
      <c r="I246">
        <v>16598</v>
      </c>
      <c r="K246" t="s">
        <v>5474</v>
      </c>
      <c r="L246" t="s">
        <v>3986</v>
      </c>
      <c r="M246" t="s">
        <v>7284</v>
      </c>
      <c r="N246">
        <v>32.200000000000003</v>
      </c>
      <c r="O246">
        <v>32.200000000000003</v>
      </c>
      <c r="P246" s="47">
        <v>0.91</v>
      </c>
      <c r="Q246">
        <v>384</v>
      </c>
      <c r="R246">
        <v>95</v>
      </c>
      <c r="S246">
        <v>2144</v>
      </c>
      <c r="V246" t="s">
        <v>5475</v>
      </c>
      <c r="W246" t="s">
        <v>4597</v>
      </c>
      <c r="X246" t="s">
        <v>7285</v>
      </c>
      <c r="Y246">
        <v>42.1</v>
      </c>
      <c r="Z246">
        <v>42.1</v>
      </c>
      <c r="AA246" s="47">
        <v>1</v>
      </c>
      <c r="AB246">
        <v>0.8</v>
      </c>
      <c r="AC246">
        <v>96</v>
      </c>
      <c r="AD246">
        <v>1812</v>
      </c>
    </row>
    <row r="247" spans="1:30" x14ac:dyDescent="0.2">
      <c r="A247" t="s">
        <v>5476</v>
      </c>
      <c r="B247" t="s">
        <v>4711</v>
      </c>
      <c r="C247" t="s">
        <v>7286</v>
      </c>
      <c r="D247">
        <v>36.200000000000003</v>
      </c>
      <c r="E247">
        <v>36.200000000000003</v>
      </c>
      <c r="F247" s="47">
        <v>0.95</v>
      </c>
      <c r="G247">
        <v>25</v>
      </c>
      <c r="H247">
        <v>100</v>
      </c>
      <c r="I247">
        <v>16473</v>
      </c>
      <c r="K247" t="s">
        <v>5477</v>
      </c>
      <c r="L247" t="s">
        <v>5478</v>
      </c>
      <c r="M247" t="s">
        <v>7287</v>
      </c>
      <c r="N247">
        <v>32.200000000000003</v>
      </c>
      <c r="O247">
        <v>32.200000000000003</v>
      </c>
      <c r="P247" s="47">
        <v>0.73</v>
      </c>
      <c r="Q247">
        <v>384</v>
      </c>
      <c r="R247">
        <v>100</v>
      </c>
      <c r="S247">
        <v>8543337</v>
      </c>
      <c r="V247" t="s">
        <v>5479</v>
      </c>
      <c r="W247" t="s">
        <v>4646</v>
      </c>
      <c r="X247" t="s">
        <v>7288</v>
      </c>
      <c r="Y247">
        <v>42.1</v>
      </c>
      <c r="Z247">
        <v>42.1</v>
      </c>
      <c r="AA247" s="47">
        <v>1</v>
      </c>
      <c r="AB247">
        <v>0.8</v>
      </c>
      <c r="AC247">
        <v>96</v>
      </c>
      <c r="AD247">
        <v>16605</v>
      </c>
    </row>
    <row r="248" spans="1:30" x14ac:dyDescent="0.2">
      <c r="A248" t="s">
        <v>5480</v>
      </c>
      <c r="B248" t="s">
        <v>5481</v>
      </c>
      <c r="C248" t="s">
        <v>7289</v>
      </c>
      <c r="D248">
        <v>36.200000000000003</v>
      </c>
      <c r="E248">
        <v>36.200000000000003</v>
      </c>
      <c r="F248" s="47">
        <v>0.95</v>
      </c>
      <c r="G248">
        <v>25</v>
      </c>
      <c r="H248">
        <v>100</v>
      </c>
      <c r="I248">
        <v>16493</v>
      </c>
      <c r="K248" t="s">
        <v>5482</v>
      </c>
      <c r="L248" t="s">
        <v>5483</v>
      </c>
      <c r="M248" t="s">
        <v>7290</v>
      </c>
      <c r="N248">
        <v>32.200000000000003</v>
      </c>
      <c r="O248">
        <v>32.200000000000003</v>
      </c>
      <c r="P248" s="47">
        <v>0.91</v>
      </c>
      <c r="Q248">
        <v>384</v>
      </c>
      <c r="R248">
        <v>95</v>
      </c>
      <c r="S248">
        <v>1280</v>
      </c>
      <c r="V248" t="s">
        <v>5484</v>
      </c>
      <c r="W248" t="s">
        <v>4646</v>
      </c>
      <c r="X248" t="s">
        <v>7291</v>
      </c>
      <c r="Y248">
        <v>42.1</v>
      </c>
      <c r="Z248">
        <v>42.1</v>
      </c>
      <c r="AA248" s="47">
        <v>1</v>
      </c>
      <c r="AB248">
        <v>0.8</v>
      </c>
      <c r="AC248">
        <v>96</v>
      </c>
      <c r="AD248">
        <v>16602</v>
      </c>
    </row>
    <row r="249" spans="1:30" x14ac:dyDescent="0.2">
      <c r="A249" t="s">
        <v>5144</v>
      </c>
      <c r="B249" t="s">
        <v>2272</v>
      </c>
      <c r="C249" t="s">
        <v>7292</v>
      </c>
      <c r="D249">
        <v>36.200000000000003</v>
      </c>
      <c r="E249">
        <v>36.200000000000003</v>
      </c>
      <c r="F249" s="47">
        <v>0.95</v>
      </c>
      <c r="G249">
        <v>25</v>
      </c>
      <c r="H249">
        <v>100</v>
      </c>
      <c r="I249">
        <v>16558</v>
      </c>
      <c r="K249" t="s">
        <v>5485</v>
      </c>
      <c r="L249" t="s">
        <v>5486</v>
      </c>
      <c r="M249" t="s">
        <v>7293</v>
      </c>
      <c r="N249">
        <v>32.200000000000003</v>
      </c>
      <c r="O249">
        <v>32.200000000000003</v>
      </c>
      <c r="P249" s="47">
        <v>0.91</v>
      </c>
      <c r="Q249">
        <v>384</v>
      </c>
      <c r="R249">
        <v>95</v>
      </c>
      <c r="S249">
        <v>558</v>
      </c>
      <c r="V249" t="s">
        <v>5487</v>
      </c>
      <c r="W249" t="s">
        <v>5488</v>
      </c>
      <c r="X249" t="s">
        <v>7294</v>
      </c>
      <c r="Y249">
        <v>42.1</v>
      </c>
      <c r="Z249">
        <v>42.1</v>
      </c>
      <c r="AA249" s="47">
        <v>1</v>
      </c>
      <c r="AB249">
        <v>0.8</v>
      </c>
      <c r="AC249">
        <v>96</v>
      </c>
      <c r="AD249">
        <v>17138</v>
      </c>
    </row>
    <row r="250" spans="1:30" x14ac:dyDescent="0.2">
      <c r="A250" t="s">
        <v>5489</v>
      </c>
      <c r="B250" t="s">
        <v>5490</v>
      </c>
      <c r="C250" t="s">
        <v>7295</v>
      </c>
      <c r="D250">
        <v>36.200000000000003</v>
      </c>
      <c r="E250">
        <v>36.200000000000003</v>
      </c>
      <c r="F250" s="47">
        <v>0.95</v>
      </c>
      <c r="G250">
        <v>25</v>
      </c>
      <c r="H250">
        <v>100</v>
      </c>
      <c r="I250">
        <v>16672</v>
      </c>
      <c r="K250" t="s">
        <v>5308</v>
      </c>
      <c r="L250" t="s">
        <v>5194</v>
      </c>
      <c r="M250" t="s">
        <v>7296</v>
      </c>
      <c r="N250">
        <v>32.200000000000003</v>
      </c>
      <c r="O250">
        <v>32.200000000000003</v>
      </c>
      <c r="P250" s="47">
        <v>0.73</v>
      </c>
      <c r="Q250">
        <v>384</v>
      </c>
      <c r="R250">
        <v>100</v>
      </c>
      <c r="S250">
        <v>5625488</v>
      </c>
      <c r="V250" t="s">
        <v>4668</v>
      </c>
      <c r="W250" t="s">
        <v>4669</v>
      </c>
      <c r="X250" t="s">
        <v>7297</v>
      </c>
      <c r="Y250">
        <v>42.1</v>
      </c>
      <c r="Z250">
        <v>42.1</v>
      </c>
      <c r="AA250" s="47">
        <v>1</v>
      </c>
      <c r="AB250">
        <v>0.8</v>
      </c>
      <c r="AC250">
        <v>96</v>
      </c>
      <c r="AD250">
        <v>16608</v>
      </c>
    </row>
    <row r="251" spans="1:30" x14ac:dyDescent="0.2">
      <c r="A251" t="s">
        <v>5491</v>
      </c>
      <c r="B251" t="s">
        <v>5492</v>
      </c>
      <c r="C251" t="s">
        <v>7298</v>
      </c>
      <c r="D251">
        <v>36.200000000000003</v>
      </c>
      <c r="E251">
        <v>36.200000000000003</v>
      </c>
      <c r="F251" s="47">
        <v>0.95</v>
      </c>
      <c r="G251">
        <v>25</v>
      </c>
      <c r="H251">
        <v>100</v>
      </c>
      <c r="I251">
        <v>16938</v>
      </c>
      <c r="K251" t="s">
        <v>5493</v>
      </c>
      <c r="L251" t="s">
        <v>5286</v>
      </c>
      <c r="M251" t="s">
        <v>7299</v>
      </c>
      <c r="N251">
        <v>32.200000000000003</v>
      </c>
      <c r="O251">
        <v>32.200000000000003</v>
      </c>
      <c r="P251" s="47">
        <v>0.73</v>
      </c>
      <c r="Q251">
        <v>384</v>
      </c>
      <c r="R251">
        <v>100</v>
      </c>
      <c r="S251">
        <v>87381</v>
      </c>
      <c r="V251" t="s">
        <v>5494</v>
      </c>
      <c r="W251" t="s">
        <v>4646</v>
      </c>
      <c r="X251" t="s">
        <v>7300</v>
      </c>
      <c r="Y251">
        <v>42.1</v>
      </c>
      <c r="Z251">
        <v>42.1</v>
      </c>
      <c r="AA251" s="47">
        <v>1</v>
      </c>
      <c r="AB251">
        <v>0.8</v>
      </c>
      <c r="AC251">
        <v>96</v>
      </c>
      <c r="AD251">
        <v>16606</v>
      </c>
    </row>
    <row r="252" spans="1:30" x14ac:dyDescent="0.2">
      <c r="A252" t="s">
        <v>5495</v>
      </c>
      <c r="B252" t="s">
        <v>5453</v>
      </c>
      <c r="C252" t="s">
        <v>7301</v>
      </c>
      <c r="D252">
        <v>36.200000000000003</v>
      </c>
      <c r="E252">
        <v>36.200000000000003</v>
      </c>
      <c r="F252" s="47">
        <v>0.95</v>
      </c>
      <c r="G252">
        <v>25</v>
      </c>
      <c r="H252">
        <v>100</v>
      </c>
      <c r="I252">
        <v>16489</v>
      </c>
      <c r="K252" t="s">
        <v>5496</v>
      </c>
      <c r="L252" t="s">
        <v>5065</v>
      </c>
      <c r="M252" t="s">
        <v>7302</v>
      </c>
      <c r="N252">
        <v>32.200000000000003</v>
      </c>
      <c r="O252">
        <v>32.200000000000003</v>
      </c>
      <c r="P252" s="47">
        <v>0.73</v>
      </c>
      <c r="Q252">
        <v>384</v>
      </c>
      <c r="R252">
        <v>100</v>
      </c>
      <c r="S252">
        <v>5204505</v>
      </c>
      <c r="V252" t="s">
        <v>5497</v>
      </c>
      <c r="W252" t="s">
        <v>5498</v>
      </c>
      <c r="X252" t="s">
        <v>7303</v>
      </c>
      <c r="Y252">
        <v>42.1</v>
      </c>
      <c r="Z252">
        <v>42.1</v>
      </c>
      <c r="AA252" s="47">
        <v>1</v>
      </c>
      <c r="AB252">
        <v>0.8</v>
      </c>
      <c r="AC252">
        <v>96</v>
      </c>
      <c r="AD252">
        <v>16868</v>
      </c>
    </row>
    <row r="253" spans="1:30" x14ac:dyDescent="0.2">
      <c r="A253" t="s">
        <v>5499</v>
      </c>
      <c r="B253" t="s">
        <v>4711</v>
      </c>
      <c r="C253" t="s">
        <v>7304</v>
      </c>
      <c r="D253">
        <v>36.200000000000003</v>
      </c>
      <c r="E253">
        <v>36.200000000000003</v>
      </c>
      <c r="F253" s="47">
        <v>0.95</v>
      </c>
      <c r="G253">
        <v>25</v>
      </c>
      <c r="H253">
        <v>100</v>
      </c>
      <c r="I253">
        <v>16473</v>
      </c>
      <c r="K253" t="s">
        <v>5500</v>
      </c>
      <c r="L253" t="s">
        <v>5501</v>
      </c>
      <c r="M253" t="s">
        <v>7305</v>
      </c>
      <c r="N253">
        <v>32.200000000000003</v>
      </c>
      <c r="O253">
        <v>32.200000000000003</v>
      </c>
      <c r="P253" s="47">
        <v>0.73</v>
      </c>
      <c r="Q253">
        <v>384</v>
      </c>
      <c r="R253">
        <v>100</v>
      </c>
      <c r="S253">
        <v>6570176</v>
      </c>
      <c r="V253" t="s">
        <v>5502</v>
      </c>
      <c r="W253" t="s">
        <v>4597</v>
      </c>
      <c r="X253" t="s">
        <v>7306</v>
      </c>
      <c r="Y253">
        <v>42.1</v>
      </c>
      <c r="Z253">
        <v>42.1</v>
      </c>
      <c r="AA253" s="47">
        <v>1</v>
      </c>
      <c r="AB253">
        <v>0.8</v>
      </c>
      <c r="AC253">
        <v>96</v>
      </c>
      <c r="AD253">
        <v>1812</v>
      </c>
    </row>
    <row r="254" spans="1:30" x14ac:dyDescent="0.2">
      <c r="A254" t="s">
        <v>5503</v>
      </c>
      <c r="B254" t="s">
        <v>2280</v>
      </c>
      <c r="C254" t="s">
        <v>7307</v>
      </c>
      <c r="D254">
        <v>36.200000000000003</v>
      </c>
      <c r="E254">
        <v>36.200000000000003</v>
      </c>
      <c r="F254" s="47">
        <v>0.95</v>
      </c>
      <c r="G254">
        <v>25</v>
      </c>
      <c r="H254">
        <v>100</v>
      </c>
      <c r="I254">
        <v>16530</v>
      </c>
      <c r="K254" t="s">
        <v>5504</v>
      </c>
      <c r="L254" t="s">
        <v>3589</v>
      </c>
      <c r="M254" t="s">
        <v>7308</v>
      </c>
      <c r="N254">
        <v>32.200000000000003</v>
      </c>
      <c r="O254">
        <v>32.200000000000003</v>
      </c>
      <c r="P254" s="47">
        <v>0.73</v>
      </c>
      <c r="Q254">
        <v>384</v>
      </c>
      <c r="R254">
        <v>100</v>
      </c>
      <c r="S254">
        <v>37086507</v>
      </c>
      <c r="V254" t="s">
        <v>5505</v>
      </c>
      <c r="W254" t="s">
        <v>5506</v>
      </c>
      <c r="X254" t="s">
        <v>7309</v>
      </c>
      <c r="Y254">
        <v>42.1</v>
      </c>
      <c r="Z254">
        <v>42.1</v>
      </c>
      <c r="AA254" s="47">
        <v>1</v>
      </c>
      <c r="AB254">
        <v>0.8</v>
      </c>
      <c r="AC254">
        <v>96</v>
      </c>
      <c r="AD254">
        <v>16610</v>
      </c>
    </row>
    <row r="255" spans="1:30" x14ac:dyDescent="0.2">
      <c r="A255" t="s">
        <v>5507</v>
      </c>
      <c r="B255" t="s">
        <v>2459</v>
      </c>
      <c r="C255" t="s">
        <v>7310</v>
      </c>
      <c r="D255">
        <v>36.200000000000003</v>
      </c>
      <c r="E255">
        <v>36.200000000000003</v>
      </c>
      <c r="F255" s="47">
        <v>0.95</v>
      </c>
      <c r="G255">
        <v>25</v>
      </c>
      <c r="H255">
        <v>100</v>
      </c>
      <c r="I255">
        <v>16498</v>
      </c>
      <c r="K255" t="s">
        <v>5508</v>
      </c>
      <c r="L255" t="s">
        <v>3546</v>
      </c>
      <c r="M255" t="s">
        <v>7311</v>
      </c>
      <c r="N255">
        <v>32.200000000000003</v>
      </c>
      <c r="O255">
        <v>32.200000000000003</v>
      </c>
      <c r="P255" s="47">
        <v>0.73</v>
      </c>
      <c r="Q255">
        <v>384</v>
      </c>
      <c r="R255">
        <v>100</v>
      </c>
      <c r="S255">
        <v>172241</v>
      </c>
      <c r="V255" t="s">
        <v>5509</v>
      </c>
      <c r="W255" t="s">
        <v>4832</v>
      </c>
      <c r="X255" t="s">
        <v>7312</v>
      </c>
      <c r="Y255">
        <v>42.1</v>
      </c>
      <c r="Z255">
        <v>42.1</v>
      </c>
      <c r="AA255" s="47">
        <v>0.84</v>
      </c>
      <c r="AB255">
        <v>0.8</v>
      </c>
      <c r="AC255">
        <v>100</v>
      </c>
      <c r="AD255">
        <v>1791</v>
      </c>
    </row>
    <row r="256" spans="1:30" x14ac:dyDescent="0.2">
      <c r="P256" s="47"/>
      <c r="AA256" s="47"/>
    </row>
    <row r="257" spans="16:27" x14ac:dyDescent="0.2">
      <c r="P257" s="47"/>
      <c r="AA257" s="47"/>
    </row>
    <row r="258" spans="16:27" x14ac:dyDescent="0.2">
      <c r="P258" s="47"/>
      <c r="AA258" s="47"/>
    </row>
    <row r="259" spans="16:27" x14ac:dyDescent="0.2">
      <c r="P259" s="47"/>
      <c r="AA259" s="47"/>
    </row>
    <row r="260" spans="16:27" x14ac:dyDescent="0.2">
      <c r="P260" s="47"/>
      <c r="AA260" s="47"/>
    </row>
    <row r="261" spans="16:27" x14ac:dyDescent="0.2">
      <c r="P261" s="47"/>
      <c r="AA261" s="47"/>
    </row>
    <row r="262" spans="16:27" x14ac:dyDescent="0.2">
      <c r="P262" s="47"/>
      <c r="AA262" s="47"/>
    </row>
    <row r="263" spans="16:27" x14ac:dyDescent="0.2">
      <c r="P263" s="47"/>
      <c r="AA263" s="47"/>
    </row>
    <row r="264" spans="16:27" x14ac:dyDescent="0.2">
      <c r="P264" s="47"/>
      <c r="AA264" s="47"/>
    </row>
    <row r="265" spans="16:27" x14ac:dyDescent="0.2">
      <c r="P265" s="47"/>
      <c r="AA265" s="47"/>
    </row>
    <row r="266" spans="16:27" x14ac:dyDescent="0.2">
      <c r="P266" s="47"/>
      <c r="AA266" s="47"/>
    </row>
    <row r="267" spans="16:27" x14ac:dyDescent="0.2">
      <c r="P267" s="47"/>
      <c r="AA267" s="47"/>
    </row>
    <row r="268" spans="16:27" x14ac:dyDescent="0.2">
      <c r="P268" s="47"/>
      <c r="AA268" s="47"/>
    </row>
    <row r="269" spans="16:27" x14ac:dyDescent="0.2">
      <c r="P269" s="47"/>
      <c r="AA269" s="47"/>
    </row>
    <row r="270" spans="16:27" x14ac:dyDescent="0.2">
      <c r="P270" s="47"/>
      <c r="AA270" s="47"/>
    </row>
    <row r="271" spans="16:27" x14ac:dyDescent="0.2">
      <c r="P271" s="47"/>
      <c r="AA271" s="47"/>
    </row>
    <row r="272" spans="16:27" x14ac:dyDescent="0.2">
      <c r="P272" s="47"/>
      <c r="AA272" s="47"/>
    </row>
    <row r="273" spans="16:27" x14ac:dyDescent="0.2">
      <c r="P273" s="47"/>
      <c r="AA273" s="47"/>
    </row>
    <row r="274" spans="16:27" x14ac:dyDescent="0.2">
      <c r="P274" s="47"/>
      <c r="AA274" s="47"/>
    </row>
    <row r="275" spans="16:27" x14ac:dyDescent="0.2">
      <c r="P275" s="47"/>
      <c r="AA275" s="47"/>
    </row>
    <row r="276" spans="16:27" x14ac:dyDescent="0.2">
      <c r="P276" s="47"/>
      <c r="AA276" s="47"/>
    </row>
    <row r="277" spans="16:27" x14ac:dyDescent="0.2">
      <c r="P277" s="47"/>
      <c r="AA277" s="47"/>
    </row>
    <row r="278" spans="16:27" x14ac:dyDescent="0.2">
      <c r="P278" s="47"/>
      <c r="AA278" s="47"/>
    </row>
    <row r="279" spans="16:27" x14ac:dyDescent="0.2">
      <c r="P279" s="47"/>
      <c r="AA279" s="47"/>
    </row>
    <row r="280" spans="16:27" x14ac:dyDescent="0.2">
      <c r="P280" s="47"/>
      <c r="AA280" s="47"/>
    </row>
    <row r="281" spans="16:27" x14ac:dyDescent="0.2">
      <c r="P281" s="47"/>
      <c r="AA281" s="47"/>
    </row>
    <row r="282" spans="16:27" x14ac:dyDescent="0.2">
      <c r="P282" s="47"/>
      <c r="AA282" s="47"/>
    </row>
    <row r="283" spans="16:27" x14ac:dyDescent="0.2">
      <c r="P283" s="47"/>
      <c r="AA283" s="47"/>
    </row>
    <row r="284" spans="16:27" x14ac:dyDescent="0.2">
      <c r="P284" s="47"/>
      <c r="AA284" s="47"/>
    </row>
    <row r="285" spans="16:27" x14ac:dyDescent="0.2">
      <c r="P285" s="47"/>
      <c r="AA285" s="47"/>
    </row>
    <row r="286" spans="16:27" x14ac:dyDescent="0.2">
      <c r="P286" s="47"/>
      <c r="AA286" s="47"/>
    </row>
    <row r="287" spans="16:27" x14ac:dyDescent="0.2">
      <c r="P287" s="47"/>
      <c r="AA287" s="47"/>
    </row>
    <row r="288" spans="16:27" x14ac:dyDescent="0.2">
      <c r="P288" s="47"/>
      <c r="AA288" s="47"/>
    </row>
    <row r="289" spans="16:27" x14ac:dyDescent="0.2">
      <c r="P289" s="47"/>
      <c r="AA289" s="47"/>
    </row>
    <row r="290" spans="16:27" x14ac:dyDescent="0.2">
      <c r="P290" s="47"/>
      <c r="AA290" s="47"/>
    </row>
    <row r="291" spans="16:27" x14ac:dyDescent="0.2">
      <c r="P291" s="47"/>
      <c r="AA291" s="47"/>
    </row>
    <row r="292" spans="16:27" x14ac:dyDescent="0.2">
      <c r="P292" s="47"/>
      <c r="AA292" s="47"/>
    </row>
    <row r="293" spans="16:27" x14ac:dyDescent="0.2">
      <c r="P293" s="47"/>
      <c r="AA293" s="47"/>
    </row>
    <row r="294" spans="16:27" x14ac:dyDescent="0.2">
      <c r="P294" s="47"/>
      <c r="AA294" s="47"/>
    </row>
    <row r="295" spans="16:27" x14ac:dyDescent="0.2">
      <c r="P295" s="47"/>
      <c r="AA295" s="47"/>
    </row>
    <row r="296" spans="16:27" x14ac:dyDescent="0.2">
      <c r="P296" s="47"/>
      <c r="AA296" s="47"/>
    </row>
    <row r="297" spans="16:27" x14ac:dyDescent="0.2">
      <c r="P297" s="47"/>
      <c r="AA297" s="47"/>
    </row>
    <row r="298" spans="16:27" x14ac:dyDescent="0.2">
      <c r="P298" s="47"/>
      <c r="AA298" s="47"/>
    </row>
    <row r="299" spans="16:27" x14ac:dyDescent="0.2">
      <c r="P299" s="47"/>
      <c r="AA299" s="47"/>
    </row>
    <row r="300" spans="16:27" x14ac:dyDescent="0.2">
      <c r="P300" s="47"/>
      <c r="AA300" s="47"/>
    </row>
    <row r="301" spans="16:27" x14ac:dyDescent="0.2">
      <c r="P301" s="47"/>
      <c r="AA301" s="47"/>
    </row>
    <row r="302" spans="16:27" x14ac:dyDescent="0.2">
      <c r="P302" s="47"/>
      <c r="AA302" s="47"/>
    </row>
    <row r="303" spans="16:27" x14ac:dyDescent="0.2">
      <c r="P303" s="47"/>
      <c r="AA303" s="47"/>
    </row>
    <row r="304" spans="16:27" x14ac:dyDescent="0.2">
      <c r="P304" s="47"/>
      <c r="AA304" s="47"/>
    </row>
    <row r="305" spans="16:27" x14ac:dyDescent="0.2">
      <c r="P305" s="47"/>
      <c r="AA305" s="47"/>
    </row>
    <row r="306" spans="16:27" x14ac:dyDescent="0.2">
      <c r="P306" s="47"/>
      <c r="AA306" s="47"/>
    </row>
    <row r="307" spans="16:27" x14ac:dyDescent="0.2">
      <c r="P307" s="47"/>
      <c r="AA307" s="47"/>
    </row>
    <row r="308" spans="16:27" x14ac:dyDescent="0.2">
      <c r="P308" s="47"/>
      <c r="AA308" s="47"/>
    </row>
    <row r="309" spans="16:27" x14ac:dyDescent="0.2">
      <c r="P309" s="47"/>
      <c r="AA309" s="47"/>
    </row>
    <row r="310" spans="16:27" x14ac:dyDescent="0.2">
      <c r="P310" s="47"/>
      <c r="AA310" s="47"/>
    </row>
    <row r="311" spans="16:27" x14ac:dyDescent="0.2">
      <c r="P311" s="47"/>
      <c r="AA311" s="47"/>
    </row>
    <row r="312" spans="16:27" x14ac:dyDescent="0.2">
      <c r="P312" s="47"/>
      <c r="AA312" s="47"/>
    </row>
    <row r="313" spans="16:27" x14ac:dyDescent="0.2">
      <c r="P313" s="47"/>
      <c r="AA313" s="47"/>
    </row>
    <row r="314" spans="16:27" x14ac:dyDescent="0.2">
      <c r="P314" s="47"/>
      <c r="AA314" s="47"/>
    </row>
    <row r="315" spans="16:27" x14ac:dyDescent="0.2">
      <c r="P315" s="47"/>
      <c r="AA315" s="47"/>
    </row>
    <row r="316" spans="16:27" x14ac:dyDescent="0.2">
      <c r="P316" s="47"/>
      <c r="AA316" s="47"/>
    </row>
    <row r="317" spans="16:27" x14ac:dyDescent="0.2">
      <c r="P317" s="47"/>
      <c r="AA317" s="47"/>
    </row>
    <row r="318" spans="16:27" x14ac:dyDescent="0.2">
      <c r="P318" s="47"/>
      <c r="AA318" s="47"/>
    </row>
    <row r="319" spans="16:27" x14ac:dyDescent="0.2">
      <c r="P319" s="47"/>
      <c r="AA319" s="47"/>
    </row>
    <row r="320" spans="16:27" x14ac:dyDescent="0.2">
      <c r="P320" s="47"/>
      <c r="AA320" s="47"/>
    </row>
    <row r="321" spans="16:27" x14ac:dyDescent="0.2">
      <c r="P321" s="47"/>
      <c r="AA321" s="47"/>
    </row>
    <row r="322" spans="16:27" x14ac:dyDescent="0.2">
      <c r="P322" s="47"/>
      <c r="AA322" s="47"/>
    </row>
    <row r="323" spans="16:27" x14ac:dyDescent="0.2">
      <c r="P323" s="47"/>
      <c r="AA323" s="47"/>
    </row>
    <row r="324" spans="16:27" x14ac:dyDescent="0.2">
      <c r="P324" s="47"/>
      <c r="AA324" s="47"/>
    </row>
    <row r="325" spans="16:27" x14ac:dyDescent="0.2">
      <c r="P325" s="47"/>
      <c r="AA325" s="47"/>
    </row>
    <row r="326" spans="16:27" x14ac:dyDescent="0.2">
      <c r="P326" s="47"/>
      <c r="AA326" s="47"/>
    </row>
    <row r="327" spans="16:27" x14ac:dyDescent="0.2">
      <c r="P327" s="47"/>
      <c r="AA327" s="47"/>
    </row>
    <row r="328" spans="16:27" x14ac:dyDescent="0.2">
      <c r="P328" s="47"/>
      <c r="AA328" s="47"/>
    </row>
    <row r="329" spans="16:27" x14ac:dyDescent="0.2">
      <c r="P329" s="47"/>
      <c r="AA329" s="47"/>
    </row>
    <row r="330" spans="16:27" x14ac:dyDescent="0.2">
      <c r="P330" s="47"/>
      <c r="AA330" s="47"/>
    </row>
    <row r="331" spans="16:27" x14ac:dyDescent="0.2">
      <c r="P331" s="47"/>
      <c r="AA331" s="47"/>
    </row>
    <row r="332" spans="16:27" x14ac:dyDescent="0.2">
      <c r="P332" s="47"/>
      <c r="AA332" s="47"/>
    </row>
    <row r="333" spans="16:27" x14ac:dyDescent="0.2">
      <c r="P333" s="47"/>
      <c r="AA333" s="47"/>
    </row>
    <row r="334" spans="16:27" x14ac:dyDescent="0.2">
      <c r="P334" s="47"/>
      <c r="AA334" s="47"/>
    </row>
    <row r="335" spans="16:27" x14ac:dyDescent="0.2">
      <c r="P335" s="47"/>
      <c r="AA335" s="47"/>
    </row>
    <row r="336" spans="16:27" x14ac:dyDescent="0.2">
      <c r="P336" s="47"/>
      <c r="AA336" s="47"/>
    </row>
    <row r="337" spans="16:27" x14ac:dyDescent="0.2">
      <c r="P337" s="47"/>
      <c r="AA337" s="47"/>
    </row>
    <row r="338" spans="16:27" x14ac:dyDescent="0.2">
      <c r="P338" s="47"/>
      <c r="AA338" s="47"/>
    </row>
    <row r="339" spans="16:27" x14ac:dyDescent="0.2">
      <c r="P339" s="47"/>
      <c r="AA339" s="47"/>
    </row>
    <row r="340" spans="16:27" x14ac:dyDescent="0.2">
      <c r="P340" s="47"/>
      <c r="AA340" s="47"/>
    </row>
    <row r="341" spans="16:27" x14ac:dyDescent="0.2">
      <c r="P341" s="47"/>
      <c r="AA341" s="47"/>
    </row>
    <row r="342" spans="16:27" x14ac:dyDescent="0.2">
      <c r="P342" s="47"/>
      <c r="AA342" s="47"/>
    </row>
    <row r="343" spans="16:27" x14ac:dyDescent="0.2">
      <c r="P343" s="47"/>
      <c r="AA343" s="47"/>
    </row>
    <row r="344" spans="16:27" x14ac:dyDescent="0.2">
      <c r="P344" s="47"/>
      <c r="AA344" s="47"/>
    </row>
    <row r="345" spans="16:27" x14ac:dyDescent="0.2">
      <c r="P345" s="47"/>
      <c r="AA345" s="47"/>
    </row>
    <row r="346" spans="16:27" x14ac:dyDescent="0.2">
      <c r="P346" s="47"/>
      <c r="AA346" s="47"/>
    </row>
    <row r="347" spans="16:27" x14ac:dyDescent="0.2">
      <c r="P347" s="47"/>
      <c r="AA347" s="47"/>
    </row>
    <row r="348" spans="16:27" x14ac:dyDescent="0.2">
      <c r="P348" s="47"/>
      <c r="AA348" s="47"/>
    </row>
    <row r="349" spans="16:27" x14ac:dyDescent="0.2">
      <c r="P349" s="47"/>
      <c r="AA349" s="47"/>
    </row>
    <row r="350" spans="16:27" x14ac:dyDescent="0.2">
      <c r="P350" s="47"/>
      <c r="AA350" s="47"/>
    </row>
    <row r="351" spans="16:27" x14ac:dyDescent="0.2">
      <c r="P351" s="47"/>
      <c r="AA351" s="47"/>
    </row>
    <row r="352" spans="16:27" x14ac:dyDescent="0.2">
      <c r="P352" s="47"/>
      <c r="AA352" s="47"/>
    </row>
    <row r="353" spans="16:27" x14ac:dyDescent="0.2">
      <c r="P353" s="47"/>
      <c r="AA353" s="47"/>
    </row>
    <row r="354" spans="16:27" x14ac:dyDescent="0.2">
      <c r="P354" s="47"/>
      <c r="AA354" s="47"/>
    </row>
    <row r="355" spans="16:27" x14ac:dyDescent="0.2">
      <c r="P355" s="47"/>
      <c r="AA355" s="47"/>
    </row>
    <row r="356" spans="16:27" x14ac:dyDescent="0.2">
      <c r="P356" s="47"/>
      <c r="AA356" s="47"/>
    </row>
    <row r="357" spans="16:27" x14ac:dyDescent="0.2">
      <c r="P357" s="47"/>
      <c r="AA357" s="47"/>
    </row>
    <row r="358" spans="16:27" x14ac:dyDescent="0.2">
      <c r="P358" s="47"/>
      <c r="AA358" s="47"/>
    </row>
    <row r="359" spans="16:27" x14ac:dyDescent="0.2">
      <c r="P359" s="47"/>
      <c r="AA359" s="47"/>
    </row>
    <row r="360" spans="16:27" x14ac:dyDescent="0.2">
      <c r="P360" s="47"/>
      <c r="AA360" s="47"/>
    </row>
    <row r="361" spans="16:27" x14ac:dyDescent="0.2">
      <c r="P361" s="47"/>
      <c r="AA361" s="47"/>
    </row>
    <row r="362" spans="16:27" x14ac:dyDescent="0.2">
      <c r="P362" s="47"/>
      <c r="AA362" s="47"/>
    </row>
    <row r="363" spans="16:27" x14ac:dyDescent="0.2">
      <c r="P363" s="47"/>
      <c r="AA363" s="47"/>
    </row>
    <row r="364" spans="16:27" x14ac:dyDescent="0.2">
      <c r="P364" s="47"/>
      <c r="AA364" s="47"/>
    </row>
    <row r="365" spans="16:27" x14ac:dyDescent="0.2">
      <c r="P365" s="47"/>
      <c r="AA365" s="47"/>
    </row>
    <row r="366" spans="16:27" x14ac:dyDescent="0.2">
      <c r="P366" s="47"/>
      <c r="AA366" s="47"/>
    </row>
    <row r="367" spans="16:27" x14ac:dyDescent="0.2">
      <c r="P367" s="47"/>
      <c r="AA367" s="47"/>
    </row>
    <row r="368" spans="16:27" x14ac:dyDescent="0.2">
      <c r="P368" s="47"/>
      <c r="AA368" s="47"/>
    </row>
    <row r="369" spans="16:27" x14ac:dyDescent="0.2">
      <c r="P369" s="47"/>
      <c r="AA369" s="47"/>
    </row>
    <row r="370" spans="16:27" x14ac:dyDescent="0.2">
      <c r="P370" s="47"/>
      <c r="AA370" s="47"/>
    </row>
    <row r="371" spans="16:27" x14ac:dyDescent="0.2">
      <c r="P371" s="47"/>
      <c r="AA371" s="47"/>
    </row>
    <row r="372" spans="16:27" x14ac:dyDescent="0.2">
      <c r="P372" s="47"/>
      <c r="AA372" s="47"/>
    </row>
    <row r="373" spans="16:27" x14ac:dyDescent="0.2">
      <c r="P373" s="47"/>
      <c r="AA373" s="47"/>
    </row>
    <row r="374" spans="16:27" x14ac:dyDescent="0.2">
      <c r="P374" s="47"/>
      <c r="AA374" s="47"/>
    </row>
    <row r="375" spans="16:27" x14ac:dyDescent="0.2">
      <c r="P375" s="47"/>
      <c r="AA375" s="47"/>
    </row>
    <row r="376" spans="16:27" x14ac:dyDescent="0.2">
      <c r="P376" s="47"/>
      <c r="AA376" s="47"/>
    </row>
    <row r="377" spans="16:27" x14ac:dyDescent="0.2">
      <c r="P377" s="47"/>
      <c r="AA377" s="47"/>
    </row>
    <row r="378" spans="16:27" x14ac:dyDescent="0.2">
      <c r="P378" s="47"/>
      <c r="AA378" s="47"/>
    </row>
    <row r="379" spans="16:27" x14ac:dyDescent="0.2">
      <c r="P379" s="47"/>
      <c r="AA379" s="47"/>
    </row>
    <row r="380" spans="16:27" x14ac:dyDescent="0.2">
      <c r="P380" s="47"/>
      <c r="AA380" s="47"/>
    </row>
    <row r="381" spans="16:27" x14ac:dyDescent="0.2">
      <c r="P381" s="47"/>
      <c r="AA381" s="47"/>
    </row>
    <row r="382" spans="16:27" x14ac:dyDescent="0.2">
      <c r="P382" s="47"/>
      <c r="AA382" s="47"/>
    </row>
    <row r="383" spans="16:27" x14ac:dyDescent="0.2">
      <c r="P383" s="47"/>
      <c r="AA383" s="47"/>
    </row>
    <row r="384" spans="16:27" x14ac:dyDescent="0.2">
      <c r="P384" s="47"/>
      <c r="AA384" s="47"/>
    </row>
    <row r="385" spans="16:27" x14ac:dyDescent="0.2">
      <c r="P385" s="47"/>
      <c r="AA385" s="47"/>
    </row>
    <row r="386" spans="16:27" x14ac:dyDescent="0.2">
      <c r="P386" s="47"/>
      <c r="AA386" s="47"/>
    </row>
    <row r="387" spans="16:27" x14ac:dyDescent="0.2">
      <c r="P387" s="47"/>
      <c r="AA387" s="47"/>
    </row>
    <row r="388" spans="16:27" x14ac:dyDescent="0.2">
      <c r="P388" s="47"/>
      <c r="AA388" s="47"/>
    </row>
    <row r="389" spans="16:27" x14ac:dyDescent="0.2">
      <c r="P389" s="47"/>
      <c r="AA389" s="47"/>
    </row>
    <row r="390" spans="16:27" x14ac:dyDescent="0.2">
      <c r="P390" s="47"/>
      <c r="AA390" s="47"/>
    </row>
    <row r="391" spans="16:27" x14ac:dyDescent="0.2">
      <c r="P391" s="47"/>
      <c r="AA391" s="47"/>
    </row>
    <row r="392" spans="16:27" x14ac:dyDescent="0.2">
      <c r="P392" s="47"/>
      <c r="AA392" s="47"/>
    </row>
    <row r="393" spans="16:27" x14ac:dyDescent="0.2">
      <c r="P393" s="47"/>
      <c r="AA393" s="47"/>
    </row>
    <row r="394" spans="16:27" x14ac:dyDescent="0.2">
      <c r="P394" s="47"/>
      <c r="AA394" s="47"/>
    </row>
    <row r="395" spans="16:27" x14ac:dyDescent="0.2">
      <c r="P395" s="47"/>
      <c r="AA395" s="47"/>
    </row>
    <row r="396" spans="16:27" x14ac:dyDescent="0.2">
      <c r="P396" s="47"/>
      <c r="AA396" s="47"/>
    </row>
    <row r="397" spans="16:27" x14ac:dyDescent="0.2">
      <c r="P397" s="47"/>
      <c r="AA397" s="47"/>
    </row>
    <row r="398" spans="16:27" x14ac:dyDescent="0.2">
      <c r="P398" s="47"/>
      <c r="AA398" s="47"/>
    </row>
    <row r="399" spans="16:27" x14ac:dyDescent="0.2">
      <c r="P399" s="47"/>
      <c r="AA399" s="47"/>
    </row>
    <row r="400" spans="16:27" x14ac:dyDescent="0.2">
      <c r="P400" s="47"/>
      <c r="AA400" s="47"/>
    </row>
    <row r="401" spans="16:27" x14ac:dyDescent="0.2">
      <c r="P401" s="47"/>
      <c r="AA401" s="47"/>
    </row>
    <row r="402" spans="16:27" x14ac:dyDescent="0.2">
      <c r="P402" s="47"/>
      <c r="AA402" s="47"/>
    </row>
    <row r="403" spans="16:27" x14ac:dyDescent="0.2">
      <c r="P403" s="47"/>
      <c r="AA403" s="47"/>
    </row>
    <row r="404" spans="16:27" x14ac:dyDescent="0.2">
      <c r="P404" s="47"/>
      <c r="AA404" s="47"/>
    </row>
    <row r="405" spans="16:27" x14ac:dyDescent="0.2">
      <c r="P405" s="47"/>
      <c r="AA405" s="47"/>
    </row>
    <row r="406" spans="16:27" x14ac:dyDescent="0.2">
      <c r="AA406" s="47"/>
    </row>
    <row r="407" spans="16:27" x14ac:dyDescent="0.2">
      <c r="AA407" s="47"/>
    </row>
    <row r="408" spans="16:27" x14ac:dyDescent="0.2">
      <c r="AA408" s="47"/>
    </row>
    <row r="409" spans="16:27" x14ac:dyDescent="0.2">
      <c r="AA409" s="47"/>
    </row>
    <row r="410" spans="16:27" x14ac:dyDescent="0.2">
      <c r="AA410" s="47"/>
    </row>
    <row r="411" spans="16:27" x14ac:dyDescent="0.2">
      <c r="AA411" s="47"/>
    </row>
    <row r="412" spans="16:27" x14ac:dyDescent="0.2">
      <c r="AA412" s="47"/>
    </row>
    <row r="413" spans="16:27" x14ac:dyDescent="0.2">
      <c r="AA413" s="47"/>
    </row>
    <row r="414" spans="16:27" x14ac:dyDescent="0.2">
      <c r="AA414" s="47"/>
    </row>
    <row r="415" spans="16:27" x14ac:dyDescent="0.2">
      <c r="AA415" s="47"/>
    </row>
    <row r="416" spans="16:27" x14ac:dyDescent="0.2">
      <c r="AA416" s="47"/>
    </row>
    <row r="417" spans="27:27" x14ac:dyDescent="0.2">
      <c r="AA417" s="47"/>
    </row>
    <row r="418" spans="27:27" x14ac:dyDescent="0.2">
      <c r="AA418" s="47"/>
    </row>
    <row r="419" spans="27:27" x14ac:dyDescent="0.2">
      <c r="AA419" s="47"/>
    </row>
    <row r="420" spans="27:27" x14ac:dyDescent="0.2">
      <c r="AA420" s="47"/>
    </row>
    <row r="421" spans="27:27" x14ac:dyDescent="0.2">
      <c r="AA421" s="47"/>
    </row>
    <row r="422" spans="27:27" x14ac:dyDescent="0.2">
      <c r="AA422" s="47"/>
    </row>
    <row r="423" spans="27:27" x14ac:dyDescent="0.2">
      <c r="AA423" s="47"/>
    </row>
    <row r="424" spans="27:27" x14ac:dyDescent="0.2">
      <c r="AA424" s="47"/>
    </row>
    <row r="425" spans="27:27" x14ac:dyDescent="0.2">
      <c r="AA425" s="47"/>
    </row>
    <row r="426" spans="27:27" x14ac:dyDescent="0.2">
      <c r="AA426" s="47"/>
    </row>
    <row r="427" spans="27:27" x14ac:dyDescent="0.2">
      <c r="AA427" s="47"/>
    </row>
    <row r="428" spans="27:27" x14ac:dyDescent="0.2">
      <c r="AA428" s="47"/>
    </row>
    <row r="429" spans="27:27" x14ac:dyDescent="0.2">
      <c r="AA429" s="47"/>
    </row>
    <row r="430" spans="27:27" x14ac:dyDescent="0.2">
      <c r="AA430" s="47"/>
    </row>
    <row r="431" spans="27:27" x14ac:dyDescent="0.2">
      <c r="AA431" s="47"/>
    </row>
    <row r="432" spans="27:27" x14ac:dyDescent="0.2">
      <c r="AA432" s="47"/>
    </row>
    <row r="433" spans="27:27" x14ac:dyDescent="0.2">
      <c r="AA433" s="47"/>
    </row>
    <row r="434" spans="27:27" x14ac:dyDescent="0.2">
      <c r="AA434" s="47"/>
    </row>
    <row r="435" spans="27:27" x14ac:dyDescent="0.2">
      <c r="AA435" s="47"/>
    </row>
    <row r="436" spans="27:27" x14ac:dyDescent="0.2">
      <c r="AA436" s="47"/>
    </row>
    <row r="437" spans="27:27" x14ac:dyDescent="0.2">
      <c r="AA437" s="47"/>
    </row>
    <row r="438" spans="27:27" x14ac:dyDescent="0.2">
      <c r="AA438" s="47"/>
    </row>
    <row r="439" spans="27:27" x14ac:dyDescent="0.2">
      <c r="AA439" s="47"/>
    </row>
    <row r="440" spans="27:27" x14ac:dyDescent="0.2">
      <c r="AA440" s="47"/>
    </row>
    <row r="441" spans="27:27" x14ac:dyDescent="0.2">
      <c r="AA441" s="47"/>
    </row>
    <row r="442" spans="27:27" x14ac:dyDescent="0.2">
      <c r="AA442" s="47"/>
    </row>
    <row r="443" spans="27:27" x14ac:dyDescent="0.2">
      <c r="AA443" s="47"/>
    </row>
    <row r="444" spans="27:27" x14ac:dyDescent="0.2">
      <c r="AA444" s="47"/>
    </row>
    <row r="445" spans="27:27" x14ac:dyDescent="0.2">
      <c r="AA445" s="47"/>
    </row>
    <row r="446" spans="27:27" x14ac:dyDescent="0.2">
      <c r="AA446" s="47"/>
    </row>
    <row r="447" spans="27:27" x14ac:dyDescent="0.2">
      <c r="AA447" s="47"/>
    </row>
    <row r="448" spans="27:27" x14ac:dyDescent="0.2">
      <c r="AA448" s="47"/>
    </row>
    <row r="449" spans="27:27" x14ac:dyDescent="0.2">
      <c r="AA449" s="47"/>
    </row>
    <row r="450" spans="27:27" x14ac:dyDescent="0.2">
      <c r="AA450" s="47"/>
    </row>
    <row r="451" spans="27:27" x14ac:dyDescent="0.2">
      <c r="AA451" s="47"/>
    </row>
    <row r="452" spans="27:27" x14ac:dyDescent="0.2">
      <c r="AA452" s="47"/>
    </row>
    <row r="453" spans="27:27" x14ac:dyDescent="0.2">
      <c r="AA453" s="47"/>
    </row>
    <row r="454" spans="27:27" x14ac:dyDescent="0.2">
      <c r="AA454" s="47"/>
    </row>
    <row r="455" spans="27:27" x14ac:dyDescent="0.2">
      <c r="AA455" s="47"/>
    </row>
    <row r="456" spans="27:27" x14ac:dyDescent="0.2">
      <c r="AA456" s="47"/>
    </row>
    <row r="457" spans="27:27" x14ac:dyDescent="0.2">
      <c r="AA457" s="47"/>
    </row>
    <row r="458" spans="27:27" x14ac:dyDescent="0.2">
      <c r="AA458" s="47"/>
    </row>
    <row r="459" spans="27:27" x14ac:dyDescent="0.2">
      <c r="AA459" s="47"/>
    </row>
    <row r="460" spans="27:27" x14ac:dyDescent="0.2">
      <c r="AA460" s="47"/>
    </row>
    <row r="461" spans="27:27" x14ac:dyDescent="0.2">
      <c r="AA461" s="47"/>
    </row>
    <row r="462" spans="27:27" x14ac:dyDescent="0.2">
      <c r="AA462" s="47"/>
    </row>
    <row r="463" spans="27:27" x14ac:dyDescent="0.2">
      <c r="AA463" s="47"/>
    </row>
    <row r="464" spans="27:27" x14ac:dyDescent="0.2">
      <c r="AA464" s="47"/>
    </row>
    <row r="465" spans="27:27" x14ac:dyDescent="0.2">
      <c r="AA465" s="47"/>
    </row>
    <row r="466" spans="27:27" x14ac:dyDescent="0.2">
      <c r="AA466" s="47"/>
    </row>
    <row r="467" spans="27:27" x14ac:dyDescent="0.2">
      <c r="AA467" s="47"/>
    </row>
    <row r="468" spans="27:27" x14ac:dyDescent="0.2">
      <c r="AA468" s="47"/>
    </row>
    <row r="469" spans="27:27" x14ac:dyDescent="0.2">
      <c r="AA469" s="47"/>
    </row>
    <row r="470" spans="27:27" x14ac:dyDescent="0.2">
      <c r="AA470" s="47"/>
    </row>
    <row r="471" spans="27:27" x14ac:dyDescent="0.2">
      <c r="AA471" s="47"/>
    </row>
    <row r="472" spans="27:27" x14ac:dyDescent="0.2">
      <c r="AA472" s="47"/>
    </row>
    <row r="473" spans="27:27" x14ac:dyDescent="0.2">
      <c r="AA473" s="47"/>
    </row>
    <row r="474" spans="27:27" x14ac:dyDescent="0.2">
      <c r="AA474" s="47"/>
    </row>
    <row r="475" spans="27:27" x14ac:dyDescent="0.2">
      <c r="AA475" s="47"/>
    </row>
    <row r="476" spans="27:27" x14ac:dyDescent="0.2">
      <c r="AA476" s="47"/>
    </row>
    <row r="477" spans="27:27" x14ac:dyDescent="0.2">
      <c r="AA477" s="47"/>
    </row>
    <row r="478" spans="27:27" x14ac:dyDescent="0.2">
      <c r="AA478" s="47"/>
    </row>
    <row r="479" spans="27:27" x14ac:dyDescent="0.2">
      <c r="AA479" s="47"/>
    </row>
    <row r="480" spans="27:27" x14ac:dyDescent="0.2">
      <c r="AA480" s="47"/>
    </row>
    <row r="481" spans="27:27" x14ac:dyDescent="0.2">
      <c r="AA481" s="47"/>
    </row>
    <row r="482" spans="27:27" x14ac:dyDescent="0.2">
      <c r="AA482" s="47"/>
    </row>
    <row r="483" spans="27:27" x14ac:dyDescent="0.2">
      <c r="AA483" s="47"/>
    </row>
    <row r="484" spans="27:27" x14ac:dyDescent="0.2">
      <c r="AA484" s="47"/>
    </row>
    <row r="485" spans="27:27" x14ac:dyDescent="0.2">
      <c r="AA485" s="47"/>
    </row>
    <row r="486" spans="27:27" x14ac:dyDescent="0.2">
      <c r="AA486" s="47"/>
    </row>
    <row r="487" spans="27:27" x14ac:dyDescent="0.2">
      <c r="AA487" s="47"/>
    </row>
    <row r="488" spans="27:27" x14ac:dyDescent="0.2">
      <c r="AA488" s="47"/>
    </row>
    <row r="489" spans="27:27" x14ac:dyDescent="0.2">
      <c r="AA489" s="47"/>
    </row>
    <row r="490" spans="27:27" x14ac:dyDescent="0.2">
      <c r="AA490" s="47"/>
    </row>
    <row r="491" spans="27:27" x14ac:dyDescent="0.2">
      <c r="AA491" s="47"/>
    </row>
    <row r="492" spans="27:27" x14ac:dyDescent="0.2">
      <c r="AA492" s="47"/>
    </row>
    <row r="493" spans="27:27" x14ac:dyDescent="0.2">
      <c r="AA493" s="47"/>
    </row>
    <row r="494" spans="27:27" x14ac:dyDescent="0.2">
      <c r="AA494" s="47"/>
    </row>
    <row r="495" spans="27:27" x14ac:dyDescent="0.2">
      <c r="AA495" s="47"/>
    </row>
    <row r="496" spans="27:27" x14ac:dyDescent="0.2">
      <c r="AA496" s="47"/>
    </row>
    <row r="497" spans="27:27" x14ac:dyDescent="0.2">
      <c r="AA497" s="47"/>
    </row>
    <row r="498" spans="27:27" x14ac:dyDescent="0.2">
      <c r="AA498" s="47"/>
    </row>
    <row r="499" spans="27:27" x14ac:dyDescent="0.2">
      <c r="AA499" s="47"/>
    </row>
    <row r="500" spans="27:27" x14ac:dyDescent="0.2">
      <c r="AA500" s="47"/>
    </row>
    <row r="501" spans="27:27" x14ac:dyDescent="0.2">
      <c r="AA501" s="47"/>
    </row>
    <row r="502" spans="27:27" x14ac:dyDescent="0.2">
      <c r="AA502" s="47"/>
    </row>
    <row r="503" spans="27:27" x14ac:dyDescent="0.2">
      <c r="AA503" s="47"/>
    </row>
    <row r="504" spans="27:27" x14ac:dyDescent="0.2">
      <c r="AA504" s="47"/>
    </row>
    <row r="505" spans="27:27" x14ac:dyDescent="0.2">
      <c r="AA505" s="47"/>
    </row>
    <row r="506" spans="27:27" x14ac:dyDescent="0.2">
      <c r="AA506" s="47"/>
    </row>
    <row r="507" spans="27:27" x14ac:dyDescent="0.2">
      <c r="AA507" s="47"/>
    </row>
    <row r="508" spans="27:27" x14ac:dyDescent="0.2">
      <c r="AA508" s="47"/>
    </row>
    <row r="509" spans="27:27" x14ac:dyDescent="0.2">
      <c r="AA509" s="47"/>
    </row>
    <row r="510" spans="27:27" x14ac:dyDescent="0.2">
      <c r="AA510" s="47"/>
    </row>
    <row r="511" spans="27:27" x14ac:dyDescent="0.2">
      <c r="AA511" s="47"/>
    </row>
    <row r="512" spans="27:27" x14ac:dyDescent="0.2">
      <c r="AA512" s="47"/>
    </row>
    <row r="513" spans="27:27" x14ac:dyDescent="0.2">
      <c r="AA513" s="47"/>
    </row>
    <row r="514" spans="27:27" x14ac:dyDescent="0.2">
      <c r="AA514" s="47"/>
    </row>
    <row r="515" spans="27:27" x14ac:dyDescent="0.2">
      <c r="AA515" s="47"/>
    </row>
    <row r="516" spans="27:27" x14ac:dyDescent="0.2">
      <c r="AA516" s="47"/>
    </row>
    <row r="517" spans="27:27" x14ac:dyDescent="0.2">
      <c r="AA517" s="47"/>
    </row>
    <row r="518" spans="27:27" x14ac:dyDescent="0.2">
      <c r="AA518" s="47"/>
    </row>
    <row r="519" spans="27:27" x14ac:dyDescent="0.2">
      <c r="AA519" s="47"/>
    </row>
    <row r="520" spans="27:27" x14ac:dyDescent="0.2">
      <c r="AA520" s="47"/>
    </row>
    <row r="521" spans="27:27" x14ac:dyDescent="0.2">
      <c r="AA521" s="47"/>
    </row>
    <row r="522" spans="27:27" x14ac:dyDescent="0.2">
      <c r="AA522" s="47"/>
    </row>
    <row r="523" spans="27:27" x14ac:dyDescent="0.2">
      <c r="AA523" s="47"/>
    </row>
    <row r="524" spans="27:27" x14ac:dyDescent="0.2">
      <c r="AA524" s="47"/>
    </row>
    <row r="525" spans="27:27" x14ac:dyDescent="0.2">
      <c r="AA525" s="47"/>
    </row>
    <row r="526" spans="27:27" x14ac:dyDescent="0.2">
      <c r="AA526" s="47"/>
    </row>
    <row r="527" spans="27:27" x14ac:dyDescent="0.2">
      <c r="AA527" s="47"/>
    </row>
    <row r="528" spans="27:27" x14ac:dyDescent="0.2">
      <c r="AA528" s="47"/>
    </row>
    <row r="529" spans="27:27" x14ac:dyDescent="0.2">
      <c r="AA529" s="47"/>
    </row>
    <row r="530" spans="27:27" x14ac:dyDescent="0.2">
      <c r="AA530" s="47"/>
    </row>
    <row r="531" spans="27:27" x14ac:dyDescent="0.2">
      <c r="AA531" s="47"/>
    </row>
    <row r="532" spans="27:27" x14ac:dyDescent="0.2">
      <c r="AA532" s="47"/>
    </row>
    <row r="533" spans="27:27" x14ac:dyDescent="0.2">
      <c r="AA533" s="47"/>
    </row>
    <row r="534" spans="27:27" x14ac:dyDescent="0.2">
      <c r="AA534" s="47"/>
    </row>
    <row r="535" spans="27:27" x14ac:dyDescent="0.2">
      <c r="AA535" s="47"/>
    </row>
    <row r="536" spans="27:27" x14ac:dyDescent="0.2">
      <c r="AA536" s="47"/>
    </row>
    <row r="537" spans="27:27" x14ac:dyDescent="0.2">
      <c r="AA537" s="47"/>
    </row>
    <row r="538" spans="27:27" x14ac:dyDescent="0.2">
      <c r="AA538" s="47"/>
    </row>
    <row r="539" spans="27:27" x14ac:dyDescent="0.2">
      <c r="AA539" s="47"/>
    </row>
    <row r="540" spans="27:27" x14ac:dyDescent="0.2">
      <c r="AA540" s="47"/>
    </row>
    <row r="541" spans="27:27" x14ac:dyDescent="0.2">
      <c r="AA541" s="47"/>
    </row>
    <row r="542" spans="27:27" x14ac:dyDescent="0.2">
      <c r="AA542" s="47"/>
    </row>
    <row r="543" spans="27:27" x14ac:dyDescent="0.2">
      <c r="AA543" s="47"/>
    </row>
    <row r="544" spans="27:27" x14ac:dyDescent="0.2">
      <c r="AA544" s="47"/>
    </row>
    <row r="545" spans="27:27" x14ac:dyDescent="0.2">
      <c r="AA545" s="47"/>
    </row>
    <row r="546" spans="27:27" x14ac:dyDescent="0.2">
      <c r="AA546" s="47"/>
    </row>
    <row r="547" spans="27:27" x14ac:dyDescent="0.2">
      <c r="AA547" s="47"/>
    </row>
    <row r="548" spans="27:27" x14ac:dyDescent="0.2">
      <c r="AA548" s="47"/>
    </row>
    <row r="549" spans="27:27" x14ac:dyDescent="0.2">
      <c r="AA549" s="47"/>
    </row>
    <row r="550" spans="27:27" x14ac:dyDescent="0.2">
      <c r="AA550" s="47"/>
    </row>
    <row r="551" spans="27:27" x14ac:dyDescent="0.2">
      <c r="AA551" s="47"/>
    </row>
    <row r="552" spans="27:27" x14ac:dyDescent="0.2">
      <c r="AA552" s="47"/>
    </row>
    <row r="553" spans="27:27" x14ac:dyDescent="0.2">
      <c r="AA553" s="47"/>
    </row>
    <row r="554" spans="27:27" x14ac:dyDescent="0.2">
      <c r="AA554" s="47"/>
    </row>
    <row r="555" spans="27:27" x14ac:dyDescent="0.2">
      <c r="AA555" s="47"/>
    </row>
    <row r="556" spans="27:27" x14ac:dyDescent="0.2">
      <c r="AA556" s="47"/>
    </row>
    <row r="557" spans="27:27" x14ac:dyDescent="0.2">
      <c r="AA557" s="47"/>
    </row>
    <row r="558" spans="27:27" x14ac:dyDescent="0.2">
      <c r="AA558" s="47"/>
    </row>
    <row r="559" spans="27:27" x14ac:dyDescent="0.2">
      <c r="AA559" s="47"/>
    </row>
    <row r="560" spans="27:27" x14ac:dyDescent="0.2">
      <c r="AA560" s="47"/>
    </row>
    <row r="561" spans="27:27" x14ac:dyDescent="0.2">
      <c r="AA561" s="47"/>
    </row>
    <row r="562" spans="27:27" x14ac:dyDescent="0.2">
      <c r="AA562" s="47"/>
    </row>
    <row r="563" spans="27:27" x14ac:dyDescent="0.2">
      <c r="AA563" s="47"/>
    </row>
    <row r="564" spans="27:27" x14ac:dyDescent="0.2">
      <c r="AA564" s="47"/>
    </row>
    <row r="565" spans="27:27" x14ac:dyDescent="0.2">
      <c r="AA565" s="47"/>
    </row>
    <row r="566" spans="27:27" x14ac:dyDescent="0.2">
      <c r="AA566" s="47"/>
    </row>
    <row r="567" spans="27:27" x14ac:dyDescent="0.2">
      <c r="AA567" s="47"/>
    </row>
    <row r="568" spans="27:27" x14ac:dyDescent="0.2">
      <c r="AA568" s="47"/>
    </row>
    <row r="569" spans="27:27" x14ac:dyDescent="0.2">
      <c r="AA569" s="47"/>
    </row>
    <row r="570" spans="27:27" x14ac:dyDescent="0.2">
      <c r="AA570" s="47"/>
    </row>
    <row r="571" spans="27:27" x14ac:dyDescent="0.2">
      <c r="AA571" s="47"/>
    </row>
    <row r="572" spans="27:27" x14ac:dyDescent="0.2">
      <c r="AA572" s="47"/>
    </row>
    <row r="573" spans="27:27" x14ac:dyDescent="0.2">
      <c r="AA573" s="47"/>
    </row>
    <row r="574" spans="27:27" x14ac:dyDescent="0.2">
      <c r="AA574" s="47"/>
    </row>
    <row r="575" spans="27:27" x14ac:dyDescent="0.2">
      <c r="AA575" s="47"/>
    </row>
    <row r="576" spans="27:27" x14ac:dyDescent="0.2">
      <c r="AA576" s="47"/>
    </row>
    <row r="577" spans="27:27" x14ac:dyDescent="0.2">
      <c r="AA577" s="47"/>
    </row>
    <row r="578" spans="27:27" x14ac:dyDescent="0.2">
      <c r="AA578" s="47"/>
    </row>
    <row r="579" spans="27:27" x14ac:dyDescent="0.2">
      <c r="AA579" s="47"/>
    </row>
    <row r="580" spans="27:27" x14ac:dyDescent="0.2">
      <c r="AA580" s="47"/>
    </row>
    <row r="581" spans="27:27" x14ac:dyDescent="0.2">
      <c r="AA581" s="47"/>
    </row>
    <row r="582" spans="27:27" x14ac:dyDescent="0.2">
      <c r="AA582" s="47"/>
    </row>
    <row r="583" spans="27:27" x14ac:dyDescent="0.2">
      <c r="AA583" s="47"/>
    </row>
    <row r="584" spans="27:27" x14ac:dyDescent="0.2">
      <c r="AA584" s="47"/>
    </row>
    <row r="585" spans="27:27" x14ac:dyDescent="0.2">
      <c r="AA585" s="47"/>
    </row>
    <row r="586" spans="27:27" x14ac:dyDescent="0.2">
      <c r="AA586" s="47"/>
    </row>
    <row r="587" spans="27:27" x14ac:dyDescent="0.2">
      <c r="AA587" s="47"/>
    </row>
    <row r="588" spans="27:27" x14ac:dyDescent="0.2">
      <c r="AA588" s="47"/>
    </row>
    <row r="589" spans="27:27" x14ac:dyDescent="0.2">
      <c r="AA589" s="47"/>
    </row>
    <row r="590" spans="27:27" x14ac:dyDescent="0.2">
      <c r="AA590" s="47"/>
    </row>
    <row r="591" spans="27:27" x14ac:dyDescent="0.2">
      <c r="AA591" s="47"/>
    </row>
    <row r="592" spans="27:27" x14ac:dyDescent="0.2">
      <c r="AA592" s="47"/>
    </row>
    <row r="593" spans="27:27" x14ac:dyDescent="0.2">
      <c r="AA593" s="47"/>
    </row>
    <row r="594" spans="27:27" x14ac:dyDescent="0.2">
      <c r="AA594" s="47"/>
    </row>
    <row r="595" spans="27:27" x14ac:dyDescent="0.2">
      <c r="AA595" s="47"/>
    </row>
    <row r="596" spans="27:27" x14ac:dyDescent="0.2">
      <c r="AA596" s="47"/>
    </row>
    <row r="597" spans="27:27" x14ac:dyDescent="0.2">
      <c r="AA597" s="47"/>
    </row>
    <row r="598" spans="27:27" x14ac:dyDescent="0.2">
      <c r="AA598" s="47"/>
    </row>
    <row r="599" spans="27:27" x14ac:dyDescent="0.2">
      <c r="AA599" s="47"/>
    </row>
    <row r="600" spans="27:27" x14ac:dyDescent="0.2">
      <c r="AA600" s="47"/>
    </row>
    <row r="601" spans="27:27" x14ac:dyDescent="0.2">
      <c r="AA601" s="47"/>
    </row>
    <row r="602" spans="27:27" x14ac:dyDescent="0.2">
      <c r="AA602" s="47"/>
    </row>
    <row r="603" spans="27:27" x14ac:dyDescent="0.2">
      <c r="AA603" s="47"/>
    </row>
    <row r="604" spans="27:27" x14ac:dyDescent="0.2">
      <c r="AA604" s="47"/>
    </row>
    <row r="605" spans="27:27" x14ac:dyDescent="0.2">
      <c r="AA605" s="47"/>
    </row>
    <row r="606" spans="27:27" x14ac:dyDescent="0.2">
      <c r="AA606" s="47"/>
    </row>
    <row r="607" spans="27:27" x14ac:dyDescent="0.2">
      <c r="AA607" s="47"/>
    </row>
    <row r="608" spans="27:27" x14ac:dyDescent="0.2">
      <c r="AA608" s="47"/>
    </row>
    <row r="609" spans="27:27" x14ac:dyDescent="0.2">
      <c r="AA609" s="47"/>
    </row>
    <row r="610" spans="27:27" x14ac:dyDescent="0.2">
      <c r="AA610" s="47"/>
    </row>
    <row r="611" spans="27:27" x14ac:dyDescent="0.2">
      <c r="AA611" s="47"/>
    </row>
    <row r="612" spans="27:27" x14ac:dyDescent="0.2">
      <c r="AA612" s="47"/>
    </row>
    <row r="613" spans="27:27" x14ac:dyDescent="0.2">
      <c r="AA613" s="47"/>
    </row>
    <row r="614" spans="27:27" x14ac:dyDescent="0.2">
      <c r="AA614" s="47"/>
    </row>
    <row r="615" spans="27:27" x14ac:dyDescent="0.2">
      <c r="AA615" s="47"/>
    </row>
    <row r="616" spans="27:27" x14ac:dyDescent="0.2">
      <c r="AA616" s="47"/>
    </row>
    <row r="617" spans="27:27" x14ac:dyDescent="0.2">
      <c r="AA617" s="47"/>
    </row>
    <row r="618" spans="27:27" x14ac:dyDescent="0.2">
      <c r="AA618" s="47"/>
    </row>
    <row r="619" spans="27:27" x14ac:dyDescent="0.2">
      <c r="AA619" s="47"/>
    </row>
    <row r="620" spans="27:27" x14ac:dyDescent="0.2">
      <c r="AA620" s="47"/>
    </row>
    <row r="621" spans="27:27" x14ac:dyDescent="0.2">
      <c r="AA621" s="47"/>
    </row>
    <row r="622" spans="27:27" x14ac:dyDescent="0.2">
      <c r="AA622" s="47"/>
    </row>
    <row r="623" spans="27:27" x14ac:dyDescent="0.2">
      <c r="AA623" s="47"/>
    </row>
    <row r="624" spans="27:27" x14ac:dyDescent="0.2">
      <c r="AA624" s="47"/>
    </row>
    <row r="625" spans="27:27" x14ac:dyDescent="0.2">
      <c r="AA625" s="47"/>
    </row>
    <row r="626" spans="27:27" x14ac:dyDescent="0.2">
      <c r="AA626" s="47"/>
    </row>
    <row r="627" spans="27:27" x14ac:dyDescent="0.2">
      <c r="AA627" s="47"/>
    </row>
    <row r="628" spans="27:27" x14ac:dyDescent="0.2">
      <c r="AA628" s="47"/>
    </row>
    <row r="629" spans="27:27" x14ac:dyDescent="0.2">
      <c r="AA629" s="47"/>
    </row>
    <row r="630" spans="27:27" x14ac:dyDescent="0.2">
      <c r="AA630" s="47"/>
    </row>
    <row r="631" spans="27:27" x14ac:dyDescent="0.2">
      <c r="AA631" s="47"/>
    </row>
    <row r="632" spans="27:27" x14ac:dyDescent="0.2">
      <c r="AA632" s="47"/>
    </row>
    <row r="633" spans="27:27" x14ac:dyDescent="0.2">
      <c r="AA633" s="47"/>
    </row>
    <row r="634" spans="27:27" x14ac:dyDescent="0.2">
      <c r="AA634" s="47"/>
    </row>
    <row r="635" spans="27:27" x14ac:dyDescent="0.2">
      <c r="AA635" s="47"/>
    </row>
    <row r="636" spans="27:27" x14ac:dyDescent="0.2">
      <c r="AA636" s="47"/>
    </row>
    <row r="637" spans="27:27" x14ac:dyDescent="0.2">
      <c r="AA637" s="47"/>
    </row>
    <row r="638" spans="27:27" x14ac:dyDescent="0.2">
      <c r="AA638" s="47"/>
    </row>
    <row r="639" spans="27:27" x14ac:dyDescent="0.2">
      <c r="AA639" s="47"/>
    </row>
    <row r="640" spans="27:27" x14ac:dyDescent="0.2">
      <c r="AA640" s="47"/>
    </row>
    <row r="641" spans="27:27" x14ac:dyDescent="0.2">
      <c r="AA641" s="47"/>
    </row>
    <row r="642" spans="27:27" x14ac:dyDescent="0.2">
      <c r="AA642" s="47"/>
    </row>
    <row r="643" spans="27:27" x14ac:dyDescent="0.2">
      <c r="AA643" s="47"/>
    </row>
    <row r="644" spans="27:27" x14ac:dyDescent="0.2">
      <c r="AA644" s="47"/>
    </row>
    <row r="645" spans="27:27" x14ac:dyDescent="0.2">
      <c r="AA645" s="47"/>
    </row>
    <row r="646" spans="27:27" x14ac:dyDescent="0.2">
      <c r="AA646" s="47"/>
    </row>
    <row r="647" spans="27:27" x14ac:dyDescent="0.2">
      <c r="AA647" s="47"/>
    </row>
    <row r="648" spans="27:27" x14ac:dyDescent="0.2">
      <c r="AA648" s="47"/>
    </row>
    <row r="649" spans="27:27" x14ac:dyDescent="0.2">
      <c r="AA649" s="47"/>
    </row>
    <row r="650" spans="27:27" x14ac:dyDescent="0.2">
      <c r="AA650" s="47"/>
    </row>
    <row r="651" spans="27:27" x14ac:dyDescent="0.2">
      <c r="AA651" s="47"/>
    </row>
    <row r="652" spans="27:27" x14ac:dyDescent="0.2">
      <c r="AA652" s="47"/>
    </row>
    <row r="653" spans="27:27" x14ac:dyDescent="0.2">
      <c r="AA653" s="47"/>
    </row>
    <row r="654" spans="27:27" x14ac:dyDescent="0.2">
      <c r="AA654" s="47"/>
    </row>
    <row r="655" spans="27:27" x14ac:dyDescent="0.2">
      <c r="AA655" s="47"/>
    </row>
    <row r="656" spans="27:27" x14ac:dyDescent="0.2">
      <c r="AA656" s="47"/>
    </row>
    <row r="657" spans="27:27" x14ac:dyDescent="0.2">
      <c r="AA657" s="47"/>
    </row>
    <row r="658" spans="27:27" x14ac:dyDescent="0.2">
      <c r="AA658" s="47"/>
    </row>
    <row r="659" spans="27:27" x14ac:dyDescent="0.2">
      <c r="AA659" s="47"/>
    </row>
    <row r="660" spans="27:27" x14ac:dyDescent="0.2">
      <c r="AA660" s="47"/>
    </row>
    <row r="661" spans="27:27" x14ac:dyDescent="0.2">
      <c r="AA661" s="47"/>
    </row>
    <row r="662" spans="27:27" x14ac:dyDescent="0.2">
      <c r="AA662" s="47"/>
    </row>
    <row r="663" spans="27:27" x14ac:dyDescent="0.2">
      <c r="AA663" s="47"/>
    </row>
    <row r="664" spans="27:27" x14ac:dyDescent="0.2">
      <c r="AA664" s="47"/>
    </row>
    <row r="665" spans="27:27" x14ac:dyDescent="0.2">
      <c r="AA665" s="47"/>
    </row>
    <row r="666" spans="27:27" x14ac:dyDescent="0.2">
      <c r="AA666" s="47"/>
    </row>
    <row r="667" spans="27:27" x14ac:dyDescent="0.2">
      <c r="AA667" s="47"/>
    </row>
    <row r="668" spans="27:27" x14ac:dyDescent="0.2">
      <c r="AA668" s="47"/>
    </row>
    <row r="669" spans="27:27" x14ac:dyDescent="0.2">
      <c r="AA669" s="47"/>
    </row>
    <row r="670" spans="27:27" x14ac:dyDescent="0.2">
      <c r="AA670" s="47"/>
    </row>
    <row r="671" spans="27:27" x14ac:dyDescent="0.2">
      <c r="AA671" s="47"/>
    </row>
    <row r="672" spans="27:27" x14ac:dyDescent="0.2">
      <c r="AA672" s="47"/>
    </row>
    <row r="673" spans="27:27" x14ac:dyDescent="0.2">
      <c r="AA673" s="47"/>
    </row>
    <row r="674" spans="27:27" x14ac:dyDescent="0.2">
      <c r="AA674" s="47"/>
    </row>
    <row r="675" spans="27:27" x14ac:dyDescent="0.2">
      <c r="AA675" s="47"/>
    </row>
    <row r="676" spans="27:27" x14ac:dyDescent="0.2">
      <c r="AA676" s="47"/>
    </row>
    <row r="677" spans="27:27" x14ac:dyDescent="0.2">
      <c r="AA677" s="47"/>
    </row>
    <row r="678" spans="27:27" x14ac:dyDescent="0.2">
      <c r="AA678" s="47"/>
    </row>
    <row r="679" spans="27:27" x14ac:dyDescent="0.2">
      <c r="AA679" s="47"/>
    </row>
    <row r="680" spans="27:27" x14ac:dyDescent="0.2">
      <c r="AA680" s="47"/>
    </row>
    <row r="681" spans="27:27" x14ac:dyDescent="0.2">
      <c r="AA681" s="47"/>
    </row>
    <row r="682" spans="27:27" x14ac:dyDescent="0.2">
      <c r="AA682" s="47"/>
    </row>
    <row r="683" spans="27:27" x14ac:dyDescent="0.2">
      <c r="AA683" s="47"/>
    </row>
    <row r="684" spans="27:27" x14ac:dyDescent="0.2">
      <c r="AA684" s="47"/>
    </row>
    <row r="685" spans="27:27" x14ac:dyDescent="0.2">
      <c r="AA685" s="47"/>
    </row>
    <row r="686" spans="27:27" x14ac:dyDescent="0.2">
      <c r="AA686" s="47"/>
    </row>
    <row r="687" spans="27:27" x14ac:dyDescent="0.2">
      <c r="AA687" s="47"/>
    </row>
    <row r="688" spans="27:27" x14ac:dyDescent="0.2">
      <c r="AA688" s="47"/>
    </row>
    <row r="689" spans="27:27" x14ac:dyDescent="0.2">
      <c r="AA689" s="47"/>
    </row>
    <row r="690" spans="27:27" x14ac:dyDescent="0.2">
      <c r="AA690" s="47"/>
    </row>
    <row r="691" spans="27:27" x14ac:dyDescent="0.2">
      <c r="AA691" s="47"/>
    </row>
    <row r="692" spans="27:27" x14ac:dyDescent="0.2">
      <c r="AA692" s="47"/>
    </row>
    <row r="693" spans="27:27" x14ac:dyDescent="0.2">
      <c r="AA693" s="47"/>
    </row>
    <row r="694" spans="27:27" x14ac:dyDescent="0.2">
      <c r="AA694" s="47"/>
    </row>
    <row r="695" spans="27:27" x14ac:dyDescent="0.2">
      <c r="AA695" s="47"/>
    </row>
    <row r="696" spans="27:27" x14ac:dyDescent="0.2">
      <c r="AA696" s="47"/>
    </row>
    <row r="697" spans="27:27" x14ac:dyDescent="0.2">
      <c r="AA697" s="47"/>
    </row>
    <row r="698" spans="27:27" x14ac:dyDescent="0.2">
      <c r="AA698" s="47"/>
    </row>
    <row r="699" spans="27:27" x14ac:dyDescent="0.2">
      <c r="AA699" s="47"/>
    </row>
    <row r="700" spans="27:27" x14ac:dyDescent="0.2">
      <c r="AA700" s="47"/>
    </row>
    <row r="701" spans="27:27" x14ac:dyDescent="0.2">
      <c r="AA701" s="47"/>
    </row>
    <row r="702" spans="27:27" x14ac:dyDescent="0.2">
      <c r="AA702" s="47"/>
    </row>
    <row r="703" spans="27:27" x14ac:dyDescent="0.2">
      <c r="AA703" s="47"/>
    </row>
    <row r="704" spans="27:27" x14ac:dyDescent="0.2">
      <c r="AA704" s="47"/>
    </row>
    <row r="705" spans="27:27" x14ac:dyDescent="0.2">
      <c r="AA705" s="47"/>
    </row>
    <row r="706" spans="27:27" x14ac:dyDescent="0.2">
      <c r="AA706" s="47"/>
    </row>
    <row r="707" spans="27:27" x14ac:dyDescent="0.2">
      <c r="AA707" s="47"/>
    </row>
    <row r="708" spans="27:27" x14ac:dyDescent="0.2">
      <c r="AA708" s="47"/>
    </row>
    <row r="709" spans="27:27" x14ac:dyDescent="0.2">
      <c r="AA709" s="47"/>
    </row>
    <row r="710" spans="27:27" x14ac:dyDescent="0.2">
      <c r="AA710" s="47"/>
    </row>
    <row r="711" spans="27:27" x14ac:dyDescent="0.2">
      <c r="AA711" s="47"/>
    </row>
    <row r="712" spans="27:27" x14ac:dyDescent="0.2">
      <c r="AA712" s="47"/>
    </row>
    <row r="713" spans="27:27" x14ac:dyDescent="0.2">
      <c r="AA713" s="47"/>
    </row>
    <row r="714" spans="27:27" x14ac:dyDescent="0.2">
      <c r="AA714" s="47"/>
    </row>
    <row r="715" spans="27:27" x14ac:dyDescent="0.2">
      <c r="AA715" s="47"/>
    </row>
    <row r="716" spans="27:27" x14ac:dyDescent="0.2">
      <c r="AA716" s="47"/>
    </row>
    <row r="717" spans="27:27" x14ac:dyDescent="0.2">
      <c r="AA717" s="47"/>
    </row>
    <row r="718" spans="27:27" x14ac:dyDescent="0.2">
      <c r="AA718" s="47"/>
    </row>
    <row r="719" spans="27:27" x14ac:dyDescent="0.2">
      <c r="AA719" s="47"/>
    </row>
    <row r="720" spans="27:27" x14ac:dyDescent="0.2">
      <c r="AA720" s="47"/>
    </row>
    <row r="721" spans="27:27" x14ac:dyDescent="0.2">
      <c r="AA721" s="47"/>
    </row>
    <row r="722" spans="27:27" x14ac:dyDescent="0.2">
      <c r="AA722" s="47"/>
    </row>
    <row r="723" spans="27:27" x14ac:dyDescent="0.2">
      <c r="AA723" s="47"/>
    </row>
    <row r="724" spans="27:27" x14ac:dyDescent="0.2">
      <c r="AA724" s="47"/>
    </row>
    <row r="725" spans="27:27" x14ac:dyDescent="0.2">
      <c r="AA725" s="47"/>
    </row>
    <row r="726" spans="27:27" x14ac:dyDescent="0.2">
      <c r="AA726" s="47"/>
    </row>
    <row r="727" spans="27:27" x14ac:dyDescent="0.2">
      <c r="AA727" s="47"/>
    </row>
    <row r="728" spans="27:27" x14ac:dyDescent="0.2">
      <c r="AA728" s="47"/>
    </row>
    <row r="729" spans="27:27" x14ac:dyDescent="0.2">
      <c r="AA729" s="47"/>
    </row>
    <row r="730" spans="27:27" x14ac:dyDescent="0.2">
      <c r="AA730" s="47"/>
    </row>
    <row r="731" spans="27:27" x14ac:dyDescent="0.2">
      <c r="AA731" s="47"/>
    </row>
    <row r="732" spans="27:27" x14ac:dyDescent="0.2">
      <c r="AA732" s="47"/>
    </row>
    <row r="733" spans="27:27" x14ac:dyDescent="0.2">
      <c r="AA733" s="47"/>
    </row>
    <row r="734" spans="27:27" x14ac:dyDescent="0.2">
      <c r="AA734" s="47"/>
    </row>
    <row r="735" spans="27:27" x14ac:dyDescent="0.2">
      <c r="AA735" s="47"/>
    </row>
    <row r="736" spans="27:27" x14ac:dyDescent="0.2">
      <c r="AA736" s="47"/>
    </row>
    <row r="737" spans="27:27" x14ac:dyDescent="0.2">
      <c r="AA737" s="47"/>
    </row>
    <row r="738" spans="27:27" x14ac:dyDescent="0.2">
      <c r="AA738" s="47"/>
    </row>
    <row r="739" spans="27:27" x14ac:dyDescent="0.2">
      <c r="AA739" s="47"/>
    </row>
    <row r="740" spans="27:27" x14ac:dyDescent="0.2">
      <c r="AA740" s="47"/>
    </row>
    <row r="741" spans="27:27" x14ac:dyDescent="0.2">
      <c r="AA741" s="47"/>
    </row>
    <row r="742" spans="27:27" x14ac:dyDescent="0.2">
      <c r="AA742" s="47"/>
    </row>
    <row r="743" spans="27:27" x14ac:dyDescent="0.2">
      <c r="AA743" s="47"/>
    </row>
    <row r="744" spans="27:27" x14ac:dyDescent="0.2">
      <c r="AA744" s="47"/>
    </row>
    <row r="745" spans="27:27" x14ac:dyDescent="0.2">
      <c r="AA745" s="47"/>
    </row>
    <row r="746" spans="27:27" x14ac:dyDescent="0.2">
      <c r="AA746" s="47"/>
    </row>
    <row r="747" spans="27:27" x14ac:dyDescent="0.2">
      <c r="AA747" s="47"/>
    </row>
    <row r="748" spans="27:27" x14ac:dyDescent="0.2">
      <c r="AA748" s="47"/>
    </row>
    <row r="749" spans="27:27" x14ac:dyDescent="0.2">
      <c r="AA749" s="47"/>
    </row>
    <row r="750" spans="27:27" x14ac:dyDescent="0.2">
      <c r="AA750" s="47"/>
    </row>
    <row r="751" spans="27:27" x14ac:dyDescent="0.2">
      <c r="AA751" s="47"/>
    </row>
    <row r="752" spans="27:27" x14ac:dyDescent="0.2">
      <c r="AA752" s="47"/>
    </row>
    <row r="753" spans="27:27" x14ac:dyDescent="0.2">
      <c r="AA753" s="47"/>
    </row>
    <row r="754" spans="27:27" x14ac:dyDescent="0.2">
      <c r="AA754" s="47"/>
    </row>
    <row r="755" spans="27:27" x14ac:dyDescent="0.2">
      <c r="AA755" s="47"/>
    </row>
    <row r="756" spans="27:27" x14ac:dyDescent="0.2">
      <c r="AA756" s="47"/>
    </row>
    <row r="757" spans="27:27" x14ac:dyDescent="0.2">
      <c r="AA757" s="47"/>
    </row>
    <row r="758" spans="27:27" x14ac:dyDescent="0.2">
      <c r="AA758" s="47"/>
    </row>
    <row r="759" spans="27:27" x14ac:dyDescent="0.2">
      <c r="AA759" s="47"/>
    </row>
    <row r="760" spans="27:27" x14ac:dyDescent="0.2">
      <c r="AA760" s="47"/>
    </row>
    <row r="761" spans="27:27" x14ac:dyDescent="0.2">
      <c r="AA761" s="47"/>
    </row>
    <row r="762" spans="27:27" x14ac:dyDescent="0.2">
      <c r="AA762" s="47"/>
    </row>
    <row r="763" spans="27:27" x14ac:dyDescent="0.2">
      <c r="AA763" s="47"/>
    </row>
    <row r="764" spans="27:27" x14ac:dyDescent="0.2">
      <c r="AA764" s="47"/>
    </row>
    <row r="765" spans="27:27" x14ac:dyDescent="0.2">
      <c r="AA765" s="47"/>
    </row>
    <row r="766" spans="27:27" x14ac:dyDescent="0.2">
      <c r="AA766" s="47"/>
    </row>
    <row r="767" spans="27:27" x14ac:dyDescent="0.2">
      <c r="AA767" s="47"/>
    </row>
    <row r="768" spans="27:27" x14ac:dyDescent="0.2">
      <c r="AA768" s="47"/>
    </row>
    <row r="769" spans="27:27" x14ac:dyDescent="0.2">
      <c r="AA769" s="47"/>
    </row>
    <row r="770" spans="27:27" x14ac:dyDescent="0.2">
      <c r="AA770" s="47"/>
    </row>
    <row r="771" spans="27:27" x14ac:dyDescent="0.2">
      <c r="AA771" s="47"/>
    </row>
    <row r="772" spans="27:27" x14ac:dyDescent="0.2">
      <c r="AA772" s="47"/>
    </row>
    <row r="773" spans="27:27" x14ac:dyDescent="0.2">
      <c r="AA773" s="47"/>
    </row>
    <row r="774" spans="27:27" x14ac:dyDescent="0.2">
      <c r="AA774" s="47"/>
    </row>
    <row r="775" spans="27:27" x14ac:dyDescent="0.2">
      <c r="AA775" s="47"/>
    </row>
    <row r="776" spans="27:27" x14ac:dyDescent="0.2">
      <c r="AA776" s="47"/>
    </row>
    <row r="777" spans="27:27" x14ac:dyDescent="0.2">
      <c r="AA777" s="47"/>
    </row>
    <row r="778" spans="27:27" x14ac:dyDescent="0.2">
      <c r="AA778" s="47"/>
    </row>
    <row r="779" spans="27:27" x14ac:dyDescent="0.2">
      <c r="AA779" s="47"/>
    </row>
    <row r="780" spans="27:27" x14ac:dyDescent="0.2">
      <c r="AA780" s="47"/>
    </row>
    <row r="781" spans="27:27" x14ac:dyDescent="0.2">
      <c r="AA781" s="47"/>
    </row>
    <row r="782" spans="27:27" x14ac:dyDescent="0.2">
      <c r="AA782" s="47"/>
    </row>
    <row r="783" spans="27:27" x14ac:dyDescent="0.2">
      <c r="AA783" s="47"/>
    </row>
    <row r="784" spans="27:27" x14ac:dyDescent="0.2">
      <c r="AA784" s="47"/>
    </row>
    <row r="785" spans="27:27" x14ac:dyDescent="0.2">
      <c r="AA785" s="47"/>
    </row>
    <row r="786" spans="27:27" x14ac:dyDescent="0.2">
      <c r="AA786" s="47"/>
    </row>
    <row r="787" spans="27:27" x14ac:dyDescent="0.2">
      <c r="AA787" s="47"/>
    </row>
    <row r="788" spans="27:27" x14ac:dyDescent="0.2">
      <c r="AA788" s="47"/>
    </row>
    <row r="789" spans="27:27" x14ac:dyDescent="0.2">
      <c r="AA789" s="47"/>
    </row>
    <row r="790" spans="27:27" x14ac:dyDescent="0.2">
      <c r="AA790" s="47"/>
    </row>
    <row r="791" spans="27:27" x14ac:dyDescent="0.2">
      <c r="AA791" s="47"/>
    </row>
    <row r="792" spans="27:27" x14ac:dyDescent="0.2">
      <c r="AA792" s="47"/>
    </row>
    <row r="793" spans="27:27" x14ac:dyDescent="0.2">
      <c r="AA793" s="47"/>
    </row>
    <row r="794" spans="27:27" x14ac:dyDescent="0.2">
      <c r="AA794" s="47"/>
    </row>
    <row r="795" spans="27:27" x14ac:dyDescent="0.2">
      <c r="AA795" s="47"/>
    </row>
    <row r="796" spans="27:27" x14ac:dyDescent="0.2">
      <c r="AA796" s="47"/>
    </row>
    <row r="797" spans="27:27" x14ac:dyDescent="0.2">
      <c r="AA797" s="47"/>
    </row>
    <row r="798" spans="27:27" x14ac:dyDescent="0.2">
      <c r="AA798" s="47"/>
    </row>
    <row r="799" spans="27:27" x14ac:dyDescent="0.2">
      <c r="AA799" s="47"/>
    </row>
    <row r="800" spans="27:27" x14ac:dyDescent="0.2">
      <c r="AA800" s="47"/>
    </row>
    <row r="801" spans="27:27" x14ac:dyDescent="0.2">
      <c r="AA801" s="47"/>
    </row>
    <row r="802" spans="27:27" x14ac:dyDescent="0.2">
      <c r="AA802" s="47"/>
    </row>
    <row r="803" spans="27:27" x14ac:dyDescent="0.2">
      <c r="AA803" s="47"/>
    </row>
    <row r="804" spans="27:27" x14ac:dyDescent="0.2">
      <c r="AA804" s="47"/>
    </row>
    <row r="805" spans="27:27" x14ac:dyDescent="0.2">
      <c r="AA805" s="47"/>
    </row>
    <row r="806" spans="27:27" x14ac:dyDescent="0.2">
      <c r="AA806" s="47"/>
    </row>
    <row r="807" spans="27:27" x14ac:dyDescent="0.2">
      <c r="AA807" s="47"/>
    </row>
    <row r="808" spans="27:27" x14ac:dyDescent="0.2">
      <c r="AA808" s="47"/>
    </row>
    <row r="809" spans="27:27" x14ac:dyDescent="0.2">
      <c r="AA809" s="47"/>
    </row>
    <row r="810" spans="27:27" x14ac:dyDescent="0.2">
      <c r="AA810" s="47"/>
    </row>
    <row r="811" spans="27:27" x14ac:dyDescent="0.2">
      <c r="AA811" s="47"/>
    </row>
    <row r="812" spans="27:27" x14ac:dyDescent="0.2">
      <c r="AA812" s="47"/>
    </row>
    <row r="813" spans="27:27" x14ac:dyDescent="0.2">
      <c r="AA813" s="47"/>
    </row>
    <row r="814" spans="27:27" x14ac:dyDescent="0.2">
      <c r="AA814" s="47"/>
    </row>
    <row r="815" spans="27:27" x14ac:dyDescent="0.2">
      <c r="AA815" s="47"/>
    </row>
    <row r="816" spans="27:27" x14ac:dyDescent="0.2">
      <c r="AA816" s="47"/>
    </row>
    <row r="817" spans="27:27" x14ac:dyDescent="0.2">
      <c r="AA817" s="47"/>
    </row>
    <row r="818" spans="27:27" x14ac:dyDescent="0.2">
      <c r="AA818" s="47"/>
    </row>
    <row r="819" spans="27:27" x14ac:dyDescent="0.2">
      <c r="AA819" s="47"/>
    </row>
    <row r="820" spans="27:27" x14ac:dyDescent="0.2">
      <c r="AA820" s="47"/>
    </row>
    <row r="821" spans="27:27" x14ac:dyDescent="0.2">
      <c r="AA821" s="47"/>
    </row>
    <row r="822" spans="27:27" x14ac:dyDescent="0.2">
      <c r="AA822" s="47"/>
    </row>
    <row r="823" spans="27:27" x14ac:dyDescent="0.2">
      <c r="AA823" s="47"/>
    </row>
    <row r="824" spans="27:27" x14ac:dyDescent="0.2">
      <c r="AA824" s="47"/>
    </row>
    <row r="825" spans="27:27" x14ac:dyDescent="0.2">
      <c r="AA825" s="47"/>
    </row>
    <row r="826" spans="27:27" x14ac:dyDescent="0.2">
      <c r="AA826" s="47"/>
    </row>
    <row r="827" spans="27:27" x14ac:dyDescent="0.2">
      <c r="AA827" s="47"/>
    </row>
    <row r="828" spans="27:27" x14ac:dyDescent="0.2">
      <c r="AA828" s="47"/>
    </row>
    <row r="829" spans="27:27" x14ac:dyDescent="0.2">
      <c r="AA829" s="47"/>
    </row>
    <row r="830" spans="27:27" x14ac:dyDescent="0.2">
      <c r="AA830" s="47"/>
    </row>
    <row r="831" spans="27:27" x14ac:dyDescent="0.2">
      <c r="AA831" s="47"/>
    </row>
    <row r="832" spans="27:27" x14ac:dyDescent="0.2">
      <c r="AA832" s="47"/>
    </row>
    <row r="833" spans="27:27" x14ac:dyDescent="0.2">
      <c r="AA833" s="47"/>
    </row>
    <row r="834" spans="27:27" x14ac:dyDescent="0.2">
      <c r="AA834" s="47"/>
    </row>
    <row r="835" spans="27:27" x14ac:dyDescent="0.2">
      <c r="AA835" s="47"/>
    </row>
    <row r="836" spans="27:27" x14ac:dyDescent="0.2">
      <c r="AA836" s="47"/>
    </row>
    <row r="837" spans="27:27" x14ac:dyDescent="0.2">
      <c r="AA837" s="47"/>
    </row>
    <row r="838" spans="27:27" x14ac:dyDescent="0.2">
      <c r="AA838" s="47"/>
    </row>
    <row r="839" spans="27:27" x14ac:dyDescent="0.2">
      <c r="AA839" s="47"/>
    </row>
    <row r="840" spans="27:27" x14ac:dyDescent="0.2">
      <c r="AA840" s="47"/>
    </row>
    <row r="841" spans="27:27" x14ac:dyDescent="0.2">
      <c r="AA841" s="47"/>
    </row>
    <row r="842" spans="27:27" x14ac:dyDescent="0.2">
      <c r="AA842" s="47"/>
    </row>
    <row r="843" spans="27:27" x14ac:dyDescent="0.2">
      <c r="AA843" s="47"/>
    </row>
    <row r="844" spans="27:27" x14ac:dyDescent="0.2">
      <c r="AA844" s="47"/>
    </row>
    <row r="845" spans="27:27" x14ac:dyDescent="0.2">
      <c r="AA845" s="47"/>
    </row>
    <row r="846" spans="27:27" x14ac:dyDescent="0.2">
      <c r="AA846" s="47"/>
    </row>
    <row r="847" spans="27:27" x14ac:dyDescent="0.2">
      <c r="AA847" s="47"/>
    </row>
    <row r="848" spans="27:27" x14ac:dyDescent="0.2">
      <c r="AA848" s="47"/>
    </row>
    <row r="849" spans="27:27" x14ac:dyDescent="0.2">
      <c r="AA849" s="47"/>
    </row>
    <row r="850" spans="27:27" x14ac:dyDescent="0.2">
      <c r="AA850" s="47"/>
    </row>
    <row r="851" spans="27:27" x14ac:dyDescent="0.2">
      <c r="AA851" s="47"/>
    </row>
    <row r="852" spans="27:27" x14ac:dyDescent="0.2">
      <c r="AA852" s="47"/>
    </row>
    <row r="853" spans="27:27" x14ac:dyDescent="0.2">
      <c r="AA853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714F-03A8-FA48-88B8-118DD2269544}">
  <dimension ref="A1:AC255"/>
  <sheetViews>
    <sheetView zoomScale="80" zoomScaleNormal="80" workbookViewId="0"/>
  </sheetViews>
  <sheetFormatPr baseColWidth="10" defaultRowHeight="16" x14ac:dyDescent="0.2"/>
  <cols>
    <col min="2" max="2" width="26.1640625" customWidth="1"/>
    <col min="12" max="12" width="26.1640625" customWidth="1"/>
    <col min="22" max="22" width="25" customWidth="1"/>
  </cols>
  <sheetData>
    <row r="1" spans="1:29" s="41" customFormat="1" ht="14" x14ac:dyDescent="0.15">
      <c r="A1" s="38" t="s">
        <v>8022</v>
      </c>
    </row>
    <row r="3" spans="1:29" x14ac:dyDescent="0.2">
      <c r="A3" s="35" t="s">
        <v>3496</v>
      </c>
      <c r="K3" s="35" t="s">
        <v>3497</v>
      </c>
      <c r="U3" s="35" t="s">
        <v>3498</v>
      </c>
    </row>
    <row r="5" spans="1:29" x14ac:dyDescent="0.2">
      <c r="A5" s="35" t="s">
        <v>3499</v>
      </c>
      <c r="B5" s="35" t="s">
        <v>3500</v>
      </c>
      <c r="C5" s="35" t="s">
        <v>3507</v>
      </c>
      <c r="D5" s="35" t="s">
        <v>3501</v>
      </c>
      <c r="E5" s="35" t="s">
        <v>3502</v>
      </c>
      <c r="F5" s="35" t="s">
        <v>3503</v>
      </c>
      <c r="G5" s="35" t="s">
        <v>3504</v>
      </c>
      <c r="H5" s="35" t="s">
        <v>3505</v>
      </c>
      <c r="I5" s="35" t="s">
        <v>3506</v>
      </c>
      <c r="K5" s="35" t="s">
        <v>3499</v>
      </c>
      <c r="L5" s="35" t="s">
        <v>3500</v>
      </c>
      <c r="M5" s="35" t="s">
        <v>3507</v>
      </c>
      <c r="N5" s="35" t="s">
        <v>3501</v>
      </c>
      <c r="O5" s="35" t="s">
        <v>3502</v>
      </c>
      <c r="P5" s="35" t="s">
        <v>3503</v>
      </c>
      <c r="Q5" s="35" t="s">
        <v>3504</v>
      </c>
      <c r="R5" s="35" t="s">
        <v>3505</v>
      </c>
      <c r="S5" s="35" t="s">
        <v>3506</v>
      </c>
      <c r="U5" t="s">
        <v>3499</v>
      </c>
      <c r="V5" t="s">
        <v>3500</v>
      </c>
      <c r="W5" t="s">
        <v>3507</v>
      </c>
      <c r="X5" t="s">
        <v>3501</v>
      </c>
      <c r="Y5" t="s">
        <v>3502</v>
      </c>
      <c r="Z5" t="s">
        <v>3503</v>
      </c>
      <c r="AA5" t="s">
        <v>3504</v>
      </c>
      <c r="AB5" t="s">
        <v>3505</v>
      </c>
      <c r="AC5" t="s">
        <v>3506</v>
      </c>
    </row>
    <row r="6" spans="1:29" x14ac:dyDescent="0.2">
      <c r="A6" s="49" t="s">
        <v>3508</v>
      </c>
      <c r="B6" s="49" t="s">
        <v>63</v>
      </c>
      <c r="C6" t="s">
        <v>7313</v>
      </c>
      <c r="D6">
        <v>44.1</v>
      </c>
      <c r="E6">
        <v>44.1</v>
      </c>
      <c r="F6" s="47">
        <v>1</v>
      </c>
      <c r="G6">
        <v>0.1</v>
      </c>
      <c r="H6">
        <v>100</v>
      </c>
      <c r="I6">
        <v>16627</v>
      </c>
      <c r="K6" s="49" t="s">
        <v>3509</v>
      </c>
      <c r="L6" s="49" t="s">
        <v>29</v>
      </c>
      <c r="M6" t="s">
        <v>6344</v>
      </c>
      <c r="N6">
        <v>44.1</v>
      </c>
      <c r="O6">
        <v>44.1</v>
      </c>
      <c r="P6" s="47">
        <v>1</v>
      </c>
      <c r="Q6">
        <v>0.1</v>
      </c>
      <c r="R6">
        <v>100</v>
      </c>
      <c r="S6">
        <v>16632</v>
      </c>
      <c r="U6" s="46" t="s">
        <v>3509</v>
      </c>
      <c r="V6" s="46" t="s">
        <v>29</v>
      </c>
      <c r="W6" t="s">
        <v>6344</v>
      </c>
      <c r="X6">
        <v>52</v>
      </c>
      <c r="Y6">
        <v>52</v>
      </c>
      <c r="Z6" s="47">
        <v>1</v>
      </c>
      <c r="AA6">
        <v>1E-3</v>
      </c>
      <c r="AB6">
        <v>100</v>
      </c>
      <c r="AC6">
        <v>16632</v>
      </c>
    </row>
    <row r="7" spans="1:29" x14ac:dyDescent="0.2">
      <c r="A7" s="48" t="s">
        <v>3510</v>
      </c>
      <c r="B7" s="48" t="s">
        <v>69</v>
      </c>
      <c r="C7" t="s">
        <v>7314</v>
      </c>
      <c r="D7">
        <v>44.1</v>
      </c>
      <c r="E7">
        <v>44.1</v>
      </c>
      <c r="F7" s="47">
        <v>1</v>
      </c>
      <c r="G7">
        <v>0.1</v>
      </c>
      <c r="H7">
        <v>100</v>
      </c>
      <c r="I7">
        <v>1940</v>
      </c>
      <c r="K7" s="49" t="s">
        <v>3511</v>
      </c>
      <c r="L7" s="49" t="s">
        <v>43</v>
      </c>
      <c r="M7" t="s">
        <v>6345</v>
      </c>
      <c r="N7">
        <v>44.1</v>
      </c>
      <c r="O7">
        <v>44.1</v>
      </c>
      <c r="P7" s="47">
        <v>1</v>
      </c>
      <c r="Q7">
        <v>0.1</v>
      </c>
      <c r="R7">
        <v>100</v>
      </c>
      <c r="S7">
        <v>16644</v>
      </c>
      <c r="U7" s="46" t="s">
        <v>3508</v>
      </c>
      <c r="V7" s="46" t="s">
        <v>63</v>
      </c>
      <c r="W7" t="s">
        <v>7313</v>
      </c>
      <c r="X7">
        <v>52</v>
      </c>
      <c r="Y7">
        <v>52</v>
      </c>
      <c r="Z7" s="47">
        <v>1</v>
      </c>
      <c r="AA7">
        <v>1E-3</v>
      </c>
      <c r="AB7">
        <v>100</v>
      </c>
      <c r="AC7">
        <v>16627</v>
      </c>
    </row>
    <row r="8" spans="1:29" x14ac:dyDescent="0.2">
      <c r="A8" s="48" t="s">
        <v>3512</v>
      </c>
      <c r="B8" s="48" t="s">
        <v>69</v>
      </c>
      <c r="C8" t="s">
        <v>7315</v>
      </c>
      <c r="D8">
        <v>44.1</v>
      </c>
      <c r="E8">
        <v>44.1</v>
      </c>
      <c r="F8" s="47">
        <v>1</v>
      </c>
      <c r="G8">
        <v>0.1</v>
      </c>
      <c r="H8">
        <v>100</v>
      </c>
      <c r="I8">
        <v>1940</v>
      </c>
      <c r="K8" s="49" t="s">
        <v>3508</v>
      </c>
      <c r="L8" s="49" t="s">
        <v>63</v>
      </c>
      <c r="M8" t="s">
        <v>7313</v>
      </c>
      <c r="N8">
        <v>44.1</v>
      </c>
      <c r="O8">
        <v>44.1</v>
      </c>
      <c r="P8" s="47">
        <v>1</v>
      </c>
      <c r="Q8">
        <v>0.1</v>
      </c>
      <c r="R8">
        <v>100</v>
      </c>
      <c r="S8">
        <v>16627</v>
      </c>
      <c r="U8" s="48" t="s">
        <v>3510</v>
      </c>
      <c r="V8" s="48" t="s">
        <v>69</v>
      </c>
      <c r="W8" t="s">
        <v>7314</v>
      </c>
      <c r="X8">
        <v>52</v>
      </c>
      <c r="Y8">
        <v>52</v>
      </c>
      <c r="Z8" s="47">
        <v>1</v>
      </c>
      <c r="AA8">
        <v>1E-3</v>
      </c>
      <c r="AB8">
        <v>100</v>
      </c>
      <c r="AC8">
        <v>1940</v>
      </c>
    </row>
    <row r="9" spans="1:29" x14ac:dyDescent="0.2">
      <c r="A9" s="48" t="s">
        <v>3513</v>
      </c>
      <c r="B9" s="48" t="s">
        <v>69</v>
      </c>
      <c r="C9" t="s">
        <v>7316</v>
      </c>
      <c r="D9">
        <v>44.1</v>
      </c>
      <c r="E9">
        <v>44.1</v>
      </c>
      <c r="F9" s="47">
        <v>1</v>
      </c>
      <c r="G9">
        <v>0.1</v>
      </c>
      <c r="H9">
        <v>100</v>
      </c>
      <c r="I9">
        <v>1922</v>
      </c>
      <c r="K9" s="49" t="s">
        <v>3514</v>
      </c>
      <c r="L9" s="49" t="s">
        <v>9</v>
      </c>
      <c r="M9" t="s">
        <v>6360</v>
      </c>
      <c r="N9">
        <v>44.1</v>
      </c>
      <c r="O9">
        <v>44.1</v>
      </c>
      <c r="P9" s="47">
        <v>1</v>
      </c>
      <c r="Q9">
        <v>0.1</v>
      </c>
      <c r="R9">
        <v>100</v>
      </c>
      <c r="S9">
        <v>16620</v>
      </c>
      <c r="U9" s="48" t="s">
        <v>3512</v>
      </c>
      <c r="V9" s="48" t="s">
        <v>69</v>
      </c>
      <c r="W9" t="s">
        <v>7315</v>
      </c>
      <c r="X9">
        <v>52</v>
      </c>
      <c r="Y9">
        <v>52</v>
      </c>
      <c r="Z9" s="47">
        <v>1</v>
      </c>
      <c r="AA9">
        <v>1E-3</v>
      </c>
      <c r="AB9">
        <v>100</v>
      </c>
      <c r="AC9">
        <v>1940</v>
      </c>
    </row>
    <row r="10" spans="1:29" x14ac:dyDescent="0.2">
      <c r="A10" t="s">
        <v>3515</v>
      </c>
      <c r="B10" t="s">
        <v>3516</v>
      </c>
      <c r="C10" t="s">
        <v>7317</v>
      </c>
      <c r="D10">
        <v>42.1</v>
      </c>
      <c r="E10">
        <v>42.1</v>
      </c>
      <c r="F10" s="47">
        <v>0.95</v>
      </c>
      <c r="G10">
        <v>0.4</v>
      </c>
      <c r="H10">
        <v>100</v>
      </c>
      <c r="I10">
        <v>16508</v>
      </c>
      <c r="K10" s="49" t="s">
        <v>3517</v>
      </c>
      <c r="L10" s="49" t="s">
        <v>40</v>
      </c>
      <c r="M10" t="s">
        <v>6365</v>
      </c>
      <c r="N10">
        <v>44.1</v>
      </c>
      <c r="O10">
        <v>44.1</v>
      </c>
      <c r="P10" s="47">
        <v>1</v>
      </c>
      <c r="Q10">
        <v>0.1</v>
      </c>
      <c r="R10">
        <v>100</v>
      </c>
      <c r="S10">
        <v>16642</v>
      </c>
      <c r="U10" t="s">
        <v>3518</v>
      </c>
      <c r="V10" t="s">
        <v>2615</v>
      </c>
      <c r="W10" t="s">
        <v>7318</v>
      </c>
      <c r="X10">
        <v>52</v>
      </c>
      <c r="Y10">
        <v>52</v>
      </c>
      <c r="Z10" s="47">
        <v>1</v>
      </c>
      <c r="AA10">
        <v>1E-3</v>
      </c>
      <c r="AB10">
        <v>100</v>
      </c>
      <c r="AC10">
        <v>16530</v>
      </c>
    </row>
    <row r="11" spans="1:29" x14ac:dyDescent="0.2">
      <c r="A11" t="s">
        <v>3519</v>
      </c>
      <c r="B11" t="s">
        <v>3516</v>
      </c>
      <c r="C11" t="s">
        <v>7319</v>
      </c>
      <c r="D11">
        <v>42.1</v>
      </c>
      <c r="E11">
        <v>42.1</v>
      </c>
      <c r="F11" s="47">
        <v>0.95</v>
      </c>
      <c r="G11">
        <v>0.4</v>
      </c>
      <c r="H11">
        <v>100</v>
      </c>
      <c r="I11">
        <v>16508</v>
      </c>
      <c r="K11" s="49" t="s">
        <v>3520</v>
      </c>
      <c r="L11" s="49" t="s">
        <v>26</v>
      </c>
      <c r="M11" t="s">
        <v>6402</v>
      </c>
      <c r="N11">
        <v>44.1</v>
      </c>
      <c r="O11">
        <v>44.1</v>
      </c>
      <c r="P11" s="47">
        <v>1</v>
      </c>
      <c r="Q11">
        <v>0.1</v>
      </c>
      <c r="R11">
        <v>100</v>
      </c>
      <c r="S11">
        <v>16621</v>
      </c>
      <c r="U11" s="48" t="s">
        <v>3513</v>
      </c>
      <c r="V11" s="48" t="s">
        <v>69</v>
      </c>
      <c r="W11" t="s">
        <v>7316</v>
      </c>
      <c r="X11">
        <v>52</v>
      </c>
      <c r="Y11">
        <v>52</v>
      </c>
      <c r="Z11" s="47">
        <v>1</v>
      </c>
      <c r="AA11">
        <v>1E-3</v>
      </c>
      <c r="AB11">
        <v>100</v>
      </c>
      <c r="AC11">
        <v>1922</v>
      </c>
    </row>
    <row r="12" spans="1:29" x14ac:dyDescent="0.2">
      <c r="A12" t="s">
        <v>3521</v>
      </c>
      <c r="B12" t="s">
        <v>3522</v>
      </c>
      <c r="C12" t="s">
        <v>7320</v>
      </c>
      <c r="D12">
        <v>40.1</v>
      </c>
      <c r="E12">
        <v>40.1</v>
      </c>
      <c r="F12" s="47">
        <v>0.91</v>
      </c>
      <c r="G12">
        <v>1.6</v>
      </c>
      <c r="H12">
        <v>100</v>
      </c>
      <c r="I12">
        <v>16665</v>
      </c>
      <c r="K12" s="49" t="s">
        <v>3514</v>
      </c>
      <c r="L12" s="49" t="s">
        <v>9</v>
      </c>
      <c r="M12" t="s">
        <v>6371</v>
      </c>
      <c r="N12">
        <v>44.1</v>
      </c>
      <c r="O12">
        <v>44.1</v>
      </c>
      <c r="P12" s="47">
        <v>1</v>
      </c>
      <c r="Q12">
        <v>0.1</v>
      </c>
      <c r="R12">
        <v>100</v>
      </c>
      <c r="S12">
        <v>16641</v>
      </c>
      <c r="U12" t="s">
        <v>3523</v>
      </c>
      <c r="V12" t="s">
        <v>2613</v>
      </c>
      <c r="W12" t="s">
        <v>7321</v>
      </c>
      <c r="X12">
        <v>50.1</v>
      </c>
      <c r="Y12">
        <v>50.1</v>
      </c>
      <c r="Z12" s="47">
        <v>0.96</v>
      </c>
      <c r="AA12">
        <v>4.0000000000000001E-3</v>
      </c>
      <c r="AB12">
        <v>100</v>
      </c>
      <c r="AC12">
        <v>16536</v>
      </c>
    </row>
    <row r="13" spans="1:29" x14ac:dyDescent="0.2">
      <c r="A13" t="s">
        <v>3524</v>
      </c>
      <c r="B13" t="s">
        <v>3522</v>
      </c>
      <c r="C13" t="s">
        <v>7322</v>
      </c>
      <c r="D13">
        <v>40.1</v>
      </c>
      <c r="E13">
        <v>40.1</v>
      </c>
      <c r="F13" s="47">
        <v>0.91</v>
      </c>
      <c r="G13">
        <v>1.6</v>
      </c>
      <c r="H13">
        <v>100</v>
      </c>
      <c r="I13">
        <v>16506</v>
      </c>
      <c r="K13" s="48" t="s">
        <v>3510</v>
      </c>
      <c r="L13" s="48" t="s">
        <v>69</v>
      </c>
      <c r="M13" t="s">
        <v>7314</v>
      </c>
      <c r="N13">
        <v>44.1</v>
      </c>
      <c r="O13">
        <v>44.1</v>
      </c>
      <c r="P13" s="47">
        <v>1</v>
      </c>
      <c r="Q13">
        <v>0.1</v>
      </c>
      <c r="R13">
        <v>100</v>
      </c>
      <c r="S13">
        <v>1940</v>
      </c>
      <c r="U13" s="49" t="s">
        <v>3520</v>
      </c>
      <c r="V13" s="49" t="s">
        <v>26</v>
      </c>
      <c r="W13" t="s">
        <v>6402</v>
      </c>
      <c r="X13">
        <v>48.1</v>
      </c>
      <c r="Y13">
        <v>48.1</v>
      </c>
      <c r="Z13" s="47">
        <v>0.92</v>
      </c>
      <c r="AA13">
        <v>1.6E-2</v>
      </c>
      <c r="AB13">
        <v>100</v>
      </c>
      <c r="AC13">
        <v>16621</v>
      </c>
    </row>
    <row r="14" spans="1:29" x14ac:dyDescent="0.2">
      <c r="A14" t="s">
        <v>3525</v>
      </c>
      <c r="B14" t="s">
        <v>3522</v>
      </c>
      <c r="C14" t="s">
        <v>7323</v>
      </c>
      <c r="D14">
        <v>40.1</v>
      </c>
      <c r="E14">
        <v>40.1</v>
      </c>
      <c r="F14" s="47">
        <v>0.91</v>
      </c>
      <c r="G14">
        <v>1.6</v>
      </c>
      <c r="H14">
        <v>100</v>
      </c>
      <c r="I14">
        <v>16506</v>
      </c>
      <c r="K14" s="48" t="s">
        <v>3512</v>
      </c>
      <c r="L14" s="48" t="s">
        <v>69</v>
      </c>
      <c r="M14" t="s">
        <v>7315</v>
      </c>
      <c r="N14">
        <v>44.1</v>
      </c>
      <c r="O14">
        <v>44.1</v>
      </c>
      <c r="P14" s="47">
        <v>1</v>
      </c>
      <c r="Q14">
        <v>0.1</v>
      </c>
      <c r="R14">
        <v>100</v>
      </c>
      <c r="S14">
        <v>1940</v>
      </c>
      <c r="U14" t="s">
        <v>3526</v>
      </c>
      <c r="V14" t="s">
        <v>2252</v>
      </c>
      <c r="W14" t="s">
        <v>6767</v>
      </c>
      <c r="X14">
        <v>44.1</v>
      </c>
      <c r="Y14">
        <v>44.1</v>
      </c>
      <c r="Z14" s="47">
        <v>1</v>
      </c>
      <c r="AA14">
        <v>0.25</v>
      </c>
      <c r="AB14">
        <v>96.15</v>
      </c>
      <c r="AC14">
        <v>3365</v>
      </c>
    </row>
    <row r="15" spans="1:29" x14ac:dyDescent="0.2">
      <c r="A15" t="s">
        <v>3527</v>
      </c>
      <c r="B15" t="s">
        <v>3522</v>
      </c>
      <c r="C15" t="s">
        <v>7324</v>
      </c>
      <c r="D15">
        <v>40.1</v>
      </c>
      <c r="E15">
        <v>40.1</v>
      </c>
      <c r="F15" s="47">
        <v>0.91</v>
      </c>
      <c r="G15">
        <v>1.6</v>
      </c>
      <c r="H15">
        <v>100</v>
      </c>
      <c r="I15">
        <v>16502</v>
      </c>
      <c r="K15" s="48" t="s">
        <v>3513</v>
      </c>
      <c r="L15" s="48" t="s">
        <v>69</v>
      </c>
      <c r="M15" t="s">
        <v>7316</v>
      </c>
      <c r="N15">
        <v>44.1</v>
      </c>
      <c r="O15">
        <v>44.1</v>
      </c>
      <c r="P15" s="47">
        <v>1</v>
      </c>
      <c r="Q15">
        <v>0.1</v>
      </c>
      <c r="R15">
        <v>100</v>
      </c>
      <c r="S15">
        <v>1922</v>
      </c>
      <c r="U15" s="49" t="s">
        <v>3511</v>
      </c>
      <c r="V15" s="49" t="s">
        <v>43</v>
      </c>
      <c r="W15" t="s">
        <v>6345</v>
      </c>
      <c r="X15">
        <v>44.1</v>
      </c>
      <c r="Y15">
        <v>44.1</v>
      </c>
      <c r="Z15" s="47">
        <v>1</v>
      </c>
      <c r="AA15">
        <v>0.25</v>
      </c>
      <c r="AB15">
        <v>96.15</v>
      </c>
      <c r="AC15">
        <v>16644</v>
      </c>
    </row>
    <row r="16" spans="1:29" x14ac:dyDescent="0.2">
      <c r="A16" t="s">
        <v>3528</v>
      </c>
      <c r="B16" t="s">
        <v>3529</v>
      </c>
      <c r="C16" t="s">
        <v>7325</v>
      </c>
      <c r="D16">
        <v>40.1</v>
      </c>
      <c r="E16">
        <v>40.1</v>
      </c>
      <c r="F16" s="47">
        <v>0.91</v>
      </c>
      <c r="G16">
        <v>1.6</v>
      </c>
      <c r="H16">
        <v>100</v>
      </c>
      <c r="I16">
        <v>6288713</v>
      </c>
      <c r="K16" t="s">
        <v>3530</v>
      </c>
      <c r="L16" t="s">
        <v>50</v>
      </c>
      <c r="M16" t="s">
        <v>7326</v>
      </c>
      <c r="N16">
        <v>42.1</v>
      </c>
      <c r="O16">
        <v>42.1</v>
      </c>
      <c r="P16" s="47">
        <v>0.95</v>
      </c>
      <c r="Q16">
        <v>0.4</v>
      </c>
      <c r="R16">
        <v>100</v>
      </c>
      <c r="S16">
        <v>16619</v>
      </c>
      <c r="U16" s="49" t="s">
        <v>3531</v>
      </c>
      <c r="V16" s="49" t="s">
        <v>2379</v>
      </c>
      <c r="W16" t="s">
        <v>6750</v>
      </c>
      <c r="X16">
        <v>44.1</v>
      </c>
      <c r="Y16">
        <v>44.1</v>
      </c>
      <c r="Z16" s="47">
        <v>1</v>
      </c>
      <c r="AA16">
        <v>0.25</v>
      </c>
      <c r="AB16">
        <v>96.15</v>
      </c>
      <c r="AC16">
        <v>16626</v>
      </c>
    </row>
    <row r="17" spans="1:29" x14ac:dyDescent="0.2">
      <c r="A17" t="s">
        <v>3532</v>
      </c>
      <c r="B17" t="s">
        <v>3522</v>
      </c>
      <c r="C17" t="s">
        <v>7327</v>
      </c>
      <c r="D17">
        <v>40.1</v>
      </c>
      <c r="E17">
        <v>40.1</v>
      </c>
      <c r="F17" s="47">
        <v>0.91</v>
      </c>
      <c r="G17">
        <v>1.6</v>
      </c>
      <c r="H17">
        <v>100</v>
      </c>
      <c r="I17">
        <v>16502</v>
      </c>
      <c r="K17" s="49" t="s">
        <v>3533</v>
      </c>
      <c r="L17" s="49" t="s">
        <v>73</v>
      </c>
      <c r="M17" t="s">
        <v>6585</v>
      </c>
      <c r="N17">
        <v>42.1</v>
      </c>
      <c r="O17">
        <v>42.1</v>
      </c>
      <c r="P17" s="47">
        <v>0.95</v>
      </c>
      <c r="Q17">
        <v>0.4</v>
      </c>
      <c r="R17">
        <v>100</v>
      </c>
      <c r="S17">
        <v>1940</v>
      </c>
      <c r="U17" t="s">
        <v>3534</v>
      </c>
      <c r="V17" t="s">
        <v>3535</v>
      </c>
      <c r="W17" t="s">
        <v>7328</v>
      </c>
      <c r="X17">
        <v>44.1</v>
      </c>
      <c r="Y17">
        <v>44.1</v>
      </c>
      <c r="Z17" s="47">
        <v>1</v>
      </c>
      <c r="AA17">
        <v>0.25</v>
      </c>
      <c r="AB17">
        <v>96.15</v>
      </c>
      <c r="AC17">
        <v>16527</v>
      </c>
    </row>
    <row r="18" spans="1:29" x14ac:dyDescent="0.2">
      <c r="A18" t="s">
        <v>3536</v>
      </c>
      <c r="B18" t="s">
        <v>3529</v>
      </c>
      <c r="C18" t="s">
        <v>7329</v>
      </c>
      <c r="D18">
        <v>38.200000000000003</v>
      </c>
      <c r="E18">
        <v>38.200000000000003</v>
      </c>
      <c r="F18" s="47">
        <v>0.86</v>
      </c>
      <c r="G18">
        <v>6.2</v>
      </c>
      <c r="H18">
        <v>100</v>
      </c>
      <c r="I18">
        <v>114091</v>
      </c>
      <c r="K18" s="49" t="s">
        <v>3508</v>
      </c>
      <c r="L18" s="49" t="s">
        <v>63</v>
      </c>
      <c r="M18" t="s">
        <v>6334</v>
      </c>
      <c r="N18">
        <v>42.1</v>
      </c>
      <c r="O18">
        <v>42.1</v>
      </c>
      <c r="P18" s="47">
        <v>0.95</v>
      </c>
      <c r="Q18">
        <v>0.4</v>
      </c>
      <c r="R18">
        <v>100</v>
      </c>
      <c r="S18">
        <v>16626</v>
      </c>
      <c r="U18" t="s">
        <v>3537</v>
      </c>
      <c r="V18" t="s">
        <v>3158</v>
      </c>
      <c r="W18" t="s">
        <v>7330</v>
      </c>
      <c r="X18">
        <v>44.1</v>
      </c>
      <c r="Y18">
        <v>44.1</v>
      </c>
      <c r="Z18" s="47">
        <v>1</v>
      </c>
      <c r="AA18">
        <v>0.25</v>
      </c>
      <c r="AB18">
        <v>96.15</v>
      </c>
      <c r="AC18">
        <v>16569</v>
      </c>
    </row>
    <row r="19" spans="1:29" x14ac:dyDescent="0.2">
      <c r="A19" t="s">
        <v>3538</v>
      </c>
      <c r="B19" t="s">
        <v>3539</v>
      </c>
      <c r="C19" t="s">
        <v>7331</v>
      </c>
      <c r="D19">
        <v>38.200000000000003</v>
      </c>
      <c r="E19">
        <v>38.200000000000003</v>
      </c>
      <c r="F19" s="47">
        <v>0.86</v>
      </c>
      <c r="G19">
        <v>6.2</v>
      </c>
      <c r="H19">
        <v>100</v>
      </c>
      <c r="I19">
        <v>5426982</v>
      </c>
      <c r="K19" s="49" t="s">
        <v>3540</v>
      </c>
      <c r="L19" s="49" t="s">
        <v>26</v>
      </c>
      <c r="M19" t="s">
        <v>6629</v>
      </c>
      <c r="N19">
        <v>42.1</v>
      </c>
      <c r="O19">
        <v>42.1</v>
      </c>
      <c r="P19" s="47">
        <v>0.95</v>
      </c>
      <c r="Q19">
        <v>0.4</v>
      </c>
      <c r="R19">
        <v>100</v>
      </c>
      <c r="S19">
        <v>1940</v>
      </c>
      <c r="U19" s="49" t="s">
        <v>3514</v>
      </c>
      <c r="V19" s="49" t="s">
        <v>9</v>
      </c>
      <c r="W19" t="s">
        <v>6360</v>
      </c>
      <c r="X19">
        <v>44.1</v>
      </c>
      <c r="Y19">
        <v>44.1</v>
      </c>
      <c r="Z19" s="47">
        <v>1</v>
      </c>
      <c r="AA19">
        <v>0.25</v>
      </c>
      <c r="AB19">
        <v>96.15</v>
      </c>
      <c r="AC19">
        <v>16620</v>
      </c>
    </row>
    <row r="20" spans="1:29" x14ac:dyDescent="0.2">
      <c r="A20" t="s">
        <v>3541</v>
      </c>
      <c r="B20" t="s">
        <v>1862</v>
      </c>
      <c r="C20" t="s">
        <v>7332</v>
      </c>
      <c r="D20">
        <v>38.200000000000003</v>
      </c>
      <c r="E20">
        <v>38.200000000000003</v>
      </c>
      <c r="F20" s="47">
        <v>0.86</v>
      </c>
      <c r="G20">
        <v>6.2</v>
      </c>
      <c r="H20">
        <v>100</v>
      </c>
      <c r="I20">
        <v>16515</v>
      </c>
      <c r="K20" t="s">
        <v>3542</v>
      </c>
      <c r="L20" t="s">
        <v>2039</v>
      </c>
      <c r="M20" t="s">
        <v>7333</v>
      </c>
      <c r="N20">
        <v>42.1</v>
      </c>
      <c r="O20">
        <v>42.1</v>
      </c>
      <c r="P20" s="47">
        <v>0.95</v>
      </c>
      <c r="Q20">
        <v>0.4</v>
      </c>
      <c r="R20">
        <v>100</v>
      </c>
      <c r="S20">
        <v>16627</v>
      </c>
      <c r="U20" s="49" t="s">
        <v>3517</v>
      </c>
      <c r="V20" s="49" t="s">
        <v>40</v>
      </c>
      <c r="W20" t="s">
        <v>6365</v>
      </c>
      <c r="X20">
        <v>44.1</v>
      </c>
      <c r="Y20">
        <v>44.1</v>
      </c>
      <c r="Z20" s="47">
        <v>1</v>
      </c>
      <c r="AA20">
        <v>0.25</v>
      </c>
      <c r="AB20">
        <v>96.15</v>
      </c>
      <c r="AC20">
        <v>16642</v>
      </c>
    </row>
    <row r="21" spans="1:29" x14ac:dyDescent="0.2">
      <c r="A21" t="s">
        <v>3528</v>
      </c>
      <c r="B21" t="s">
        <v>3529</v>
      </c>
      <c r="C21" t="s">
        <v>7334</v>
      </c>
      <c r="D21">
        <v>38.200000000000003</v>
      </c>
      <c r="E21">
        <v>38.200000000000003</v>
      </c>
      <c r="F21" s="47">
        <v>0.86</v>
      </c>
      <c r="G21">
        <v>6.2</v>
      </c>
      <c r="H21">
        <v>100</v>
      </c>
      <c r="I21">
        <v>6976749</v>
      </c>
      <c r="K21" s="49" t="s">
        <v>3543</v>
      </c>
      <c r="L21" s="49" t="s">
        <v>26</v>
      </c>
      <c r="M21" t="s">
        <v>6337</v>
      </c>
      <c r="N21">
        <v>42.1</v>
      </c>
      <c r="O21">
        <v>42.1</v>
      </c>
      <c r="P21" s="47">
        <v>0.95</v>
      </c>
      <c r="Q21">
        <v>0.4</v>
      </c>
      <c r="R21">
        <v>100</v>
      </c>
      <c r="S21">
        <v>16626</v>
      </c>
      <c r="U21" t="s">
        <v>3544</v>
      </c>
      <c r="V21" t="s">
        <v>2252</v>
      </c>
      <c r="W21" t="s">
        <v>7335</v>
      </c>
      <c r="X21">
        <v>44.1</v>
      </c>
      <c r="Y21">
        <v>44.1</v>
      </c>
      <c r="Z21" s="47">
        <v>1</v>
      </c>
      <c r="AA21">
        <v>0.25</v>
      </c>
      <c r="AB21">
        <v>96.15</v>
      </c>
      <c r="AC21">
        <v>2457</v>
      </c>
    </row>
    <row r="22" spans="1:29" x14ac:dyDescent="0.2">
      <c r="A22" t="s">
        <v>3545</v>
      </c>
      <c r="B22" t="s">
        <v>3546</v>
      </c>
      <c r="C22" t="s">
        <v>7336</v>
      </c>
      <c r="D22">
        <v>36.200000000000003</v>
      </c>
      <c r="E22">
        <v>36.200000000000003</v>
      </c>
      <c r="F22" s="47">
        <v>0.82</v>
      </c>
      <c r="G22">
        <v>25</v>
      </c>
      <c r="H22">
        <v>100</v>
      </c>
      <c r="I22">
        <v>192589</v>
      </c>
      <c r="K22" s="49" t="s">
        <v>3547</v>
      </c>
      <c r="L22" s="49" t="s">
        <v>26</v>
      </c>
      <c r="M22" t="s">
        <v>6338</v>
      </c>
      <c r="N22">
        <v>42.1</v>
      </c>
      <c r="O22">
        <v>42.1</v>
      </c>
      <c r="P22" s="47">
        <v>0.95</v>
      </c>
      <c r="Q22">
        <v>0.4</v>
      </c>
      <c r="R22">
        <v>100</v>
      </c>
      <c r="S22">
        <v>16627</v>
      </c>
      <c r="U22" s="49" t="s">
        <v>3514</v>
      </c>
      <c r="V22" s="49" t="s">
        <v>9</v>
      </c>
      <c r="W22" t="s">
        <v>6371</v>
      </c>
      <c r="X22">
        <v>44.1</v>
      </c>
      <c r="Y22">
        <v>44.1</v>
      </c>
      <c r="Z22" s="47">
        <v>1</v>
      </c>
      <c r="AA22">
        <v>0.25</v>
      </c>
      <c r="AB22">
        <v>96.15</v>
      </c>
      <c r="AC22">
        <v>16641</v>
      </c>
    </row>
    <row r="23" spans="1:29" x14ac:dyDescent="0.2">
      <c r="A23" t="s">
        <v>3548</v>
      </c>
      <c r="B23" t="s">
        <v>3549</v>
      </c>
      <c r="C23" t="s">
        <v>7337</v>
      </c>
      <c r="D23">
        <v>36.200000000000003</v>
      </c>
      <c r="E23">
        <v>36.200000000000003</v>
      </c>
      <c r="F23" s="47">
        <v>0.82</v>
      </c>
      <c r="G23">
        <v>25</v>
      </c>
      <c r="H23">
        <v>100</v>
      </c>
      <c r="I23">
        <v>16584</v>
      </c>
      <c r="K23" s="49" t="s">
        <v>3550</v>
      </c>
      <c r="L23" s="49" t="s">
        <v>26</v>
      </c>
      <c r="M23" t="s">
        <v>6339</v>
      </c>
      <c r="N23">
        <v>42.1</v>
      </c>
      <c r="O23">
        <v>42.1</v>
      </c>
      <c r="P23" s="47">
        <v>0.95</v>
      </c>
      <c r="Q23">
        <v>0.4</v>
      </c>
      <c r="R23">
        <v>100</v>
      </c>
      <c r="S23">
        <v>16625</v>
      </c>
      <c r="U23" t="s">
        <v>3534</v>
      </c>
      <c r="V23" t="s">
        <v>3535</v>
      </c>
      <c r="W23" t="s">
        <v>7338</v>
      </c>
      <c r="X23">
        <v>44.1</v>
      </c>
      <c r="Y23">
        <v>44.1</v>
      </c>
      <c r="Z23" s="47">
        <v>1</v>
      </c>
      <c r="AA23">
        <v>0.25</v>
      </c>
      <c r="AB23">
        <v>96.15</v>
      </c>
      <c r="AC23">
        <v>16526</v>
      </c>
    </row>
    <row r="24" spans="1:29" x14ac:dyDescent="0.2">
      <c r="A24" t="s">
        <v>3551</v>
      </c>
      <c r="B24" t="s">
        <v>3552</v>
      </c>
      <c r="C24" t="s">
        <v>7339</v>
      </c>
      <c r="D24">
        <v>36.200000000000003</v>
      </c>
      <c r="E24">
        <v>36.200000000000003</v>
      </c>
      <c r="F24" s="47">
        <v>0.82</v>
      </c>
      <c r="G24">
        <v>25</v>
      </c>
      <c r="H24">
        <v>100</v>
      </c>
      <c r="I24">
        <v>5088794</v>
      </c>
      <c r="K24" s="49" t="s">
        <v>3553</v>
      </c>
      <c r="L24" s="49" t="s">
        <v>57</v>
      </c>
      <c r="M24" t="s">
        <v>6340</v>
      </c>
      <c r="N24">
        <v>42.1</v>
      </c>
      <c r="O24">
        <v>42.1</v>
      </c>
      <c r="P24" s="47">
        <v>0.95</v>
      </c>
      <c r="Q24">
        <v>0.4</v>
      </c>
      <c r="R24">
        <v>100</v>
      </c>
      <c r="S24">
        <v>16626</v>
      </c>
      <c r="U24" t="s">
        <v>3554</v>
      </c>
      <c r="V24" t="s">
        <v>3555</v>
      </c>
      <c r="W24" t="s">
        <v>7340</v>
      </c>
      <c r="X24">
        <v>44.1</v>
      </c>
      <c r="Y24">
        <v>44.1</v>
      </c>
      <c r="Z24" s="47">
        <v>1</v>
      </c>
      <c r="AA24">
        <v>0.25</v>
      </c>
      <c r="AB24">
        <v>96.15</v>
      </c>
      <c r="AC24">
        <v>16526</v>
      </c>
    </row>
    <row r="25" spans="1:29" x14ac:dyDescent="0.2">
      <c r="A25" t="s">
        <v>3556</v>
      </c>
      <c r="B25" t="s">
        <v>3557</v>
      </c>
      <c r="C25" t="s">
        <v>7341</v>
      </c>
      <c r="D25">
        <v>36.200000000000003</v>
      </c>
      <c r="E25">
        <v>36.200000000000003</v>
      </c>
      <c r="F25" s="47">
        <v>0.82</v>
      </c>
      <c r="G25">
        <v>25</v>
      </c>
      <c r="H25">
        <v>100</v>
      </c>
      <c r="I25">
        <v>19451303</v>
      </c>
      <c r="K25" s="49" t="s">
        <v>3558</v>
      </c>
      <c r="L25" s="49" t="s">
        <v>75</v>
      </c>
      <c r="M25" t="s">
        <v>6593</v>
      </c>
      <c r="N25">
        <v>42.1</v>
      </c>
      <c r="O25">
        <v>42.1</v>
      </c>
      <c r="P25" s="47">
        <v>0.95</v>
      </c>
      <c r="Q25">
        <v>0.4</v>
      </c>
      <c r="R25">
        <v>100</v>
      </c>
      <c r="S25">
        <v>16626</v>
      </c>
      <c r="U25" t="s">
        <v>3559</v>
      </c>
      <c r="V25" t="s">
        <v>2183</v>
      </c>
      <c r="W25" t="s">
        <v>7342</v>
      </c>
      <c r="X25">
        <v>44.1</v>
      </c>
      <c r="Y25">
        <v>44.1</v>
      </c>
      <c r="Z25" s="47">
        <v>0.85</v>
      </c>
      <c r="AA25">
        <v>0.25</v>
      </c>
      <c r="AB25">
        <v>100</v>
      </c>
      <c r="AC25">
        <v>16511</v>
      </c>
    </row>
    <row r="26" spans="1:29" x14ac:dyDescent="0.2">
      <c r="A26" t="s">
        <v>3560</v>
      </c>
      <c r="B26" t="s">
        <v>3561</v>
      </c>
      <c r="C26" t="s">
        <v>7343</v>
      </c>
      <c r="D26">
        <v>34.200000000000003</v>
      </c>
      <c r="E26">
        <v>34.200000000000003</v>
      </c>
      <c r="F26" s="47">
        <v>0.77</v>
      </c>
      <c r="G26">
        <v>97</v>
      </c>
      <c r="H26">
        <v>100</v>
      </c>
      <c r="I26">
        <v>8782</v>
      </c>
      <c r="K26" s="49" t="s">
        <v>3550</v>
      </c>
      <c r="L26" s="49" t="s">
        <v>26</v>
      </c>
      <c r="M26" t="s">
        <v>6341</v>
      </c>
      <c r="N26">
        <v>42.1</v>
      </c>
      <c r="O26">
        <v>42.1</v>
      </c>
      <c r="P26" s="47">
        <v>0.95</v>
      </c>
      <c r="Q26">
        <v>0.4</v>
      </c>
      <c r="R26">
        <v>100</v>
      </c>
      <c r="S26">
        <v>16626</v>
      </c>
      <c r="U26" t="s">
        <v>3562</v>
      </c>
      <c r="V26" t="s">
        <v>3410</v>
      </c>
      <c r="W26" t="s">
        <v>7344</v>
      </c>
      <c r="X26">
        <v>42.1</v>
      </c>
      <c r="Y26">
        <v>42.1</v>
      </c>
      <c r="Z26" s="47">
        <v>0.96</v>
      </c>
      <c r="AA26">
        <v>1</v>
      </c>
      <c r="AB26">
        <v>96</v>
      </c>
      <c r="AC26">
        <v>16540</v>
      </c>
    </row>
    <row r="27" spans="1:29" x14ac:dyDescent="0.2">
      <c r="A27" t="s">
        <v>3563</v>
      </c>
      <c r="B27" t="s">
        <v>3546</v>
      </c>
      <c r="C27" t="s">
        <v>7345</v>
      </c>
      <c r="D27">
        <v>34.200000000000003</v>
      </c>
      <c r="E27">
        <v>34.200000000000003</v>
      </c>
      <c r="F27" s="47">
        <v>0.77</v>
      </c>
      <c r="G27">
        <v>97</v>
      </c>
      <c r="H27">
        <v>100</v>
      </c>
      <c r="I27">
        <v>91640</v>
      </c>
      <c r="K27" s="49" t="s">
        <v>3564</v>
      </c>
      <c r="L27" s="49" t="s">
        <v>46</v>
      </c>
      <c r="M27" t="s">
        <v>7346</v>
      </c>
      <c r="N27">
        <v>42.1</v>
      </c>
      <c r="O27">
        <v>42.1</v>
      </c>
      <c r="P27" s="47">
        <v>0.95</v>
      </c>
      <c r="Q27">
        <v>0.4</v>
      </c>
      <c r="R27">
        <v>100</v>
      </c>
      <c r="S27">
        <v>16622</v>
      </c>
      <c r="U27" t="s">
        <v>3565</v>
      </c>
      <c r="V27" t="s">
        <v>3566</v>
      </c>
      <c r="W27" t="s">
        <v>7347</v>
      </c>
      <c r="X27">
        <v>42.1</v>
      </c>
      <c r="Y27">
        <v>42.1</v>
      </c>
      <c r="Z27" s="47">
        <v>0.81</v>
      </c>
      <c r="AA27">
        <v>1</v>
      </c>
      <c r="AB27">
        <v>100</v>
      </c>
      <c r="AC27">
        <v>16486</v>
      </c>
    </row>
    <row r="28" spans="1:29" x14ac:dyDescent="0.2">
      <c r="A28" t="s">
        <v>3567</v>
      </c>
      <c r="B28" t="s">
        <v>3568</v>
      </c>
      <c r="C28" t="s">
        <v>7348</v>
      </c>
      <c r="D28">
        <v>34.200000000000003</v>
      </c>
      <c r="E28">
        <v>34.200000000000003</v>
      </c>
      <c r="F28" s="47">
        <v>0.77</v>
      </c>
      <c r="G28">
        <v>97</v>
      </c>
      <c r="H28">
        <v>100</v>
      </c>
      <c r="I28">
        <v>16968</v>
      </c>
      <c r="K28" t="s">
        <v>3569</v>
      </c>
      <c r="L28" t="s">
        <v>3570</v>
      </c>
      <c r="M28" t="s">
        <v>7349</v>
      </c>
      <c r="N28">
        <v>40.1</v>
      </c>
      <c r="O28">
        <v>40.1</v>
      </c>
      <c r="P28" s="47">
        <v>0.91</v>
      </c>
      <c r="Q28">
        <v>1.6</v>
      </c>
      <c r="R28">
        <v>100</v>
      </c>
      <c r="S28">
        <v>2400952</v>
      </c>
      <c r="U28" t="s">
        <v>3571</v>
      </c>
      <c r="V28" t="s">
        <v>3572</v>
      </c>
      <c r="W28" t="s">
        <v>7350</v>
      </c>
      <c r="X28">
        <v>42.1</v>
      </c>
      <c r="Y28">
        <v>42.1</v>
      </c>
      <c r="Z28" s="47">
        <v>0.81</v>
      </c>
      <c r="AA28">
        <v>1</v>
      </c>
      <c r="AB28">
        <v>100</v>
      </c>
      <c r="AC28">
        <v>18029</v>
      </c>
    </row>
    <row r="29" spans="1:29" x14ac:dyDescent="0.2">
      <c r="A29" t="s">
        <v>3573</v>
      </c>
      <c r="B29" t="s">
        <v>3574</v>
      </c>
      <c r="C29" t="s">
        <v>7351</v>
      </c>
      <c r="D29">
        <v>34.200000000000003</v>
      </c>
      <c r="E29">
        <v>34.200000000000003</v>
      </c>
      <c r="F29" s="47">
        <v>0.77</v>
      </c>
      <c r="G29">
        <v>97</v>
      </c>
      <c r="H29">
        <v>100</v>
      </c>
      <c r="I29">
        <v>8706</v>
      </c>
      <c r="K29" t="s">
        <v>3575</v>
      </c>
      <c r="L29" t="s">
        <v>3570</v>
      </c>
      <c r="M29" t="s">
        <v>7352</v>
      </c>
      <c r="N29">
        <v>40.1</v>
      </c>
      <c r="O29">
        <v>40.1</v>
      </c>
      <c r="P29" s="47">
        <v>0.91</v>
      </c>
      <c r="Q29">
        <v>1.6</v>
      </c>
      <c r="R29">
        <v>100</v>
      </c>
      <c r="S29">
        <v>2363171</v>
      </c>
      <c r="U29" t="s">
        <v>3576</v>
      </c>
      <c r="V29" t="s">
        <v>3412</v>
      </c>
      <c r="W29" t="s">
        <v>7353</v>
      </c>
      <c r="X29">
        <v>42.1</v>
      </c>
      <c r="Y29">
        <v>42.1</v>
      </c>
      <c r="Z29" s="47">
        <v>0.96</v>
      </c>
      <c r="AA29">
        <v>1</v>
      </c>
      <c r="AB29">
        <v>96</v>
      </c>
      <c r="AC29">
        <v>522</v>
      </c>
    </row>
    <row r="30" spans="1:29" x14ac:dyDescent="0.2">
      <c r="A30" t="s">
        <v>3577</v>
      </c>
      <c r="B30" t="s">
        <v>3578</v>
      </c>
      <c r="C30" t="s">
        <v>7354</v>
      </c>
      <c r="D30">
        <v>34.200000000000003</v>
      </c>
      <c r="E30">
        <v>34.200000000000003</v>
      </c>
      <c r="F30" s="47">
        <v>0.95</v>
      </c>
      <c r="G30">
        <v>97</v>
      </c>
      <c r="H30">
        <v>95.24</v>
      </c>
      <c r="I30">
        <v>16504</v>
      </c>
      <c r="K30" t="s">
        <v>3579</v>
      </c>
      <c r="L30" t="s">
        <v>3580</v>
      </c>
      <c r="M30" t="s">
        <v>7355</v>
      </c>
      <c r="N30">
        <v>38.200000000000003</v>
      </c>
      <c r="O30">
        <v>38.200000000000003</v>
      </c>
      <c r="P30" s="47">
        <v>0.86</v>
      </c>
      <c r="Q30">
        <v>6.2</v>
      </c>
      <c r="R30">
        <v>100</v>
      </c>
      <c r="S30">
        <v>16719220</v>
      </c>
      <c r="U30" t="s">
        <v>3581</v>
      </c>
      <c r="V30" t="s">
        <v>3412</v>
      </c>
      <c r="W30" t="s">
        <v>7356</v>
      </c>
      <c r="X30">
        <v>42.1</v>
      </c>
      <c r="Y30">
        <v>42.1</v>
      </c>
      <c r="Z30" s="47">
        <v>0.96</v>
      </c>
      <c r="AA30">
        <v>1</v>
      </c>
      <c r="AB30">
        <v>96</v>
      </c>
      <c r="AC30">
        <v>522</v>
      </c>
    </row>
    <row r="31" spans="1:29" x14ac:dyDescent="0.2">
      <c r="A31" t="s">
        <v>3582</v>
      </c>
      <c r="B31" t="s">
        <v>3574</v>
      </c>
      <c r="C31" t="s">
        <v>7357</v>
      </c>
      <c r="D31">
        <v>34.200000000000003</v>
      </c>
      <c r="E31">
        <v>34.200000000000003</v>
      </c>
      <c r="F31" s="47">
        <v>0.77</v>
      </c>
      <c r="G31">
        <v>97</v>
      </c>
      <c r="H31">
        <v>100</v>
      </c>
      <c r="I31">
        <v>8598</v>
      </c>
      <c r="K31" t="s">
        <v>3583</v>
      </c>
      <c r="L31" t="s">
        <v>3584</v>
      </c>
      <c r="M31" t="s">
        <v>7358</v>
      </c>
      <c r="N31">
        <v>38.200000000000003</v>
      </c>
      <c r="O31">
        <v>38.200000000000003</v>
      </c>
      <c r="P31" s="47">
        <v>0.86</v>
      </c>
      <c r="Q31">
        <v>6.2</v>
      </c>
      <c r="R31">
        <v>100</v>
      </c>
      <c r="S31">
        <v>1048</v>
      </c>
      <c r="U31" t="s">
        <v>3585</v>
      </c>
      <c r="V31" t="s">
        <v>3412</v>
      </c>
      <c r="W31" t="s">
        <v>7359</v>
      </c>
      <c r="X31">
        <v>42.1</v>
      </c>
      <c r="Y31">
        <v>42.1</v>
      </c>
      <c r="Z31" s="47">
        <v>0.96</v>
      </c>
      <c r="AA31">
        <v>1</v>
      </c>
      <c r="AB31">
        <v>96</v>
      </c>
      <c r="AC31">
        <v>522</v>
      </c>
    </row>
    <row r="32" spans="1:29" x14ac:dyDescent="0.2">
      <c r="A32" t="s">
        <v>3586</v>
      </c>
      <c r="B32" t="s">
        <v>3587</v>
      </c>
      <c r="C32" t="s">
        <v>7360</v>
      </c>
      <c r="D32">
        <v>34.200000000000003</v>
      </c>
      <c r="E32">
        <v>34.200000000000003</v>
      </c>
      <c r="F32" s="47">
        <v>0.77</v>
      </c>
      <c r="G32">
        <v>97</v>
      </c>
      <c r="H32">
        <v>100</v>
      </c>
      <c r="I32">
        <v>4252</v>
      </c>
      <c r="K32" t="s">
        <v>3588</v>
      </c>
      <c r="L32" t="s">
        <v>3589</v>
      </c>
      <c r="M32" t="s">
        <v>7027</v>
      </c>
      <c r="N32">
        <v>36.200000000000003</v>
      </c>
      <c r="O32">
        <v>70.400000000000006</v>
      </c>
      <c r="P32" s="47">
        <v>0.82</v>
      </c>
      <c r="Q32">
        <v>25</v>
      </c>
      <c r="R32">
        <v>100</v>
      </c>
      <c r="S32">
        <v>51881481</v>
      </c>
      <c r="U32" t="s">
        <v>3590</v>
      </c>
      <c r="V32" t="s">
        <v>3412</v>
      </c>
      <c r="W32" t="s">
        <v>7361</v>
      </c>
      <c r="X32">
        <v>42.1</v>
      </c>
      <c r="Y32">
        <v>42.1</v>
      </c>
      <c r="Z32" s="47">
        <v>0.96</v>
      </c>
      <c r="AA32">
        <v>1</v>
      </c>
      <c r="AB32">
        <v>96</v>
      </c>
      <c r="AC32">
        <v>522</v>
      </c>
    </row>
    <row r="33" spans="1:29" x14ac:dyDescent="0.2">
      <c r="A33" t="s">
        <v>3579</v>
      </c>
      <c r="B33" t="s">
        <v>3580</v>
      </c>
      <c r="C33" t="s">
        <v>7355</v>
      </c>
      <c r="D33">
        <v>34.200000000000003</v>
      </c>
      <c r="E33">
        <v>34.200000000000003</v>
      </c>
      <c r="F33" s="47">
        <v>0.77</v>
      </c>
      <c r="G33">
        <v>97</v>
      </c>
      <c r="H33">
        <v>100</v>
      </c>
      <c r="I33">
        <v>16719220</v>
      </c>
      <c r="K33" t="s">
        <v>3591</v>
      </c>
      <c r="L33" t="s">
        <v>3592</v>
      </c>
      <c r="M33" t="s">
        <v>7362</v>
      </c>
      <c r="N33">
        <v>36.200000000000003</v>
      </c>
      <c r="O33">
        <v>36.200000000000003</v>
      </c>
      <c r="P33" s="47">
        <v>0.82</v>
      </c>
      <c r="Q33">
        <v>25</v>
      </c>
      <c r="R33">
        <v>100</v>
      </c>
      <c r="S33">
        <v>7850417</v>
      </c>
      <c r="U33" t="s">
        <v>3593</v>
      </c>
      <c r="V33" t="s">
        <v>3412</v>
      </c>
      <c r="W33" t="s">
        <v>7363</v>
      </c>
      <c r="X33">
        <v>42.1</v>
      </c>
      <c r="Y33">
        <v>42.1</v>
      </c>
      <c r="Z33" s="47">
        <v>0.96</v>
      </c>
      <c r="AA33">
        <v>1</v>
      </c>
      <c r="AB33">
        <v>96</v>
      </c>
      <c r="AC33">
        <v>522</v>
      </c>
    </row>
    <row r="34" spans="1:29" x14ac:dyDescent="0.2">
      <c r="A34" t="s">
        <v>3594</v>
      </c>
      <c r="B34" t="s">
        <v>3595</v>
      </c>
      <c r="C34" t="s">
        <v>7364</v>
      </c>
      <c r="D34">
        <v>34.200000000000003</v>
      </c>
      <c r="E34">
        <v>34.200000000000003</v>
      </c>
      <c r="F34" s="47">
        <v>0.77</v>
      </c>
      <c r="G34">
        <v>97</v>
      </c>
      <c r="H34">
        <v>100</v>
      </c>
      <c r="I34">
        <v>8837</v>
      </c>
      <c r="K34" t="s">
        <v>3596</v>
      </c>
      <c r="L34" t="s">
        <v>3597</v>
      </c>
      <c r="M34" t="s">
        <v>7365</v>
      </c>
      <c r="N34">
        <v>36.200000000000003</v>
      </c>
      <c r="O34">
        <v>36.200000000000003</v>
      </c>
      <c r="P34" s="47">
        <v>0.82</v>
      </c>
      <c r="Q34">
        <v>25</v>
      </c>
      <c r="R34">
        <v>100</v>
      </c>
      <c r="S34">
        <v>5028</v>
      </c>
      <c r="U34" t="s">
        <v>3598</v>
      </c>
      <c r="V34" t="s">
        <v>3410</v>
      </c>
      <c r="W34" t="s">
        <v>7366</v>
      </c>
      <c r="X34">
        <v>42.1</v>
      </c>
      <c r="Y34">
        <v>42.1</v>
      </c>
      <c r="Z34" s="47">
        <v>0.96</v>
      </c>
      <c r="AA34">
        <v>1</v>
      </c>
      <c r="AB34">
        <v>96</v>
      </c>
      <c r="AC34">
        <v>522</v>
      </c>
    </row>
    <row r="35" spans="1:29" x14ac:dyDescent="0.2">
      <c r="A35" t="s">
        <v>3599</v>
      </c>
      <c r="B35" t="s">
        <v>3600</v>
      </c>
      <c r="C35" t="s">
        <v>7367</v>
      </c>
      <c r="D35">
        <v>34.200000000000003</v>
      </c>
      <c r="E35">
        <v>34.200000000000003</v>
      </c>
      <c r="F35" s="47">
        <v>0.77</v>
      </c>
      <c r="G35">
        <v>97</v>
      </c>
      <c r="H35">
        <v>100</v>
      </c>
      <c r="I35">
        <v>323</v>
      </c>
      <c r="K35" t="s">
        <v>3601</v>
      </c>
      <c r="L35" t="s">
        <v>3602</v>
      </c>
      <c r="M35" t="s">
        <v>7368</v>
      </c>
      <c r="N35">
        <v>36.200000000000003</v>
      </c>
      <c r="O35">
        <v>36.200000000000003</v>
      </c>
      <c r="P35" s="47">
        <v>0.82</v>
      </c>
      <c r="Q35">
        <v>25</v>
      </c>
      <c r="R35">
        <v>100</v>
      </c>
      <c r="S35">
        <v>1040639</v>
      </c>
      <c r="U35" t="s">
        <v>3603</v>
      </c>
      <c r="V35" t="s">
        <v>3412</v>
      </c>
      <c r="W35" t="s">
        <v>7369</v>
      </c>
      <c r="X35">
        <v>42.1</v>
      </c>
      <c r="Y35">
        <v>42.1</v>
      </c>
      <c r="Z35" s="47">
        <v>0.96</v>
      </c>
      <c r="AA35">
        <v>1</v>
      </c>
      <c r="AB35">
        <v>96</v>
      </c>
      <c r="AC35">
        <v>522</v>
      </c>
    </row>
    <row r="36" spans="1:29" x14ac:dyDescent="0.2">
      <c r="A36" t="s">
        <v>3604</v>
      </c>
      <c r="B36" t="s">
        <v>3605</v>
      </c>
      <c r="C36" t="s">
        <v>7370</v>
      </c>
      <c r="D36">
        <v>34.200000000000003</v>
      </c>
      <c r="E36">
        <v>34.200000000000003</v>
      </c>
      <c r="F36" s="47">
        <v>0.77</v>
      </c>
      <c r="G36">
        <v>97</v>
      </c>
      <c r="H36">
        <v>100</v>
      </c>
      <c r="I36">
        <v>8629</v>
      </c>
      <c r="K36" t="s">
        <v>3606</v>
      </c>
      <c r="L36" t="s">
        <v>3597</v>
      </c>
      <c r="M36" t="s">
        <v>7371</v>
      </c>
      <c r="N36">
        <v>36.200000000000003</v>
      </c>
      <c r="O36">
        <v>36.200000000000003</v>
      </c>
      <c r="P36" s="47">
        <v>0.82</v>
      </c>
      <c r="Q36">
        <v>25</v>
      </c>
      <c r="R36">
        <v>100</v>
      </c>
      <c r="S36">
        <v>4768</v>
      </c>
      <c r="U36" t="s">
        <v>3607</v>
      </c>
      <c r="V36" t="s">
        <v>3608</v>
      </c>
      <c r="W36" t="s">
        <v>7372</v>
      </c>
      <c r="X36">
        <v>40.1</v>
      </c>
      <c r="Y36">
        <v>40.1</v>
      </c>
      <c r="Z36" s="47">
        <v>0.77</v>
      </c>
      <c r="AA36">
        <v>3.9</v>
      </c>
      <c r="AB36">
        <v>100</v>
      </c>
      <c r="AC36">
        <v>2565</v>
      </c>
    </row>
    <row r="37" spans="1:29" x14ac:dyDescent="0.2">
      <c r="A37" t="s">
        <v>3609</v>
      </c>
      <c r="B37" t="s">
        <v>3595</v>
      </c>
      <c r="C37" t="s">
        <v>7373</v>
      </c>
      <c r="D37">
        <v>34.200000000000003</v>
      </c>
      <c r="E37">
        <v>34.200000000000003</v>
      </c>
      <c r="F37" s="47">
        <v>0.77</v>
      </c>
      <c r="G37">
        <v>97</v>
      </c>
      <c r="H37">
        <v>100</v>
      </c>
      <c r="I37">
        <v>8604</v>
      </c>
      <c r="K37" t="s">
        <v>3610</v>
      </c>
      <c r="L37" t="s">
        <v>3597</v>
      </c>
      <c r="M37" t="s">
        <v>7374</v>
      </c>
      <c r="N37">
        <v>36.200000000000003</v>
      </c>
      <c r="O37">
        <v>36.200000000000003</v>
      </c>
      <c r="P37" s="47">
        <v>0.82</v>
      </c>
      <c r="Q37">
        <v>25</v>
      </c>
      <c r="R37">
        <v>100</v>
      </c>
      <c r="S37">
        <v>5039</v>
      </c>
      <c r="U37" t="s">
        <v>3611</v>
      </c>
      <c r="V37" t="s">
        <v>3612</v>
      </c>
      <c r="W37" t="s">
        <v>7375</v>
      </c>
      <c r="X37">
        <v>40.1</v>
      </c>
      <c r="Y37">
        <v>40.1</v>
      </c>
      <c r="Z37" s="47">
        <v>0.77</v>
      </c>
      <c r="AA37">
        <v>3.9</v>
      </c>
      <c r="AB37">
        <v>100</v>
      </c>
      <c r="AC37">
        <v>9044</v>
      </c>
    </row>
    <row r="38" spans="1:29" x14ac:dyDescent="0.2">
      <c r="A38" t="s">
        <v>3613</v>
      </c>
      <c r="B38" t="s">
        <v>3561</v>
      </c>
      <c r="C38" t="s">
        <v>7376</v>
      </c>
      <c r="D38">
        <v>34.200000000000003</v>
      </c>
      <c r="E38">
        <v>34.200000000000003</v>
      </c>
      <c r="F38" s="47">
        <v>0.77</v>
      </c>
      <c r="G38">
        <v>97</v>
      </c>
      <c r="H38">
        <v>100</v>
      </c>
      <c r="I38">
        <v>8466</v>
      </c>
      <c r="K38" t="s">
        <v>3614</v>
      </c>
      <c r="L38" t="s">
        <v>3615</v>
      </c>
      <c r="M38" t="s">
        <v>7377</v>
      </c>
      <c r="N38">
        <v>36.200000000000003</v>
      </c>
      <c r="O38">
        <v>36.200000000000003</v>
      </c>
      <c r="P38" s="47">
        <v>0.82</v>
      </c>
      <c r="Q38">
        <v>25</v>
      </c>
      <c r="R38">
        <v>100</v>
      </c>
      <c r="S38">
        <v>1041170</v>
      </c>
      <c r="U38" t="s">
        <v>3616</v>
      </c>
      <c r="V38" t="s">
        <v>3617</v>
      </c>
      <c r="W38" t="s">
        <v>7378</v>
      </c>
      <c r="X38">
        <v>40.1</v>
      </c>
      <c r="Y38">
        <v>40.1</v>
      </c>
      <c r="Z38" s="47">
        <v>0.77</v>
      </c>
      <c r="AA38">
        <v>3.9</v>
      </c>
      <c r="AB38">
        <v>100</v>
      </c>
      <c r="AC38">
        <v>16544</v>
      </c>
    </row>
    <row r="39" spans="1:29" x14ac:dyDescent="0.2">
      <c r="A39" t="s">
        <v>3618</v>
      </c>
      <c r="B39" t="s">
        <v>3595</v>
      </c>
      <c r="C39" t="s">
        <v>7379</v>
      </c>
      <c r="D39">
        <v>34.200000000000003</v>
      </c>
      <c r="E39">
        <v>34.200000000000003</v>
      </c>
      <c r="F39" s="47">
        <v>0.77</v>
      </c>
      <c r="G39">
        <v>97</v>
      </c>
      <c r="H39">
        <v>100</v>
      </c>
      <c r="I39">
        <v>8447</v>
      </c>
      <c r="K39" t="s">
        <v>3619</v>
      </c>
      <c r="L39" t="s">
        <v>3597</v>
      </c>
      <c r="M39" t="s">
        <v>7380</v>
      </c>
      <c r="N39">
        <v>36.200000000000003</v>
      </c>
      <c r="O39">
        <v>36.200000000000003</v>
      </c>
      <c r="P39" s="47">
        <v>0.82</v>
      </c>
      <c r="Q39">
        <v>25</v>
      </c>
      <c r="R39">
        <v>100</v>
      </c>
      <c r="S39">
        <v>4937</v>
      </c>
      <c r="U39" t="s">
        <v>3620</v>
      </c>
      <c r="V39" t="s">
        <v>3621</v>
      </c>
      <c r="W39" t="s">
        <v>7381</v>
      </c>
      <c r="X39">
        <v>40.1</v>
      </c>
      <c r="Y39">
        <v>72.400000000000006</v>
      </c>
      <c r="Z39" s="47">
        <v>1</v>
      </c>
      <c r="AA39">
        <v>3.9</v>
      </c>
      <c r="AB39">
        <v>100</v>
      </c>
      <c r="AC39">
        <v>9121443</v>
      </c>
    </row>
    <row r="40" spans="1:29" x14ac:dyDescent="0.2">
      <c r="A40" t="s">
        <v>3622</v>
      </c>
      <c r="B40" t="s">
        <v>3595</v>
      </c>
      <c r="C40" t="s">
        <v>7382</v>
      </c>
      <c r="D40">
        <v>34.200000000000003</v>
      </c>
      <c r="E40">
        <v>34.200000000000003</v>
      </c>
      <c r="F40" s="47">
        <v>0.77</v>
      </c>
      <c r="G40">
        <v>97</v>
      </c>
      <c r="H40">
        <v>100</v>
      </c>
      <c r="I40">
        <v>9464</v>
      </c>
      <c r="K40" t="s">
        <v>3623</v>
      </c>
      <c r="L40" t="s">
        <v>3624</v>
      </c>
      <c r="M40" t="s">
        <v>7383</v>
      </c>
      <c r="N40">
        <v>36.200000000000003</v>
      </c>
      <c r="O40">
        <v>36.200000000000003</v>
      </c>
      <c r="P40" s="47">
        <v>0.82</v>
      </c>
      <c r="Q40">
        <v>25</v>
      </c>
      <c r="R40">
        <v>100</v>
      </c>
      <c r="S40">
        <v>1499175</v>
      </c>
      <c r="U40" t="s">
        <v>3625</v>
      </c>
      <c r="V40" t="s">
        <v>3626</v>
      </c>
      <c r="W40" t="s">
        <v>7384</v>
      </c>
      <c r="X40">
        <v>40.1</v>
      </c>
      <c r="Y40">
        <v>40.1</v>
      </c>
      <c r="Z40" s="47">
        <v>0.92</v>
      </c>
      <c r="AA40">
        <v>3.9</v>
      </c>
      <c r="AB40">
        <v>95.83</v>
      </c>
      <c r="AC40">
        <v>16556</v>
      </c>
    </row>
    <row r="41" spans="1:29" x14ac:dyDescent="0.2">
      <c r="A41" t="s">
        <v>3627</v>
      </c>
      <c r="B41" t="s">
        <v>3587</v>
      </c>
      <c r="C41" t="s">
        <v>7385</v>
      </c>
      <c r="D41">
        <v>34.200000000000003</v>
      </c>
      <c r="E41">
        <v>34.200000000000003</v>
      </c>
      <c r="F41" s="47">
        <v>0.77</v>
      </c>
      <c r="G41">
        <v>97</v>
      </c>
      <c r="H41">
        <v>100</v>
      </c>
      <c r="I41">
        <v>4139</v>
      </c>
      <c r="K41" t="s">
        <v>3628</v>
      </c>
      <c r="L41" t="s">
        <v>3597</v>
      </c>
      <c r="M41" t="s">
        <v>7386</v>
      </c>
      <c r="N41">
        <v>36.200000000000003</v>
      </c>
      <c r="O41">
        <v>36.200000000000003</v>
      </c>
      <c r="P41" s="47">
        <v>0.82</v>
      </c>
      <c r="Q41">
        <v>25</v>
      </c>
      <c r="R41">
        <v>100</v>
      </c>
      <c r="S41">
        <v>4694</v>
      </c>
      <c r="U41" t="s">
        <v>3629</v>
      </c>
      <c r="V41" t="s">
        <v>3630</v>
      </c>
      <c r="W41" t="s">
        <v>7387</v>
      </c>
      <c r="X41">
        <v>40.1</v>
      </c>
      <c r="Y41">
        <v>40.1</v>
      </c>
      <c r="Z41" s="47">
        <v>0.92</v>
      </c>
      <c r="AA41">
        <v>3.9</v>
      </c>
      <c r="AB41">
        <v>95.83</v>
      </c>
      <c r="AC41">
        <v>16498</v>
      </c>
    </row>
    <row r="42" spans="1:29" x14ac:dyDescent="0.2">
      <c r="A42" t="s">
        <v>3631</v>
      </c>
      <c r="B42" t="s">
        <v>3574</v>
      </c>
      <c r="C42" t="s">
        <v>7388</v>
      </c>
      <c r="D42">
        <v>34.200000000000003</v>
      </c>
      <c r="E42">
        <v>34.200000000000003</v>
      </c>
      <c r="F42" s="47">
        <v>0.77</v>
      </c>
      <c r="G42">
        <v>97</v>
      </c>
      <c r="H42">
        <v>100</v>
      </c>
      <c r="I42">
        <v>8673</v>
      </c>
      <c r="K42" t="s">
        <v>3632</v>
      </c>
      <c r="L42" t="s">
        <v>3633</v>
      </c>
      <c r="M42" t="s">
        <v>7389</v>
      </c>
      <c r="N42">
        <v>36.200000000000003</v>
      </c>
      <c r="O42">
        <v>36.200000000000003</v>
      </c>
      <c r="P42" s="47">
        <v>0.82</v>
      </c>
      <c r="Q42">
        <v>25</v>
      </c>
      <c r="R42">
        <v>100</v>
      </c>
      <c r="S42">
        <v>5207023</v>
      </c>
      <c r="U42" t="s">
        <v>3634</v>
      </c>
      <c r="V42" t="s">
        <v>3546</v>
      </c>
      <c r="W42" t="s">
        <v>7390</v>
      </c>
      <c r="X42">
        <v>40.1</v>
      </c>
      <c r="Y42">
        <v>40.1</v>
      </c>
      <c r="Z42" s="47">
        <v>0.77</v>
      </c>
      <c r="AA42">
        <v>3.9</v>
      </c>
      <c r="AB42">
        <v>100</v>
      </c>
      <c r="AC42">
        <v>180538</v>
      </c>
    </row>
    <row r="43" spans="1:29" x14ac:dyDescent="0.2">
      <c r="A43" t="s">
        <v>3635</v>
      </c>
      <c r="B43" t="s">
        <v>3636</v>
      </c>
      <c r="C43" t="s">
        <v>7391</v>
      </c>
      <c r="D43">
        <v>34.200000000000003</v>
      </c>
      <c r="E43">
        <v>34.200000000000003</v>
      </c>
      <c r="F43" s="47">
        <v>0.77</v>
      </c>
      <c r="G43">
        <v>97</v>
      </c>
      <c r="H43">
        <v>100</v>
      </c>
      <c r="I43">
        <v>605</v>
      </c>
      <c r="K43" t="s">
        <v>3637</v>
      </c>
      <c r="L43" t="s">
        <v>3638</v>
      </c>
      <c r="M43" t="s">
        <v>7392</v>
      </c>
      <c r="N43">
        <v>36.200000000000003</v>
      </c>
      <c r="O43">
        <v>36.200000000000003</v>
      </c>
      <c r="P43" s="47">
        <v>0.82</v>
      </c>
      <c r="Q43">
        <v>25</v>
      </c>
      <c r="R43">
        <v>100</v>
      </c>
      <c r="S43">
        <v>164907</v>
      </c>
      <c r="U43" t="s">
        <v>3639</v>
      </c>
      <c r="V43" t="s">
        <v>3640</v>
      </c>
      <c r="W43" t="s">
        <v>7393</v>
      </c>
      <c r="X43">
        <v>40.1</v>
      </c>
      <c r="Y43">
        <v>40.1</v>
      </c>
      <c r="Z43" s="47">
        <v>0.77</v>
      </c>
      <c r="AA43">
        <v>3.9</v>
      </c>
      <c r="AB43">
        <v>100</v>
      </c>
      <c r="AC43">
        <v>96089878</v>
      </c>
    </row>
    <row r="44" spans="1:29" x14ac:dyDescent="0.2">
      <c r="A44" t="s">
        <v>3641</v>
      </c>
      <c r="B44" t="s">
        <v>3642</v>
      </c>
      <c r="C44" t="s">
        <v>7394</v>
      </c>
      <c r="D44">
        <v>34.200000000000003</v>
      </c>
      <c r="E44">
        <v>34.200000000000003</v>
      </c>
      <c r="F44" s="47">
        <v>0.77</v>
      </c>
      <c r="G44">
        <v>97</v>
      </c>
      <c r="H44">
        <v>100</v>
      </c>
      <c r="I44">
        <v>1506</v>
      </c>
      <c r="K44" t="s">
        <v>3643</v>
      </c>
      <c r="L44" t="s">
        <v>3644</v>
      </c>
      <c r="M44" t="s">
        <v>6930</v>
      </c>
      <c r="N44">
        <v>36.200000000000003</v>
      </c>
      <c r="O44">
        <v>36.200000000000003</v>
      </c>
      <c r="P44" s="47">
        <v>0.82</v>
      </c>
      <c r="Q44">
        <v>25</v>
      </c>
      <c r="R44">
        <v>100</v>
      </c>
      <c r="S44">
        <v>16485</v>
      </c>
      <c r="U44" t="s">
        <v>3645</v>
      </c>
      <c r="V44" t="s">
        <v>3646</v>
      </c>
      <c r="W44" t="s">
        <v>7395</v>
      </c>
      <c r="X44">
        <v>40.1</v>
      </c>
      <c r="Y44">
        <v>40.1</v>
      </c>
      <c r="Z44" s="47">
        <v>0.77</v>
      </c>
      <c r="AA44">
        <v>3.9</v>
      </c>
      <c r="AB44">
        <v>100</v>
      </c>
      <c r="AC44">
        <v>2742</v>
      </c>
    </row>
    <row r="45" spans="1:29" x14ac:dyDescent="0.2">
      <c r="A45" t="s">
        <v>3647</v>
      </c>
      <c r="B45" t="s">
        <v>3648</v>
      </c>
      <c r="C45" t="s">
        <v>7396</v>
      </c>
      <c r="D45">
        <v>34.200000000000003</v>
      </c>
      <c r="E45">
        <v>34.200000000000003</v>
      </c>
      <c r="F45" s="47">
        <v>0.77</v>
      </c>
      <c r="G45">
        <v>97</v>
      </c>
      <c r="H45">
        <v>100</v>
      </c>
      <c r="I45">
        <v>5337844</v>
      </c>
      <c r="K45" t="s">
        <v>3649</v>
      </c>
      <c r="L45" t="s">
        <v>3650</v>
      </c>
      <c r="M45" t="s">
        <v>7397</v>
      </c>
      <c r="N45">
        <v>36.200000000000003</v>
      </c>
      <c r="O45">
        <v>36.200000000000003</v>
      </c>
      <c r="P45" s="47">
        <v>0.82</v>
      </c>
      <c r="Q45">
        <v>25</v>
      </c>
      <c r="R45">
        <v>100</v>
      </c>
      <c r="S45">
        <v>2555069</v>
      </c>
      <c r="U45" t="s">
        <v>3651</v>
      </c>
      <c r="V45" t="s">
        <v>3652</v>
      </c>
      <c r="W45" t="s">
        <v>7398</v>
      </c>
      <c r="X45">
        <v>40.1</v>
      </c>
      <c r="Y45">
        <v>40.1</v>
      </c>
      <c r="Z45" s="47">
        <v>0.77</v>
      </c>
      <c r="AA45">
        <v>3.9</v>
      </c>
      <c r="AB45">
        <v>100</v>
      </c>
      <c r="AC45">
        <v>6009</v>
      </c>
    </row>
    <row r="46" spans="1:29" x14ac:dyDescent="0.2">
      <c r="A46" t="s">
        <v>3599</v>
      </c>
      <c r="B46" t="s">
        <v>3600</v>
      </c>
      <c r="C46" t="s">
        <v>7399</v>
      </c>
      <c r="D46">
        <v>34.200000000000003</v>
      </c>
      <c r="E46">
        <v>68.400000000000006</v>
      </c>
      <c r="F46" s="47">
        <v>0.77</v>
      </c>
      <c r="G46">
        <v>97</v>
      </c>
      <c r="H46">
        <v>100</v>
      </c>
      <c r="I46">
        <v>1670</v>
      </c>
      <c r="K46" t="s">
        <v>3653</v>
      </c>
      <c r="L46" t="s">
        <v>3644</v>
      </c>
      <c r="M46" t="s">
        <v>7123</v>
      </c>
      <c r="N46">
        <v>36.200000000000003</v>
      </c>
      <c r="O46">
        <v>36.200000000000003</v>
      </c>
      <c r="P46" s="47">
        <v>0.82</v>
      </c>
      <c r="Q46">
        <v>25</v>
      </c>
      <c r="R46">
        <v>100</v>
      </c>
      <c r="S46">
        <v>16488</v>
      </c>
      <c r="U46" t="s">
        <v>3639</v>
      </c>
      <c r="V46" t="s">
        <v>3640</v>
      </c>
      <c r="W46" t="s">
        <v>6579</v>
      </c>
      <c r="X46">
        <v>40.1</v>
      </c>
      <c r="Y46">
        <v>40.1</v>
      </c>
      <c r="Z46" s="47">
        <v>0.77</v>
      </c>
      <c r="AA46">
        <v>3.9</v>
      </c>
      <c r="AB46">
        <v>100</v>
      </c>
      <c r="AC46">
        <v>96089878</v>
      </c>
    </row>
    <row r="47" spans="1:29" x14ac:dyDescent="0.2">
      <c r="A47" t="s">
        <v>3654</v>
      </c>
      <c r="B47" t="s">
        <v>3561</v>
      </c>
      <c r="C47" t="s">
        <v>7400</v>
      </c>
      <c r="D47">
        <v>34.200000000000003</v>
      </c>
      <c r="E47">
        <v>34.200000000000003</v>
      </c>
      <c r="F47" s="47">
        <v>0.77</v>
      </c>
      <c r="G47">
        <v>97</v>
      </c>
      <c r="H47">
        <v>100</v>
      </c>
      <c r="I47">
        <v>8964</v>
      </c>
      <c r="K47" t="s">
        <v>3655</v>
      </c>
      <c r="L47" t="s">
        <v>3656</v>
      </c>
      <c r="M47" t="s">
        <v>7401</v>
      </c>
      <c r="N47">
        <v>36.200000000000003</v>
      </c>
      <c r="O47">
        <v>36.200000000000003</v>
      </c>
      <c r="P47" s="47">
        <v>0.82</v>
      </c>
      <c r="Q47">
        <v>25</v>
      </c>
      <c r="R47">
        <v>100</v>
      </c>
      <c r="S47">
        <v>2576584</v>
      </c>
      <c r="U47" t="s">
        <v>3657</v>
      </c>
      <c r="V47" t="s">
        <v>3658</v>
      </c>
      <c r="W47" t="s">
        <v>7402</v>
      </c>
      <c r="X47">
        <v>40.1</v>
      </c>
      <c r="Y47">
        <v>40.1</v>
      </c>
      <c r="Z47" s="47">
        <v>0.77</v>
      </c>
      <c r="AA47">
        <v>3.9</v>
      </c>
      <c r="AB47">
        <v>100</v>
      </c>
      <c r="AC47">
        <v>2564</v>
      </c>
    </row>
    <row r="48" spans="1:29" x14ac:dyDescent="0.2">
      <c r="A48" t="s">
        <v>3659</v>
      </c>
      <c r="B48" t="s">
        <v>3605</v>
      </c>
      <c r="C48" t="s">
        <v>7403</v>
      </c>
      <c r="D48">
        <v>34.200000000000003</v>
      </c>
      <c r="E48">
        <v>34.200000000000003</v>
      </c>
      <c r="F48" s="47">
        <v>0.77</v>
      </c>
      <c r="G48">
        <v>97</v>
      </c>
      <c r="H48">
        <v>100</v>
      </c>
      <c r="I48">
        <v>8514</v>
      </c>
      <c r="K48" t="s">
        <v>3660</v>
      </c>
      <c r="L48" t="s">
        <v>3661</v>
      </c>
      <c r="M48" t="s">
        <v>7404</v>
      </c>
      <c r="N48">
        <v>36.200000000000003</v>
      </c>
      <c r="O48">
        <v>36.200000000000003</v>
      </c>
      <c r="P48" s="47">
        <v>0.82</v>
      </c>
      <c r="Q48">
        <v>25</v>
      </c>
      <c r="R48">
        <v>100</v>
      </c>
      <c r="S48">
        <v>3834119</v>
      </c>
      <c r="U48" t="s">
        <v>3662</v>
      </c>
      <c r="V48" t="s">
        <v>3663</v>
      </c>
      <c r="W48" t="s">
        <v>7405</v>
      </c>
      <c r="X48">
        <v>40.1</v>
      </c>
      <c r="Y48">
        <v>40.1</v>
      </c>
      <c r="Z48" s="47">
        <v>0.77</v>
      </c>
      <c r="AA48">
        <v>3.9</v>
      </c>
      <c r="AB48">
        <v>100</v>
      </c>
      <c r="AC48">
        <v>2262</v>
      </c>
    </row>
    <row r="49" spans="1:29" x14ac:dyDescent="0.2">
      <c r="A49" t="s">
        <v>3664</v>
      </c>
      <c r="B49" t="s">
        <v>3574</v>
      </c>
      <c r="C49" t="s">
        <v>7406</v>
      </c>
      <c r="D49">
        <v>34.200000000000003</v>
      </c>
      <c r="E49">
        <v>34.200000000000003</v>
      </c>
      <c r="F49" s="47">
        <v>0.77</v>
      </c>
      <c r="G49">
        <v>97</v>
      </c>
      <c r="H49">
        <v>100</v>
      </c>
      <c r="I49">
        <v>8783</v>
      </c>
      <c r="K49" t="s">
        <v>3665</v>
      </c>
      <c r="L49" t="s">
        <v>3666</v>
      </c>
      <c r="M49" t="s">
        <v>7407</v>
      </c>
      <c r="N49">
        <v>36.200000000000003</v>
      </c>
      <c r="O49">
        <v>36.200000000000003</v>
      </c>
      <c r="P49" s="47">
        <v>0.82</v>
      </c>
      <c r="Q49">
        <v>25</v>
      </c>
      <c r="R49">
        <v>100</v>
      </c>
      <c r="S49">
        <v>3111</v>
      </c>
      <c r="U49" t="s">
        <v>3667</v>
      </c>
      <c r="V49" t="s">
        <v>3658</v>
      </c>
      <c r="W49" t="s">
        <v>7408</v>
      </c>
      <c r="X49">
        <v>40.1</v>
      </c>
      <c r="Y49">
        <v>40.1</v>
      </c>
      <c r="Z49" s="47">
        <v>0.77</v>
      </c>
      <c r="AA49">
        <v>3.9</v>
      </c>
      <c r="AB49">
        <v>100</v>
      </c>
      <c r="AC49">
        <v>3731</v>
      </c>
    </row>
    <row r="50" spans="1:29" x14ac:dyDescent="0.2">
      <c r="A50" t="s">
        <v>3668</v>
      </c>
      <c r="B50" t="s">
        <v>3605</v>
      </c>
      <c r="C50" t="s">
        <v>7409</v>
      </c>
      <c r="D50">
        <v>34.200000000000003</v>
      </c>
      <c r="E50">
        <v>34.200000000000003</v>
      </c>
      <c r="F50" s="47">
        <v>0.77</v>
      </c>
      <c r="G50">
        <v>97</v>
      </c>
      <c r="H50">
        <v>100</v>
      </c>
      <c r="I50">
        <v>8587</v>
      </c>
      <c r="K50" t="s">
        <v>3669</v>
      </c>
      <c r="L50" t="s">
        <v>3670</v>
      </c>
      <c r="M50" t="s">
        <v>7410</v>
      </c>
      <c r="N50">
        <v>36.200000000000003</v>
      </c>
      <c r="O50">
        <v>36.200000000000003</v>
      </c>
      <c r="P50" s="47">
        <v>0.82</v>
      </c>
      <c r="Q50">
        <v>25</v>
      </c>
      <c r="R50">
        <v>100</v>
      </c>
      <c r="S50">
        <v>3274259</v>
      </c>
      <c r="U50" t="s">
        <v>3671</v>
      </c>
      <c r="V50" t="s">
        <v>3658</v>
      </c>
      <c r="W50" t="s">
        <v>7411</v>
      </c>
      <c r="X50">
        <v>40.1</v>
      </c>
      <c r="Y50">
        <v>40.1</v>
      </c>
      <c r="Z50" s="47">
        <v>0.77</v>
      </c>
      <c r="AA50">
        <v>3.9</v>
      </c>
      <c r="AB50">
        <v>100</v>
      </c>
      <c r="AC50">
        <v>2517</v>
      </c>
    </row>
    <row r="51" spans="1:29" x14ac:dyDescent="0.2">
      <c r="A51" t="s">
        <v>3672</v>
      </c>
      <c r="B51" t="s">
        <v>3595</v>
      </c>
      <c r="C51" t="s">
        <v>7412</v>
      </c>
      <c r="D51">
        <v>34.200000000000003</v>
      </c>
      <c r="E51">
        <v>34.200000000000003</v>
      </c>
      <c r="F51" s="47">
        <v>0.77</v>
      </c>
      <c r="G51">
        <v>97</v>
      </c>
      <c r="H51">
        <v>100</v>
      </c>
      <c r="I51">
        <v>8744</v>
      </c>
      <c r="K51" s="46" t="s">
        <v>3531</v>
      </c>
      <c r="L51" s="46" t="s">
        <v>2379</v>
      </c>
      <c r="M51" t="s">
        <v>6750</v>
      </c>
      <c r="N51">
        <v>36.200000000000003</v>
      </c>
      <c r="O51">
        <v>36.200000000000003</v>
      </c>
      <c r="P51" s="47">
        <v>1</v>
      </c>
      <c r="Q51">
        <v>25</v>
      </c>
      <c r="R51">
        <v>95.45</v>
      </c>
      <c r="S51">
        <v>16626</v>
      </c>
      <c r="U51" t="s">
        <v>3673</v>
      </c>
      <c r="V51" t="s">
        <v>3658</v>
      </c>
      <c r="W51" t="s">
        <v>7413</v>
      </c>
      <c r="X51">
        <v>40.1</v>
      </c>
      <c r="Y51">
        <v>40.1</v>
      </c>
      <c r="Z51" s="47">
        <v>0.77</v>
      </c>
      <c r="AA51">
        <v>3.9</v>
      </c>
      <c r="AB51">
        <v>100</v>
      </c>
      <c r="AC51">
        <v>2585</v>
      </c>
    </row>
    <row r="52" spans="1:29" x14ac:dyDescent="0.2">
      <c r="A52" t="s">
        <v>3674</v>
      </c>
      <c r="B52" t="s">
        <v>3605</v>
      </c>
      <c r="C52" t="s">
        <v>7414</v>
      </c>
      <c r="D52">
        <v>34.200000000000003</v>
      </c>
      <c r="E52">
        <v>34.200000000000003</v>
      </c>
      <c r="F52" s="47">
        <v>0.77</v>
      </c>
      <c r="G52">
        <v>97</v>
      </c>
      <c r="H52">
        <v>100</v>
      </c>
      <c r="I52">
        <v>8517</v>
      </c>
      <c r="K52" t="s">
        <v>3675</v>
      </c>
      <c r="L52" t="s">
        <v>3656</v>
      </c>
      <c r="M52" t="s">
        <v>7415</v>
      </c>
      <c r="N52">
        <v>36.200000000000003</v>
      </c>
      <c r="O52">
        <v>36.200000000000003</v>
      </c>
      <c r="P52" s="47">
        <v>0.82</v>
      </c>
      <c r="Q52">
        <v>25</v>
      </c>
      <c r="R52">
        <v>100</v>
      </c>
      <c r="S52">
        <v>2011334</v>
      </c>
      <c r="U52" t="s">
        <v>3676</v>
      </c>
      <c r="V52" t="s">
        <v>3677</v>
      </c>
      <c r="W52" t="s">
        <v>7416</v>
      </c>
      <c r="X52">
        <v>40.1</v>
      </c>
      <c r="Y52">
        <v>40.1</v>
      </c>
      <c r="Z52" s="47">
        <v>0.77</v>
      </c>
      <c r="AA52">
        <v>3.9</v>
      </c>
      <c r="AB52">
        <v>100</v>
      </c>
      <c r="AC52">
        <v>892</v>
      </c>
    </row>
    <row r="53" spans="1:29" x14ac:dyDescent="0.2">
      <c r="A53" t="s">
        <v>3678</v>
      </c>
      <c r="B53" t="s">
        <v>3679</v>
      </c>
      <c r="C53" t="s">
        <v>7417</v>
      </c>
      <c r="D53">
        <v>34.200000000000003</v>
      </c>
      <c r="E53">
        <v>34.200000000000003</v>
      </c>
      <c r="F53" s="47">
        <v>0.95</v>
      </c>
      <c r="G53">
        <v>97</v>
      </c>
      <c r="H53">
        <v>95.24</v>
      </c>
      <c r="I53">
        <v>16713</v>
      </c>
      <c r="K53" t="s">
        <v>3680</v>
      </c>
      <c r="L53" t="s">
        <v>3644</v>
      </c>
      <c r="M53" t="s">
        <v>7418</v>
      </c>
      <c r="N53">
        <v>36.200000000000003</v>
      </c>
      <c r="O53">
        <v>36.200000000000003</v>
      </c>
      <c r="P53" s="47">
        <v>0.82</v>
      </c>
      <c r="Q53">
        <v>25</v>
      </c>
      <c r="R53">
        <v>100</v>
      </c>
      <c r="S53">
        <v>16486</v>
      </c>
      <c r="U53" t="s">
        <v>3681</v>
      </c>
      <c r="V53" t="s">
        <v>3682</v>
      </c>
      <c r="W53" t="s">
        <v>7419</v>
      </c>
      <c r="X53">
        <v>40.1</v>
      </c>
      <c r="Y53">
        <v>72.400000000000006</v>
      </c>
      <c r="Z53" s="47">
        <v>0.77</v>
      </c>
      <c r="AA53">
        <v>3.9</v>
      </c>
      <c r="AB53">
        <v>100</v>
      </c>
      <c r="AC53">
        <v>3857091</v>
      </c>
    </row>
    <row r="54" spans="1:29" x14ac:dyDescent="0.2">
      <c r="A54" t="s">
        <v>3683</v>
      </c>
      <c r="B54" t="s">
        <v>3684</v>
      </c>
      <c r="C54" t="s">
        <v>7420</v>
      </c>
      <c r="D54">
        <v>34.200000000000003</v>
      </c>
      <c r="E54">
        <v>34.200000000000003</v>
      </c>
      <c r="F54" s="47">
        <v>0.77</v>
      </c>
      <c r="G54">
        <v>97</v>
      </c>
      <c r="H54">
        <v>100</v>
      </c>
      <c r="I54">
        <v>16292844</v>
      </c>
      <c r="K54" t="s">
        <v>3685</v>
      </c>
      <c r="L54" t="s">
        <v>3644</v>
      </c>
      <c r="M54" t="s">
        <v>7421</v>
      </c>
      <c r="N54">
        <v>36.200000000000003</v>
      </c>
      <c r="O54">
        <v>36.200000000000003</v>
      </c>
      <c r="P54" s="47">
        <v>0.82</v>
      </c>
      <c r="Q54">
        <v>25</v>
      </c>
      <c r="R54">
        <v>100</v>
      </c>
      <c r="S54">
        <v>16115</v>
      </c>
      <c r="U54" t="s">
        <v>3686</v>
      </c>
      <c r="V54" t="s">
        <v>3658</v>
      </c>
      <c r="W54" t="s">
        <v>7422</v>
      </c>
      <c r="X54">
        <v>40.1</v>
      </c>
      <c r="Y54">
        <v>40.1</v>
      </c>
      <c r="Z54" s="47">
        <v>0.77</v>
      </c>
      <c r="AA54">
        <v>3.9</v>
      </c>
      <c r="AB54">
        <v>100</v>
      </c>
      <c r="AC54">
        <v>2601</v>
      </c>
    </row>
    <row r="55" spans="1:29" x14ac:dyDescent="0.2">
      <c r="A55" t="s">
        <v>3687</v>
      </c>
      <c r="B55" t="s">
        <v>3605</v>
      </c>
      <c r="C55" t="s">
        <v>7423</v>
      </c>
      <c r="D55">
        <v>34.200000000000003</v>
      </c>
      <c r="E55">
        <v>34.200000000000003</v>
      </c>
      <c r="F55" s="47">
        <v>0.77</v>
      </c>
      <c r="G55">
        <v>97</v>
      </c>
      <c r="H55">
        <v>100</v>
      </c>
      <c r="I55">
        <v>8553</v>
      </c>
      <c r="K55" t="s">
        <v>3559</v>
      </c>
      <c r="L55" t="s">
        <v>2183</v>
      </c>
      <c r="M55" t="s">
        <v>7424</v>
      </c>
      <c r="N55">
        <v>36.200000000000003</v>
      </c>
      <c r="O55">
        <v>36.200000000000003</v>
      </c>
      <c r="P55" s="47">
        <v>0.82</v>
      </c>
      <c r="Q55">
        <v>25</v>
      </c>
      <c r="R55">
        <v>100</v>
      </c>
      <c r="S55">
        <v>16525</v>
      </c>
      <c r="U55" t="s">
        <v>3688</v>
      </c>
      <c r="V55" t="s">
        <v>3689</v>
      </c>
      <c r="W55" t="s">
        <v>7425</v>
      </c>
      <c r="X55">
        <v>38.200000000000003</v>
      </c>
      <c r="Y55">
        <v>38.200000000000003</v>
      </c>
      <c r="Z55" s="47">
        <v>0.73</v>
      </c>
      <c r="AA55">
        <v>16</v>
      </c>
      <c r="AB55">
        <v>100</v>
      </c>
      <c r="AC55">
        <v>1419</v>
      </c>
    </row>
    <row r="56" spans="1:29" x14ac:dyDescent="0.2">
      <c r="A56" t="s">
        <v>3690</v>
      </c>
      <c r="B56" t="s">
        <v>3605</v>
      </c>
      <c r="C56" t="s">
        <v>7426</v>
      </c>
      <c r="D56">
        <v>34.200000000000003</v>
      </c>
      <c r="E56">
        <v>34.200000000000003</v>
      </c>
      <c r="F56" s="47">
        <v>0.77</v>
      </c>
      <c r="G56">
        <v>97</v>
      </c>
      <c r="H56">
        <v>100</v>
      </c>
      <c r="I56">
        <v>8530</v>
      </c>
      <c r="K56" t="s">
        <v>3691</v>
      </c>
      <c r="L56" t="s">
        <v>3692</v>
      </c>
      <c r="M56" t="s">
        <v>7427</v>
      </c>
      <c r="N56">
        <v>36.200000000000003</v>
      </c>
      <c r="O56">
        <v>36.200000000000003</v>
      </c>
      <c r="P56" s="47">
        <v>0.82</v>
      </c>
      <c r="Q56">
        <v>25</v>
      </c>
      <c r="R56">
        <v>100</v>
      </c>
      <c r="S56">
        <v>16572</v>
      </c>
      <c r="U56" t="s">
        <v>3693</v>
      </c>
      <c r="V56" t="s">
        <v>3694</v>
      </c>
      <c r="W56" t="s">
        <v>7428</v>
      </c>
      <c r="X56">
        <v>38.200000000000003</v>
      </c>
      <c r="Y56">
        <v>38.200000000000003</v>
      </c>
      <c r="Z56" s="47">
        <v>0.73</v>
      </c>
      <c r="AA56">
        <v>16</v>
      </c>
      <c r="AB56">
        <v>100</v>
      </c>
      <c r="AC56">
        <v>3803331</v>
      </c>
    </row>
    <row r="57" spans="1:29" x14ac:dyDescent="0.2">
      <c r="A57" t="s">
        <v>3695</v>
      </c>
      <c r="B57" t="s">
        <v>3696</v>
      </c>
      <c r="C57" t="s">
        <v>7429</v>
      </c>
      <c r="D57">
        <v>34.200000000000003</v>
      </c>
      <c r="E57">
        <v>34.200000000000003</v>
      </c>
      <c r="F57" s="47">
        <v>0.77</v>
      </c>
      <c r="G57">
        <v>97</v>
      </c>
      <c r="H57">
        <v>100</v>
      </c>
      <c r="I57">
        <v>38491031</v>
      </c>
      <c r="K57" s="46" t="s">
        <v>3697</v>
      </c>
      <c r="L57" s="46" t="s">
        <v>26</v>
      </c>
      <c r="M57" t="s">
        <v>6335</v>
      </c>
      <c r="N57">
        <v>36.200000000000003</v>
      </c>
      <c r="O57">
        <v>36.200000000000003</v>
      </c>
      <c r="P57" s="47">
        <v>0.82</v>
      </c>
      <c r="Q57">
        <v>25</v>
      </c>
      <c r="R57">
        <v>100</v>
      </c>
      <c r="S57">
        <v>16627</v>
      </c>
      <c r="U57" t="s">
        <v>3698</v>
      </c>
      <c r="V57" t="s">
        <v>3699</v>
      </c>
      <c r="W57" t="s">
        <v>7430</v>
      </c>
      <c r="X57">
        <v>38.200000000000003</v>
      </c>
      <c r="Y57">
        <v>38.200000000000003</v>
      </c>
      <c r="Z57" s="47">
        <v>0.73</v>
      </c>
      <c r="AA57">
        <v>16</v>
      </c>
      <c r="AB57">
        <v>100</v>
      </c>
      <c r="AC57">
        <v>2636</v>
      </c>
    </row>
    <row r="58" spans="1:29" x14ac:dyDescent="0.2">
      <c r="A58" t="s">
        <v>3700</v>
      </c>
      <c r="B58" t="s">
        <v>3701</v>
      </c>
      <c r="C58" t="s">
        <v>7431</v>
      </c>
      <c r="D58">
        <v>34.200000000000003</v>
      </c>
      <c r="E58">
        <v>34.200000000000003</v>
      </c>
      <c r="F58" s="47">
        <v>0.77</v>
      </c>
      <c r="G58">
        <v>97</v>
      </c>
      <c r="H58">
        <v>100</v>
      </c>
      <c r="I58">
        <v>93699536</v>
      </c>
      <c r="K58" t="s">
        <v>3702</v>
      </c>
      <c r="L58" t="s">
        <v>3656</v>
      </c>
      <c r="M58" t="s">
        <v>7432</v>
      </c>
      <c r="N58">
        <v>36.200000000000003</v>
      </c>
      <c r="O58">
        <v>36.200000000000003</v>
      </c>
      <c r="P58" s="47">
        <v>0.82</v>
      </c>
      <c r="Q58">
        <v>25</v>
      </c>
      <c r="R58">
        <v>100</v>
      </c>
      <c r="S58">
        <v>1913088</v>
      </c>
      <c r="U58" t="s">
        <v>3703</v>
      </c>
      <c r="V58" t="s">
        <v>3704</v>
      </c>
      <c r="W58" t="s">
        <v>7433</v>
      </c>
      <c r="X58">
        <v>38.200000000000003</v>
      </c>
      <c r="Y58">
        <v>38.200000000000003</v>
      </c>
      <c r="Z58" s="47">
        <v>0.73</v>
      </c>
      <c r="AA58">
        <v>16</v>
      </c>
      <c r="AB58">
        <v>100</v>
      </c>
      <c r="AC58">
        <v>3854481</v>
      </c>
    </row>
    <row r="59" spans="1:29" x14ac:dyDescent="0.2">
      <c r="A59" t="s">
        <v>3705</v>
      </c>
      <c r="B59" t="s">
        <v>3706</v>
      </c>
      <c r="C59" t="s">
        <v>7434</v>
      </c>
      <c r="D59">
        <v>34.200000000000003</v>
      </c>
      <c r="E59">
        <v>34.200000000000003</v>
      </c>
      <c r="F59" s="47">
        <v>0.77</v>
      </c>
      <c r="G59">
        <v>97</v>
      </c>
      <c r="H59">
        <v>100</v>
      </c>
      <c r="I59">
        <v>16964</v>
      </c>
      <c r="K59" t="s">
        <v>3707</v>
      </c>
      <c r="L59" t="s">
        <v>3644</v>
      </c>
      <c r="M59" t="s">
        <v>7435</v>
      </c>
      <c r="N59">
        <v>36.200000000000003</v>
      </c>
      <c r="O59">
        <v>36.200000000000003</v>
      </c>
      <c r="P59" s="47">
        <v>0.82</v>
      </c>
      <c r="Q59">
        <v>25</v>
      </c>
      <c r="R59">
        <v>100</v>
      </c>
      <c r="S59">
        <v>16487</v>
      </c>
      <c r="U59" t="s">
        <v>3708</v>
      </c>
      <c r="V59" t="s">
        <v>2250</v>
      </c>
      <c r="W59" t="s">
        <v>6738</v>
      </c>
      <c r="X59">
        <v>38.200000000000003</v>
      </c>
      <c r="Y59">
        <v>38.200000000000003</v>
      </c>
      <c r="Z59" s="47">
        <v>0.73</v>
      </c>
      <c r="AA59">
        <v>16</v>
      </c>
      <c r="AB59">
        <v>100</v>
      </c>
      <c r="AC59">
        <v>16583</v>
      </c>
    </row>
    <row r="60" spans="1:29" x14ac:dyDescent="0.2">
      <c r="A60" t="s">
        <v>3709</v>
      </c>
      <c r="B60" t="s">
        <v>3710</v>
      </c>
      <c r="C60" t="s">
        <v>7436</v>
      </c>
      <c r="D60">
        <v>34.200000000000003</v>
      </c>
      <c r="E60">
        <v>34.200000000000003</v>
      </c>
      <c r="F60" s="47">
        <v>0.77</v>
      </c>
      <c r="G60">
        <v>97</v>
      </c>
      <c r="H60">
        <v>100</v>
      </c>
      <c r="I60">
        <v>16514</v>
      </c>
      <c r="K60" t="s">
        <v>3711</v>
      </c>
      <c r="L60" t="s">
        <v>3644</v>
      </c>
      <c r="M60" t="s">
        <v>7437</v>
      </c>
      <c r="N60">
        <v>36.200000000000003</v>
      </c>
      <c r="O60">
        <v>36.200000000000003</v>
      </c>
      <c r="P60" s="47">
        <v>0.82</v>
      </c>
      <c r="Q60">
        <v>25</v>
      </c>
      <c r="R60">
        <v>100</v>
      </c>
      <c r="S60">
        <v>16486</v>
      </c>
      <c r="U60" t="s">
        <v>3712</v>
      </c>
      <c r="V60" t="s">
        <v>3713</v>
      </c>
      <c r="W60" t="s">
        <v>7438</v>
      </c>
      <c r="X60">
        <v>38.200000000000003</v>
      </c>
      <c r="Y60">
        <v>38.200000000000003</v>
      </c>
      <c r="Z60" s="47">
        <v>0.73</v>
      </c>
      <c r="AA60">
        <v>16</v>
      </c>
      <c r="AB60">
        <v>100</v>
      </c>
      <c r="AC60">
        <v>812</v>
      </c>
    </row>
    <row r="61" spans="1:29" x14ac:dyDescent="0.2">
      <c r="A61" t="s">
        <v>3714</v>
      </c>
      <c r="B61" t="s">
        <v>3715</v>
      </c>
      <c r="C61" t="s">
        <v>7439</v>
      </c>
      <c r="D61">
        <v>34.200000000000003</v>
      </c>
      <c r="E61">
        <v>34.200000000000003</v>
      </c>
      <c r="F61" s="47">
        <v>0.77</v>
      </c>
      <c r="G61">
        <v>97</v>
      </c>
      <c r="H61">
        <v>100</v>
      </c>
      <c r="I61">
        <v>20181</v>
      </c>
      <c r="K61" t="s">
        <v>3643</v>
      </c>
      <c r="L61" t="s">
        <v>3644</v>
      </c>
      <c r="M61" t="s">
        <v>7440</v>
      </c>
      <c r="N61">
        <v>36.200000000000003</v>
      </c>
      <c r="O61">
        <v>36.200000000000003</v>
      </c>
      <c r="P61" s="47">
        <v>0.82</v>
      </c>
      <c r="Q61">
        <v>25</v>
      </c>
      <c r="R61">
        <v>100</v>
      </c>
      <c r="S61">
        <v>16488</v>
      </c>
      <c r="U61" t="s">
        <v>3716</v>
      </c>
      <c r="V61" t="s">
        <v>3694</v>
      </c>
      <c r="W61" t="s">
        <v>7441</v>
      </c>
      <c r="X61">
        <v>38.200000000000003</v>
      </c>
      <c r="Y61">
        <v>38.200000000000003</v>
      </c>
      <c r="Z61" s="47">
        <v>0.73</v>
      </c>
      <c r="AA61">
        <v>16</v>
      </c>
      <c r="AB61">
        <v>100</v>
      </c>
      <c r="AC61">
        <v>3836928</v>
      </c>
    </row>
    <row r="62" spans="1:29" x14ac:dyDescent="0.2">
      <c r="A62" t="s">
        <v>3717</v>
      </c>
      <c r="B62" t="s">
        <v>3718</v>
      </c>
      <c r="C62" t="s">
        <v>7442</v>
      </c>
      <c r="D62">
        <v>34.200000000000003</v>
      </c>
      <c r="E62">
        <v>34.200000000000003</v>
      </c>
      <c r="F62" s="47">
        <v>0.77</v>
      </c>
      <c r="G62">
        <v>97</v>
      </c>
      <c r="H62">
        <v>100</v>
      </c>
      <c r="I62">
        <v>142239</v>
      </c>
      <c r="K62" t="s">
        <v>3719</v>
      </c>
      <c r="L62" t="s">
        <v>3720</v>
      </c>
      <c r="M62" t="s">
        <v>7443</v>
      </c>
      <c r="N62">
        <v>36.200000000000003</v>
      </c>
      <c r="O62">
        <v>36.200000000000003</v>
      </c>
      <c r="P62" s="47">
        <v>0.82</v>
      </c>
      <c r="Q62">
        <v>25</v>
      </c>
      <c r="R62">
        <v>100</v>
      </c>
      <c r="S62">
        <v>825</v>
      </c>
      <c r="U62" t="s">
        <v>3721</v>
      </c>
      <c r="V62" t="s">
        <v>3694</v>
      </c>
      <c r="W62" t="s">
        <v>7444</v>
      </c>
      <c r="X62">
        <v>38.200000000000003</v>
      </c>
      <c r="Y62">
        <v>38.200000000000003</v>
      </c>
      <c r="Z62" s="47">
        <v>0.73</v>
      </c>
      <c r="AA62">
        <v>16</v>
      </c>
      <c r="AB62">
        <v>100</v>
      </c>
      <c r="AC62">
        <v>3782981</v>
      </c>
    </row>
    <row r="63" spans="1:29" x14ac:dyDescent="0.2">
      <c r="A63" t="s">
        <v>3722</v>
      </c>
      <c r="B63" t="s">
        <v>3723</v>
      </c>
      <c r="C63" t="s">
        <v>7445</v>
      </c>
      <c r="D63">
        <v>34.200000000000003</v>
      </c>
      <c r="E63">
        <v>34.200000000000003</v>
      </c>
      <c r="F63" s="47">
        <v>0.95</v>
      </c>
      <c r="G63">
        <v>97</v>
      </c>
      <c r="H63">
        <v>95.24</v>
      </c>
      <c r="I63">
        <v>3203634</v>
      </c>
      <c r="K63" s="46" t="s">
        <v>3724</v>
      </c>
      <c r="L63" s="46" t="s">
        <v>26</v>
      </c>
      <c r="M63" t="s">
        <v>7446</v>
      </c>
      <c r="N63">
        <v>36.200000000000003</v>
      </c>
      <c r="O63">
        <v>36.200000000000003</v>
      </c>
      <c r="P63" s="47">
        <v>0.82</v>
      </c>
      <c r="Q63">
        <v>25</v>
      </c>
      <c r="R63">
        <v>100</v>
      </c>
      <c r="S63">
        <v>1940</v>
      </c>
      <c r="U63" t="s">
        <v>3725</v>
      </c>
      <c r="V63" t="s">
        <v>3726</v>
      </c>
      <c r="W63" t="s">
        <v>7447</v>
      </c>
      <c r="X63">
        <v>38.200000000000003</v>
      </c>
      <c r="Y63">
        <v>38.200000000000003</v>
      </c>
      <c r="Z63" s="47">
        <v>0.73</v>
      </c>
      <c r="AA63">
        <v>16</v>
      </c>
      <c r="AB63">
        <v>100</v>
      </c>
      <c r="AC63">
        <v>9077</v>
      </c>
    </row>
    <row r="64" spans="1:29" x14ac:dyDescent="0.2">
      <c r="A64" t="s">
        <v>3727</v>
      </c>
      <c r="B64" t="s">
        <v>3728</v>
      </c>
      <c r="C64" t="s">
        <v>7448</v>
      </c>
      <c r="D64">
        <v>34.200000000000003</v>
      </c>
      <c r="E64">
        <v>34.200000000000003</v>
      </c>
      <c r="F64" s="47">
        <v>0.77</v>
      </c>
      <c r="G64">
        <v>97</v>
      </c>
      <c r="H64">
        <v>100</v>
      </c>
      <c r="I64">
        <v>6060529</v>
      </c>
      <c r="K64" t="s">
        <v>3729</v>
      </c>
      <c r="L64" t="s">
        <v>3730</v>
      </c>
      <c r="M64" t="s">
        <v>7449</v>
      </c>
      <c r="N64">
        <v>36.200000000000003</v>
      </c>
      <c r="O64">
        <v>36.200000000000003</v>
      </c>
      <c r="P64" s="47">
        <v>0.82</v>
      </c>
      <c r="Q64">
        <v>25</v>
      </c>
      <c r="R64">
        <v>100</v>
      </c>
      <c r="S64">
        <v>4691675</v>
      </c>
      <c r="U64" t="s">
        <v>3731</v>
      </c>
      <c r="V64" t="s">
        <v>3713</v>
      </c>
      <c r="W64" t="s">
        <v>7450</v>
      </c>
      <c r="X64">
        <v>38.200000000000003</v>
      </c>
      <c r="Y64">
        <v>38.200000000000003</v>
      </c>
      <c r="Z64" s="47">
        <v>0.73</v>
      </c>
      <c r="AA64">
        <v>16</v>
      </c>
      <c r="AB64">
        <v>100</v>
      </c>
      <c r="AC64">
        <v>855</v>
      </c>
    </row>
    <row r="65" spans="1:29" x14ac:dyDescent="0.2">
      <c r="A65" t="s">
        <v>3732</v>
      </c>
      <c r="B65" t="s">
        <v>3561</v>
      </c>
      <c r="C65" t="s">
        <v>7451</v>
      </c>
      <c r="D65">
        <v>34.200000000000003</v>
      </c>
      <c r="E65">
        <v>34.200000000000003</v>
      </c>
      <c r="F65" s="47">
        <v>0.77</v>
      </c>
      <c r="G65">
        <v>97</v>
      </c>
      <c r="H65">
        <v>100</v>
      </c>
      <c r="I65">
        <v>8537</v>
      </c>
      <c r="K65" t="s">
        <v>3733</v>
      </c>
      <c r="L65" t="s">
        <v>3656</v>
      </c>
      <c r="M65" t="s">
        <v>7452</v>
      </c>
      <c r="N65">
        <v>36.200000000000003</v>
      </c>
      <c r="O65">
        <v>36.200000000000003</v>
      </c>
      <c r="P65" s="47">
        <v>0.82</v>
      </c>
      <c r="Q65">
        <v>25</v>
      </c>
      <c r="R65">
        <v>100</v>
      </c>
      <c r="S65">
        <v>2016069</v>
      </c>
      <c r="U65" t="s">
        <v>3734</v>
      </c>
      <c r="V65" t="s">
        <v>3184</v>
      </c>
      <c r="W65" t="s">
        <v>7453</v>
      </c>
      <c r="X65">
        <v>38.200000000000003</v>
      </c>
      <c r="Y65">
        <v>38.200000000000003</v>
      </c>
      <c r="Z65" s="47">
        <v>0.88</v>
      </c>
      <c r="AA65">
        <v>16</v>
      </c>
      <c r="AB65">
        <v>95.65</v>
      </c>
      <c r="AC65">
        <v>16518</v>
      </c>
    </row>
    <row r="66" spans="1:29" x14ac:dyDescent="0.2">
      <c r="A66" t="s">
        <v>3735</v>
      </c>
      <c r="B66" t="s">
        <v>3736</v>
      </c>
      <c r="C66" t="s">
        <v>7454</v>
      </c>
      <c r="D66">
        <v>34.200000000000003</v>
      </c>
      <c r="E66">
        <v>34.200000000000003</v>
      </c>
      <c r="F66" s="47">
        <v>0.77</v>
      </c>
      <c r="G66">
        <v>97</v>
      </c>
      <c r="H66">
        <v>100</v>
      </c>
      <c r="I66">
        <v>6006533</v>
      </c>
      <c r="K66" t="s">
        <v>3737</v>
      </c>
      <c r="L66" t="s">
        <v>3638</v>
      </c>
      <c r="M66" t="s">
        <v>7455</v>
      </c>
      <c r="N66">
        <v>36.200000000000003</v>
      </c>
      <c r="O66">
        <v>36.200000000000003</v>
      </c>
      <c r="P66" s="47">
        <v>0.82</v>
      </c>
      <c r="Q66">
        <v>25</v>
      </c>
      <c r="R66">
        <v>100</v>
      </c>
      <c r="S66">
        <v>640</v>
      </c>
      <c r="U66" t="s">
        <v>3738</v>
      </c>
      <c r="V66" t="s">
        <v>3694</v>
      </c>
      <c r="W66" t="s">
        <v>7456</v>
      </c>
      <c r="X66">
        <v>38.200000000000003</v>
      </c>
      <c r="Y66">
        <v>38.200000000000003</v>
      </c>
      <c r="Z66" s="47">
        <v>0.73</v>
      </c>
      <c r="AA66">
        <v>16</v>
      </c>
      <c r="AB66">
        <v>100</v>
      </c>
      <c r="AC66">
        <v>3830427</v>
      </c>
    </row>
    <row r="67" spans="1:29" x14ac:dyDescent="0.2">
      <c r="A67" t="s">
        <v>3739</v>
      </c>
      <c r="B67" t="s">
        <v>3595</v>
      </c>
      <c r="C67" t="s">
        <v>7457</v>
      </c>
      <c r="D67">
        <v>34.200000000000003</v>
      </c>
      <c r="E67">
        <v>34.200000000000003</v>
      </c>
      <c r="F67" s="47">
        <v>0.77</v>
      </c>
      <c r="G67">
        <v>97</v>
      </c>
      <c r="H67">
        <v>100</v>
      </c>
      <c r="I67">
        <v>8779</v>
      </c>
      <c r="K67" t="s">
        <v>3740</v>
      </c>
      <c r="L67" t="s">
        <v>3656</v>
      </c>
      <c r="M67" t="s">
        <v>7458</v>
      </c>
      <c r="N67">
        <v>36.200000000000003</v>
      </c>
      <c r="O67">
        <v>36.200000000000003</v>
      </c>
      <c r="P67" s="47">
        <v>0.82</v>
      </c>
      <c r="Q67">
        <v>25</v>
      </c>
      <c r="R67">
        <v>100</v>
      </c>
      <c r="S67">
        <v>2011268</v>
      </c>
      <c r="U67" t="s">
        <v>3741</v>
      </c>
      <c r="V67" t="s">
        <v>3742</v>
      </c>
      <c r="W67" t="s">
        <v>7459</v>
      </c>
      <c r="X67">
        <v>38.200000000000003</v>
      </c>
      <c r="Y67">
        <v>38.200000000000003</v>
      </c>
      <c r="Z67" s="47">
        <v>0.73</v>
      </c>
      <c r="AA67">
        <v>16</v>
      </c>
      <c r="AB67">
        <v>100</v>
      </c>
      <c r="AC67">
        <v>34951679</v>
      </c>
    </row>
    <row r="68" spans="1:29" x14ac:dyDescent="0.2">
      <c r="A68" t="s">
        <v>3743</v>
      </c>
      <c r="B68" t="s">
        <v>3744</v>
      </c>
      <c r="C68" t="s">
        <v>7460</v>
      </c>
      <c r="D68">
        <v>34.200000000000003</v>
      </c>
      <c r="E68">
        <v>34.200000000000003</v>
      </c>
      <c r="F68" s="47">
        <v>0.77</v>
      </c>
      <c r="G68">
        <v>97</v>
      </c>
      <c r="H68">
        <v>100</v>
      </c>
      <c r="I68">
        <v>6126117</v>
      </c>
      <c r="K68" s="46" t="s">
        <v>3745</v>
      </c>
      <c r="L68" s="46" t="s">
        <v>26</v>
      </c>
      <c r="M68" t="s">
        <v>7461</v>
      </c>
      <c r="N68">
        <v>36.200000000000003</v>
      </c>
      <c r="O68">
        <v>36.200000000000003</v>
      </c>
      <c r="P68" s="47">
        <v>0.82</v>
      </c>
      <c r="Q68">
        <v>25</v>
      </c>
      <c r="R68">
        <v>100</v>
      </c>
      <c r="S68">
        <v>1940</v>
      </c>
      <c r="U68" t="s">
        <v>3746</v>
      </c>
      <c r="V68" t="s">
        <v>3747</v>
      </c>
      <c r="W68" t="s">
        <v>7462</v>
      </c>
      <c r="X68">
        <v>38.200000000000003</v>
      </c>
      <c r="Y68">
        <v>38.200000000000003</v>
      </c>
      <c r="Z68" s="47">
        <v>0.73</v>
      </c>
      <c r="AA68">
        <v>16</v>
      </c>
      <c r="AB68">
        <v>100</v>
      </c>
      <c r="AC68">
        <v>2168</v>
      </c>
    </row>
    <row r="69" spans="1:29" x14ac:dyDescent="0.2">
      <c r="A69" t="s">
        <v>3748</v>
      </c>
      <c r="B69" t="s">
        <v>3574</v>
      </c>
      <c r="C69" t="s">
        <v>7463</v>
      </c>
      <c r="D69">
        <v>34.200000000000003</v>
      </c>
      <c r="E69">
        <v>34.200000000000003</v>
      </c>
      <c r="F69" s="47">
        <v>0.77</v>
      </c>
      <c r="G69">
        <v>97</v>
      </c>
      <c r="H69">
        <v>100</v>
      </c>
      <c r="I69">
        <v>8803</v>
      </c>
      <c r="K69" t="s">
        <v>3749</v>
      </c>
      <c r="L69" t="s">
        <v>3750</v>
      </c>
      <c r="M69" t="s">
        <v>7464</v>
      </c>
      <c r="N69">
        <v>36.200000000000003</v>
      </c>
      <c r="O69">
        <v>36.200000000000003</v>
      </c>
      <c r="P69" s="47">
        <v>0.82</v>
      </c>
      <c r="Q69">
        <v>25</v>
      </c>
      <c r="R69">
        <v>100</v>
      </c>
      <c r="S69">
        <v>612</v>
      </c>
      <c r="U69" t="s">
        <v>3751</v>
      </c>
      <c r="V69" t="s">
        <v>3752</v>
      </c>
      <c r="W69" t="s">
        <v>7465</v>
      </c>
      <c r="X69">
        <v>38.200000000000003</v>
      </c>
      <c r="Y69">
        <v>38.200000000000003</v>
      </c>
      <c r="Z69" s="47">
        <v>0.73</v>
      </c>
      <c r="AA69">
        <v>16</v>
      </c>
      <c r="AB69">
        <v>100</v>
      </c>
      <c r="AC69">
        <v>1416</v>
      </c>
    </row>
    <row r="70" spans="1:29" x14ac:dyDescent="0.2">
      <c r="A70" t="s">
        <v>3753</v>
      </c>
      <c r="B70" t="s">
        <v>3605</v>
      </c>
      <c r="C70" t="s">
        <v>7466</v>
      </c>
      <c r="D70">
        <v>34.200000000000003</v>
      </c>
      <c r="E70">
        <v>34.200000000000003</v>
      </c>
      <c r="F70" s="47">
        <v>0.77</v>
      </c>
      <c r="G70">
        <v>97</v>
      </c>
      <c r="H70">
        <v>100</v>
      </c>
      <c r="I70">
        <v>8424</v>
      </c>
      <c r="K70" s="46" t="s">
        <v>3754</v>
      </c>
      <c r="L70" s="46" t="s">
        <v>26</v>
      </c>
      <c r="M70" t="s">
        <v>7467</v>
      </c>
      <c r="N70">
        <v>36.200000000000003</v>
      </c>
      <c r="O70">
        <v>36.200000000000003</v>
      </c>
      <c r="P70" s="47">
        <v>0.82</v>
      </c>
      <c r="Q70">
        <v>25</v>
      </c>
      <c r="R70">
        <v>100</v>
      </c>
      <c r="S70">
        <v>1907</v>
      </c>
      <c r="U70" t="s">
        <v>3755</v>
      </c>
      <c r="V70" t="s">
        <v>3756</v>
      </c>
      <c r="W70" t="s">
        <v>7468</v>
      </c>
      <c r="X70">
        <v>38.200000000000003</v>
      </c>
      <c r="Y70">
        <v>38.200000000000003</v>
      </c>
      <c r="Z70" s="47">
        <v>0.73</v>
      </c>
      <c r="AA70">
        <v>16</v>
      </c>
      <c r="AB70">
        <v>100</v>
      </c>
      <c r="AC70">
        <v>2775</v>
      </c>
    </row>
    <row r="71" spans="1:29" x14ac:dyDescent="0.2">
      <c r="A71" t="s">
        <v>3757</v>
      </c>
      <c r="B71" t="s">
        <v>3574</v>
      </c>
      <c r="C71" t="s">
        <v>7469</v>
      </c>
      <c r="D71">
        <v>34.200000000000003</v>
      </c>
      <c r="E71">
        <v>34.200000000000003</v>
      </c>
      <c r="F71" s="47">
        <v>0.77</v>
      </c>
      <c r="G71">
        <v>97</v>
      </c>
      <c r="H71">
        <v>100</v>
      </c>
      <c r="I71">
        <v>8640</v>
      </c>
      <c r="K71" t="s">
        <v>3643</v>
      </c>
      <c r="L71" t="s">
        <v>3644</v>
      </c>
      <c r="M71" t="s">
        <v>7470</v>
      </c>
      <c r="N71">
        <v>36.200000000000003</v>
      </c>
      <c r="O71">
        <v>36.200000000000003</v>
      </c>
      <c r="P71" s="47">
        <v>0.82</v>
      </c>
      <c r="Q71">
        <v>25</v>
      </c>
      <c r="R71">
        <v>100</v>
      </c>
      <c r="S71">
        <v>16485</v>
      </c>
      <c r="U71" t="s">
        <v>3758</v>
      </c>
      <c r="V71" t="s">
        <v>3759</v>
      </c>
      <c r="W71" t="s">
        <v>7471</v>
      </c>
      <c r="X71">
        <v>38.200000000000003</v>
      </c>
      <c r="Y71">
        <v>38.200000000000003</v>
      </c>
      <c r="Z71" s="47">
        <v>0.73</v>
      </c>
      <c r="AA71">
        <v>16</v>
      </c>
      <c r="AB71">
        <v>100</v>
      </c>
      <c r="AC71">
        <v>591</v>
      </c>
    </row>
    <row r="72" spans="1:29" x14ac:dyDescent="0.2">
      <c r="A72" t="s">
        <v>3760</v>
      </c>
      <c r="B72" t="s">
        <v>3557</v>
      </c>
      <c r="C72" t="s">
        <v>7472</v>
      </c>
      <c r="D72">
        <v>34.200000000000003</v>
      </c>
      <c r="E72">
        <v>34.200000000000003</v>
      </c>
      <c r="F72" s="47">
        <v>0.77</v>
      </c>
      <c r="G72">
        <v>97</v>
      </c>
      <c r="H72">
        <v>100</v>
      </c>
      <c r="I72">
        <v>13251738</v>
      </c>
      <c r="K72" t="s">
        <v>3761</v>
      </c>
      <c r="L72" t="s">
        <v>3762</v>
      </c>
      <c r="M72" t="s">
        <v>7473</v>
      </c>
      <c r="N72">
        <v>36.200000000000003</v>
      </c>
      <c r="O72">
        <v>36.200000000000003</v>
      </c>
      <c r="P72" s="47">
        <v>0.82</v>
      </c>
      <c r="Q72">
        <v>25</v>
      </c>
      <c r="R72">
        <v>100</v>
      </c>
      <c r="S72">
        <v>16488</v>
      </c>
      <c r="U72" t="s">
        <v>3763</v>
      </c>
      <c r="V72" t="s">
        <v>3726</v>
      </c>
      <c r="W72" t="s">
        <v>7474</v>
      </c>
      <c r="X72">
        <v>38.200000000000003</v>
      </c>
      <c r="Y72">
        <v>38.200000000000003</v>
      </c>
      <c r="Z72" s="47">
        <v>0.73</v>
      </c>
      <c r="AA72">
        <v>16</v>
      </c>
      <c r="AB72">
        <v>100</v>
      </c>
      <c r="AC72">
        <v>9090</v>
      </c>
    </row>
    <row r="73" spans="1:29" x14ac:dyDescent="0.2">
      <c r="A73" t="s">
        <v>3764</v>
      </c>
      <c r="B73" t="s">
        <v>3718</v>
      </c>
      <c r="C73" t="s">
        <v>7475</v>
      </c>
      <c r="D73">
        <v>34.200000000000003</v>
      </c>
      <c r="E73">
        <v>34.200000000000003</v>
      </c>
      <c r="F73" s="47">
        <v>0.77</v>
      </c>
      <c r="G73">
        <v>97</v>
      </c>
      <c r="H73">
        <v>100</v>
      </c>
      <c r="I73">
        <v>1860</v>
      </c>
      <c r="K73" t="s">
        <v>3765</v>
      </c>
      <c r="L73" t="s">
        <v>3766</v>
      </c>
      <c r="M73" t="s">
        <v>7476</v>
      </c>
      <c r="N73">
        <v>36.200000000000003</v>
      </c>
      <c r="O73">
        <v>36.200000000000003</v>
      </c>
      <c r="P73" s="47">
        <v>0.82</v>
      </c>
      <c r="Q73">
        <v>25</v>
      </c>
      <c r="R73">
        <v>100</v>
      </c>
      <c r="S73">
        <v>5140525</v>
      </c>
      <c r="U73" t="s">
        <v>3767</v>
      </c>
      <c r="V73" t="s">
        <v>3694</v>
      </c>
      <c r="W73" t="s">
        <v>7477</v>
      </c>
      <c r="X73">
        <v>38.200000000000003</v>
      </c>
      <c r="Y73">
        <v>38.200000000000003</v>
      </c>
      <c r="Z73" s="47">
        <v>0.73</v>
      </c>
      <c r="AA73">
        <v>16</v>
      </c>
      <c r="AB73">
        <v>100</v>
      </c>
      <c r="AC73">
        <v>3782873</v>
      </c>
    </row>
    <row r="74" spans="1:29" x14ac:dyDescent="0.2">
      <c r="A74" t="s">
        <v>3768</v>
      </c>
      <c r="B74" t="s">
        <v>3561</v>
      </c>
      <c r="C74" t="s">
        <v>7478</v>
      </c>
      <c r="D74">
        <v>34.200000000000003</v>
      </c>
      <c r="E74">
        <v>34.200000000000003</v>
      </c>
      <c r="F74" s="47">
        <v>0.77</v>
      </c>
      <c r="G74">
        <v>97</v>
      </c>
      <c r="H74">
        <v>100</v>
      </c>
      <c r="I74">
        <v>8216</v>
      </c>
      <c r="K74" t="s">
        <v>3769</v>
      </c>
      <c r="L74" t="s">
        <v>3770</v>
      </c>
      <c r="M74" t="s">
        <v>7479</v>
      </c>
      <c r="N74">
        <v>36.200000000000003</v>
      </c>
      <c r="O74">
        <v>36.200000000000003</v>
      </c>
      <c r="P74" s="47">
        <v>0.82</v>
      </c>
      <c r="Q74">
        <v>25</v>
      </c>
      <c r="R74">
        <v>100</v>
      </c>
      <c r="S74">
        <v>16542</v>
      </c>
      <c r="U74" t="s">
        <v>3771</v>
      </c>
      <c r="V74" t="s">
        <v>3772</v>
      </c>
      <c r="W74" t="s">
        <v>7480</v>
      </c>
      <c r="X74">
        <v>38.200000000000003</v>
      </c>
      <c r="Y74">
        <v>38.200000000000003</v>
      </c>
      <c r="Z74" s="47">
        <v>0.73</v>
      </c>
      <c r="AA74">
        <v>16</v>
      </c>
      <c r="AB74">
        <v>100</v>
      </c>
      <c r="AC74">
        <v>1221</v>
      </c>
    </row>
    <row r="75" spans="1:29" x14ac:dyDescent="0.2">
      <c r="A75" t="s">
        <v>3773</v>
      </c>
      <c r="B75" t="s">
        <v>3595</v>
      </c>
      <c r="C75" t="s">
        <v>7481</v>
      </c>
      <c r="D75">
        <v>34.200000000000003</v>
      </c>
      <c r="E75">
        <v>34.200000000000003</v>
      </c>
      <c r="F75" s="47">
        <v>0.77</v>
      </c>
      <c r="G75">
        <v>97</v>
      </c>
      <c r="H75">
        <v>100</v>
      </c>
      <c r="I75">
        <v>8529</v>
      </c>
      <c r="K75" t="s">
        <v>3774</v>
      </c>
      <c r="L75" t="s">
        <v>3638</v>
      </c>
      <c r="M75" t="s">
        <v>7482</v>
      </c>
      <c r="N75">
        <v>36.200000000000003</v>
      </c>
      <c r="O75">
        <v>36.200000000000003</v>
      </c>
      <c r="P75" s="47">
        <v>0.82</v>
      </c>
      <c r="Q75">
        <v>25</v>
      </c>
      <c r="R75">
        <v>100</v>
      </c>
      <c r="S75">
        <v>178208</v>
      </c>
      <c r="U75" t="s">
        <v>3775</v>
      </c>
      <c r="V75" t="s">
        <v>3776</v>
      </c>
      <c r="W75" t="s">
        <v>7483</v>
      </c>
      <c r="X75">
        <v>38.200000000000003</v>
      </c>
      <c r="Y75">
        <v>38.200000000000003</v>
      </c>
      <c r="Z75" s="47">
        <v>0.73</v>
      </c>
      <c r="AA75">
        <v>16</v>
      </c>
      <c r="AB75">
        <v>100</v>
      </c>
      <c r="AC75">
        <v>836</v>
      </c>
    </row>
    <row r="76" spans="1:29" x14ac:dyDescent="0.2">
      <c r="A76" t="s">
        <v>3777</v>
      </c>
      <c r="B76" t="s">
        <v>3744</v>
      </c>
      <c r="C76" t="s">
        <v>7484</v>
      </c>
      <c r="D76">
        <v>34.200000000000003</v>
      </c>
      <c r="E76">
        <v>34.200000000000003</v>
      </c>
      <c r="F76" s="47">
        <v>0.77</v>
      </c>
      <c r="G76">
        <v>97</v>
      </c>
      <c r="H76">
        <v>100</v>
      </c>
      <c r="I76">
        <v>5740272</v>
      </c>
      <c r="K76" t="s">
        <v>3778</v>
      </c>
      <c r="L76" t="s">
        <v>3779</v>
      </c>
      <c r="M76" t="s">
        <v>7485</v>
      </c>
      <c r="N76">
        <v>36.200000000000003</v>
      </c>
      <c r="O76">
        <v>36.200000000000003</v>
      </c>
      <c r="P76" s="47">
        <v>0.82</v>
      </c>
      <c r="Q76">
        <v>25</v>
      </c>
      <c r="R76">
        <v>100</v>
      </c>
      <c r="S76">
        <v>42945983</v>
      </c>
      <c r="U76" t="s">
        <v>3780</v>
      </c>
      <c r="V76" t="s">
        <v>3781</v>
      </c>
      <c r="W76" t="s">
        <v>7486</v>
      </c>
      <c r="X76">
        <v>38.200000000000003</v>
      </c>
      <c r="Y76">
        <v>38.200000000000003</v>
      </c>
      <c r="Z76" s="47">
        <v>0.73</v>
      </c>
      <c r="AA76">
        <v>16</v>
      </c>
      <c r="AB76">
        <v>100</v>
      </c>
      <c r="AC76">
        <v>987</v>
      </c>
    </row>
    <row r="77" spans="1:29" x14ac:dyDescent="0.2">
      <c r="A77" t="s">
        <v>3782</v>
      </c>
      <c r="B77" t="s">
        <v>3783</v>
      </c>
      <c r="C77" t="s">
        <v>7487</v>
      </c>
      <c r="D77">
        <v>34.200000000000003</v>
      </c>
      <c r="E77">
        <v>34.200000000000003</v>
      </c>
      <c r="F77" s="47">
        <v>0.77</v>
      </c>
      <c r="G77">
        <v>97</v>
      </c>
      <c r="H77">
        <v>100</v>
      </c>
      <c r="I77">
        <v>6019882</v>
      </c>
      <c r="K77" t="s">
        <v>3784</v>
      </c>
      <c r="L77" t="s">
        <v>3785</v>
      </c>
      <c r="M77" t="s">
        <v>7488</v>
      </c>
      <c r="N77">
        <v>34.200000000000003</v>
      </c>
      <c r="O77">
        <v>34.200000000000003</v>
      </c>
      <c r="P77" s="47">
        <v>0.77</v>
      </c>
      <c r="Q77">
        <v>97</v>
      </c>
      <c r="R77">
        <v>100</v>
      </c>
      <c r="S77">
        <v>4085100</v>
      </c>
      <c r="U77" t="s">
        <v>3786</v>
      </c>
      <c r="V77" t="s">
        <v>3787</v>
      </c>
      <c r="W77" t="s">
        <v>7489</v>
      </c>
      <c r="X77">
        <v>38.200000000000003</v>
      </c>
      <c r="Y77">
        <v>70.400000000000006</v>
      </c>
      <c r="Z77" s="47">
        <v>0.85</v>
      </c>
      <c r="AA77">
        <v>16</v>
      </c>
      <c r="AB77">
        <v>100</v>
      </c>
      <c r="AC77">
        <v>80527047</v>
      </c>
    </row>
    <row r="78" spans="1:29" x14ac:dyDescent="0.2">
      <c r="A78" t="s">
        <v>3788</v>
      </c>
      <c r="B78" t="s">
        <v>3043</v>
      </c>
      <c r="C78" t="s">
        <v>7490</v>
      </c>
      <c r="D78">
        <v>34.200000000000003</v>
      </c>
      <c r="E78">
        <v>34.200000000000003</v>
      </c>
      <c r="F78" s="47">
        <v>0.95</v>
      </c>
      <c r="G78">
        <v>97</v>
      </c>
      <c r="H78">
        <v>95.24</v>
      </c>
      <c r="I78">
        <v>16476</v>
      </c>
      <c r="K78" t="s">
        <v>3789</v>
      </c>
      <c r="L78" t="s">
        <v>3790</v>
      </c>
      <c r="M78" t="s">
        <v>7491</v>
      </c>
      <c r="N78">
        <v>34.200000000000003</v>
      </c>
      <c r="O78">
        <v>34.200000000000003</v>
      </c>
      <c r="P78" s="47">
        <v>0.77</v>
      </c>
      <c r="Q78">
        <v>97</v>
      </c>
      <c r="R78">
        <v>100</v>
      </c>
      <c r="S78">
        <v>2081</v>
      </c>
      <c r="U78" t="s">
        <v>3791</v>
      </c>
      <c r="V78" t="s">
        <v>3726</v>
      </c>
      <c r="W78" t="s">
        <v>7492</v>
      </c>
      <c r="X78">
        <v>38.200000000000003</v>
      </c>
      <c r="Y78">
        <v>38.200000000000003</v>
      </c>
      <c r="Z78" s="47">
        <v>0.73</v>
      </c>
      <c r="AA78">
        <v>16</v>
      </c>
      <c r="AB78">
        <v>100</v>
      </c>
      <c r="AC78">
        <v>7065</v>
      </c>
    </row>
    <row r="79" spans="1:29" x14ac:dyDescent="0.2">
      <c r="A79" t="s">
        <v>3792</v>
      </c>
      <c r="B79" t="s">
        <v>3561</v>
      </c>
      <c r="C79" t="s">
        <v>7493</v>
      </c>
      <c r="D79">
        <v>34.200000000000003</v>
      </c>
      <c r="E79">
        <v>34.200000000000003</v>
      </c>
      <c r="F79" s="47">
        <v>0.77</v>
      </c>
      <c r="G79">
        <v>97</v>
      </c>
      <c r="H79">
        <v>100</v>
      </c>
      <c r="I79">
        <v>8610</v>
      </c>
      <c r="K79" t="s">
        <v>3793</v>
      </c>
      <c r="L79" t="s">
        <v>3794</v>
      </c>
      <c r="M79" t="s">
        <v>7494</v>
      </c>
      <c r="N79">
        <v>34.200000000000003</v>
      </c>
      <c r="O79">
        <v>34.200000000000003</v>
      </c>
      <c r="P79" s="47">
        <v>0.77</v>
      </c>
      <c r="Q79">
        <v>97</v>
      </c>
      <c r="R79">
        <v>100</v>
      </c>
      <c r="S79">
        <v>1105777</v>
      </c>
      <c r="U79" t="s">
        <v>3795</v>
      </c>
      <c r="V79" t="s">
        <v>3694</v>
      </c>
      <c r="W79" t="s">
        <v>7495</v>
      </c>
      <c r="X79">
        <v>38.200000000000003</v>
      </c>
      <c r="Y79">
        <v>38.200000000000003</v>
      </c>
      <c r="Z79" s="47">
        <v>0.73</v>
      </c>
      <c r="AA79">
        <v>16</v>
      </c>
      <c r="AB79">
        <v>100</v>
      </c>
      <c r="AC79">
        <v>3782987</v>
      </c>
    </row>
    <row r="80" spans="1:29" x14ac:dyDescent="0.2">
      <c r="A80" t="s">
        <v>3796</v>
      </c>
      <c r="B80" t="s">
        <v>3574</v>
      </c>
      <c r="C80" t="s">
        <v>7496</v>
      </c>
      <c r="D80">
        <v>34.200000000000003</v>
      </c>
      <c r="E80">
        <v>34.200000000000003</v>
      </c>
      <c r="F80" s="47">
        <v>0.77</v>
      </c>
      <c r="G80">
        <v>97</v>
      </c>
      <c r="H80">
        <v>100</v>
      </c>
      <c r="I80">
        <v>8637</v>
      </c>
      <c r="K80" t="s">
        <v>3797</v>
      </c>
      <c r="L80" t="s">
        <v>3223</v>
      </c>
      <c r="M80" t="s">
        <v>7497</v>
      </c>
      <c r="N80">
        <v>34.200000000000003</v>
      </c>
      <c r="O80">
        <v>34.200000000000003</v>
      </c>
      <c r="P80" s="47">
        <v>0.77</v>
      </c>
      <c r="Q80">
        <v>97</v>
      </c>
      <c r="R80">
        <v>100</v>
      </c>
      <c r="S80">
        <v>30753326</v>
      </c>
      <c r="U80" t="s">
        <v>3798</v>
      </c>
      <c r="V80" t="s">
        <v>3694</v>
      </c>
      <c r="W80" t="s">
        <v>7498</v>
      </c>
      <c r="X80">
        <v>38.200000000000003</v>
      </c>
      <c r="Y80">
        <v>38.200000000000003</v>
      </c>
      <c r="Z80" s="47">
        <v>0.73</v>
      </c>
      <c r="AA80">
        <v>16</v>
      </c>
      <c r="AB80">
        <v>100</v>
      </c>
      <c r="AC80">
        <v>3782987</v>
      </c>
    </row>
    <row r="81" spans="1:29" x14ac:dyDescent="0.2">
      <c r="A81" t="s">
        <v>3799</v>
      </c>
      <c r="B81" t="s">
        <v>3595</v>
      </c>
      <c r="C81" t="s">
        <v>7499</v>
      </c>
      <c r="D81">
        <v>34.200000000000003</v>
      </c>
      <c r="E81">
        <v>34.200000000000003</v>
      </c>
      <c r="F81" s="47">
        <v>0.77</v>
      </c>
      <c r="G81">
        <v>97</v>
      </c>
      <c r="H81">
        <v>100</v>
      </c>
      <c r="I81">
        <v>8731</v>
      </c>
      <c r="K81" t="s">
        <v>3800</v>
      </c>
      <c r="L81" t="s">
        <v>3801</v>
      </c>
      <c r="M81" t="s">
        <v>7500</v>
      </c>
      <c r="N81">
        <v>34.200000000000003</v>
      </c>
      <c r="O81">
        <v>34.200000000000003</v>
      </c>
      <c r="P81" s="47">
        <v>0.77</v>
      </c>
      <c r="Q81">
        <v>97</v>
      </c>
      <c r="R81">
        <v>100</v>
      </c>
      <c r="S81">
        <v>1731835</v>
      </c>
      <c r="U81" t="s">
        <v>3802</v>
      </c>
      <c r="V81" t="s">
        <v>3803</v>
      </c>
      <c r="W81" t="s">
        <v>7501</v>
      </c>
      <c r="X81">
        <v>38.200000000000003</v>
      </c>
      <c r="Y81">
        <v>38.200000000000003</v>
      </c>
      <c r="Z81" s="47">
        <v>0.73</v>
      </c>
      <c r="AA81">
        <v>16</v>
      </c>
      <c r="AB81">
        <v>100</v>
      </c>
      <c r="AC81">
        <v>927</v>
      </c>
    </row>
    <row r="82" spans="1:29" x14ac:dyDescent="0.2">
      <c r="A82" t="s">
        <v>3804</v>
      </c>
      <c r="B82" t="s">
        <v>3605</v>
      </c>
      <c r="C82" t="s">
        <v>7502</v>
      </c>
      <c r="D82">
        <v>34.200000000000003</v>
      </c>
      <c r="E82">
        <v>34.200000000000003</v>
      </c>
      <c r="F82" s="47">
        <v>0.77</v>
      </c>
      <c r="G82">
        <v>97</v>
      </c>
      <c r="H82">
        <v>100</v>
      </c>
      <c r="I82">
        <v>9037</v>
      </c>
      <c r="K82" t="s">
        <v>3805</v>
      </c>
      <c r="L82" t="s">
        <v>3806</v>
      </c>
      <c r="M82" t="s">
        <v>7503</v>
      </c>
      <c r="N82">
        <v>34.200000000000003</v>
      </c>
      <c r="O82">
        <v>34.200000000000003</v>
      </c>
      <c r="P82" s="47">
        <v>0.77</v>
      </c>
      <c r="Q82">
        <v>97</v>
      </c>
      <c r="R82">
        <v>100</v>
      </c>
      <c r="S82">
        <v>7601</v>
      </c>
      <c r="U82" t="s">
        <v>3599</v>
      </c>
      <c r="V82" t="s">
        <v>3600</v>
      </c>
      <c r="W82" t="s">
        <v>7504</v>
      </c>
      <c r="X82">
        <v>38.200000000000003</v>
      </c>
      <c r="Y82">
        <v>38.200000000000003</v>
      </c>
      <c r="Z82" s="47">
        <v>0.73</v>
      </c>
      <c r="AA82">
        <v>16</v>
      </c>
      <c r="AB82">
        <v>100</v>
      </c>
      <c r="AC82">
        <v>206211</v>
      </c>
    </row>
    <row r="83" spans="1:29" x14ac:dyDescent="0.2">
      <c r="A83" t="s">
        <v>3807</v>
      </c>
      <c r="B83" t="s">
        <v>3605</v>
      </c>
      <c r="C83" t="s">
        <v>7505</v>
      </c>
      <c r="D83">
        <v>34.200000000000003</v>
      </c>
      <c r="E83">
        <v>34.200000000000003</v>
      </c>
      <c r="F83" s="47">
        <v>0.77</v>
      </c>
      <c r="G83">
        <v>97</v>
      </c>
      <c r="H83">
        <v>100</v>
      </c>
      <c r="I83">
        <v>8457</v>
      </c>
      <c r="K83" t="s">
        <v>3808</v>
      </c>
      <c r="L83" t="s">
        <v>3809</v>
      </c>
      <c r="M83" t="s">
        <v>7506</v>
      </c>
      <c r="N83">
        <v>34.200000000000003</v>
      </c>
      <c r="O83">
        <v>34.200000000000003</v>
      </c>
      <c r="P83" s="47">
        <v>0.77</v>
      </c>
      <c r="Q83">
        <v>97</v>
      </c>
      <c r="R83">
        <v>100</v>
      </c>
      <c r="S83">
        <v>2432066</v>
      </c>
      <c r="U83" t="s">
        <v>3810</v>
      </c>
      <c r="V83" t="s">
        <v>3694</v>
      </c>
      <c r="W83" t="s">
        <v>7507</v>
      </c>
      <c r="X83">
        <v>38.200000000000003</v>
      </c>
      <c r="Y83">
        <v>38.200000000000003</v>
      </c>
      <c r="Z83" s="47">
        <v>0.73</v>
      </c>
      <c r="AA83">
        <v>16</v>
      </c>
      <c r="AB83">
        <v>100</v>
      </c>
      <c r="AC83">
        <v>3782989</v>
      </c>
    </row>
    <row r="84" spans="1:29" x14ac:dyDescent="0.2">
      <c r="A84" t="s">
        <v>3811</v>
      </c>
      <c r="B84" t="s">
        <v>3605</v>
      </c>
      <c r="C84" t="s">
        <v>7508</v>
      </c>
      <c r="D84">
        <v>34.200000000000003</v>
      </c>
      <c r="E84">
        <v>34.200000000000003</v>
      </c>
      <c r="F84" s="47">
        <v>0.77</v>
      </c>
      <c r="G84">
        <v>97</v>
      </c>
      <c r="H84">
        <v>100</v>
      </c>
      <c r="I84">
        <v>8702</v>
      </c>
      <c r="K84" t="s">
        <v>3812</v>
      </c>
      <c r="L84" t="s">
        <v>3813</v>
      </c>
      <c r="M84" t="s">
        <v>7509</v>
      </c>
      <c r="N84">
        <v>34.200000000000003</v>
      </c>
      <c r="O84">
        <v>34.200000000000003</v>
      </c>
      <c r="P84" s="47">
        <v>0.77</v>
      </c>
      <c r="Q84">
        <v>97</v>
      </c>
      <c r="R84">
        <v>100</v>
      </c>
      <c r="S84">
        <v>2342401</v>
      </c>
      <c r="U84" t="s">
        <v>3814</v>
      </c>
      <c r="V84" t="s">
        <v>3815</v>
      </c>
      <c r="W84" t="s">
        <v>7510</v>
      </c>
      <c r="X84">
        <v>38.200000000000003</v>
      </c>
      <c r="Y84">
        <v>166</v>
      </c>
      <c r="Z84" s="47">
        <v>0.73</v>
      </c>
      <c r="AA84">
        <v>16</v>
      </c>
      <c r="AB84">
        <v>100</v>
      </c>
      <c r="AC84">
        <v>10020397</v>
      </c>
    </row>
    <row r="85" spans="1:29" x14ac:dyDescent="0.2">
      <c r="A85" t="s">
        <v>3816</v>
      </c>
      <c r="B85" t="s">
        <v>3595</v>
      </c>
      <c r="C85" t="s">
        <v>7511</v>
      </c>
      <c r="D85">
        <v>34.200000000000003</v>
      </c>
      <c r="E85">
        <v>34.200000000000003</v>
      </c>
      <c r="F85" s="47">
        <v>0.77</v>
      </c>
      <c r="G85">
        <v>97</v>
      </c>
      <c r="H85">
        <v>100</v>
      </c>
      <c r="I85">
        <v>8210</v>
      </c>
      <c r="K85" t="s">
        <v>3817</v>
      </c>
      <c r="L85" t="s">
        <v>3742</v>
      </c>
      <c r="M85" t="s">
        <v>7512</v>
      </c>
      <c r="N85">
        <v>34.200000000000003</v>
      </c>
      <c r="O85">
        <v>34.200000000000003</v>
      </c>
      <c r="P85" s="47">
        <v>0.77</v>
      </c>
      <c r="Q85">
        <v>97</v>
      </c>
      <c r="R85">
        <v>100</v>
      </c>
      <c r="S85">
        <v>24155410</v>
      </c>
      <c r="U85" t="s">
        <v>3818</v>
      </c>
      <c r="V85" t="s">
        <v>3694</v>
      </c>
      <c r="W85" t="s">
        <v>7513</v>
      </c>
      <c r="X85">
        <v>38.200000000000003</v>
      </c>
      <c r="Y85">
        <v>38.200000000000003</v>
      </c>
      <c r="Z85" s="47">
        <v>0.73</v>
      </c>
      <c r="AA85">
        <v>16</v>
      </c>
      <c r="AB85">
        <v>100</v>
      </c>
      <c r="AC85">
        <v>3782979</v>
      </c>
    </row>
    <row r="86" spans="1:29" x14ac:dyDescent="0.2">
      <c r="A86" t="s">
        <v>3819</v>
      </c>
      <c r="B86" t="s">
        <v>3605</v>
      </c>
      <c r="C86" t="s">
        <v>7514</v>
      </c>
      <c r="D86">
        <v>34.200000000000003</v>
      </c>
      <c r="E86">
        <v>34.200000000000003</v>
      </c>
      <c r="F86" s="47">
        <v>0.77</v>
      </c>
      <c r="G86">
        <v>97</v>
      </c>
      <c r="H86">
        <v>100</v>
      </c>
      <c r="I86">
        <v>8586</v>
      </c>
      <c r="K86" t="s">
        <v>3820</v>
      </c>
      <c r="L86" t="s">
        <v>3821</v>
      </c>
      <c r="M86" t="s">
        <v>7515</v>
      </c>
      <c r="N86">
        <v>34.200000000000003</v>
      </c>
      <c r="O86">
        <v>66.400000000000006</v>
      </c>
      <c r="P86" s="47">
        <v>0.77</v>
      </c>
      <c r="Q86">
        <v>97</v>
      </c>
      <c r="R86">
        <v>100</v>
      </c>
      <c r="S86">
        <v>2338721</v>
      </c>
      <c r="U86" t="s">
        <v>3822</v>
      </c>
      <c r="V86" t="s">
        <v>3823</v>
      </c>
      <c r="W86" t="s">
        <v>7516</v>
      </c>
      <c r="X86">
        <v>38.200000000000003</v>
      </c>
      <c r="Y86">
        <v>72.400000000000006</v>
      </c>
      <c r="Z86" s="47">
        <v>0.92</v>
      </c>
      <c r="AA86">
        <v>16</v>
      </c>
      <c r="AB86">
        <v>100</v>
      </c>
      <c r="AC86">
        <v>48624343</v>
      </c>
    </row>
    <row r="87" spans="1:29" x14ac:dyDescent="0.2">
      <c r="A87" t="s">
        <v>3824</v>
      </c>
      <c r="B87" t="s">
        <v>3587</v>
      </c>
      <c r="C87" t="s">
        <v>7517</v>
      </c>
      <c r="D87">
        <v>34.200000000000003</v>
      </c>
      <c r="E87">
        <v>34.200000000000003</v>
      </c>
      <c r="F87" s="47">
        <v>0.77</v>
      </c>
      <c r="G87">
        <v>97</v>
      </c>
      <c r="H87">
        <v>100</v>
      </c>
      <c r="I87">
        <v>4089</v>
      </c>
      <c r="K87" t="s">
        <v>3825</v>
      </c>
      <c r="L87" t="s">
        <v>3826</v>
      </c>
      <c r="M87" t="s">
        <v>7518</v>
      </c>
      <c r="N87">
        <v>34.200000000000003</v>
      </c>
      <c r="O87">
        <v>66.400000000000006</v>
      </c>
      <c r="P87" s="47">
        <v>0.77</v>
      </c>
      <c r="Q87">
        <v>97</v>
      </c>
      <c r="R87">
        <v>100</v>
      </c>
      <c r="S87">
        <v>2783943</v>
      </c>
      <c r="U87" t="s">
        <v>3827</v>
      </c>
      <c r="V87" t="s">
        <v>3828</v>
      </c>
      <c r="W87" t="s">
        <v>7519</v>
      </c>
      <c r="X87">
        <v>38.200000000000003</v>
      </c>
      <c r="Y87">
        <v>38.200000000000003</v>
      </c>
      <c r="Z87" s="47">
        <v>0.73</v>
      </c>
      <c r="AA87">
        <v>16</v>
      </c>
      <c r="AB87">
        <v>100</v>
      </c>
      <c r="AC87">
        <v>1114</v>
      </c>
    </row>
    <row r="88" spans="1:29" x14ac:dyDescent="0.2">
      <c r="A88" t="s">
        <v>3829</v>
      </c>
      <c r="B88" t="s">
        <v>3830</v>
      </c>
      <c r="C88" t="s">
        <v>7520</v>
      </c>
      <c r="D88">
        <v>34.200000000000003</v>
      </c>
      <c r="E88">
        <v>34.200000000000003</v>
      </c>
      <c r="F88" s="47">
        <v>0.77</v>
      </c>
      <c r="G88">
        <v>97</v>
      </c>
      <c r="H88">
        <v>100</v>
      </c>
      <c r="I88">
        <v>7754</v>
      </c>
      <c r="K88" t="s">
        <v>3831</v>
      </c>
      <c r="L88" t="s">
        <v>3633</v>
      </c>
      <c r="M88" t="s">
        <v>7521</v>
      </c>
      <c r="N88">
        <v>34.200000000000003</v>
      </c>
      <c r="O88">
        <v>34.200000000000003</v>
      </c>
      <c r="P88" s="47">
        <v>0.77</v>
      </c>
      <c r="Q88">
        <v>97</v>
      </c>
      <c r="R88">
        <v>100</v>
      </c>
      <c r="S88">
        <v>5041121</v>
      </c>
      <c r="U88" t="s">
        <v>3832</v>
      </c>
      <c r="V88" t="s">
        <v>3833</v>
      </c>
      <c r="W88" t="s">
        <v>7522</v>
      </c>
      <c r="X88">
        <v>38.200000000000003</v>
      </c>
      <c r="Y88">
        <v>516</v>
      </c>
      <c r="Z88" s="47">
        <v>0.77</v>
      </c>
      <c r="AA88">
        <v>16</v>
      </c>
      <c r="AB88">
        <v>100</v>
      </c>
      <c r="AC88">
        <v>73619204</v>
      </c>
    </row>
    <row r="89" spans="1:29" x14ac:dyDescent="0.2">
      <c r="A89" t="s">
        <v>3834</v>
      </c>
      <c r="B89" t="s">
        <v>3835</v>
      </c>
      <c r="C89" t="s">
        <v>7523</v>
      </c>
      <c r="D89">
        <v>34.200000000000003</v>
      </c>
      <c r="E89">
        <v>34.200000000000003</v>
      </c>
      <c r="F89" s="47">
        <v>0.77</v>
      </c>
      <c r="G89">
        <v>97</v>
      </c>
      <c r="H89">
        <v>100</v>
      </c>
      <c r="I89">
        <v>43886869</v>
      </c>
      <c r="K89" t="s">
        <v>3836</v>
      </c>
      <c r="L89" t="s">
        <v>3837</v>
      </c>
      <c r="M89" t="s">
        <v>7524</v>
      </c>
      <c r="N89">
        <v>34.200000000000003</v>
      </c>
      <c r="O89">
        <v>34.200000000000003</v>
      </c>
      <c r="P89" s="47">
        <v>0.77</v>
      </c>
      <c r="Q89">
        <v>97</v>
      </c>
      <c r="R89">
        <v>100</v>
      </c>
      <c r="S89">
        <v>956</v>
      </c>
      <c r="U89" t="s">
        <v>3838</v>
      </c>
      <c r="V89" t="s">
        <v>3684</v>
      </c>
      <c r="W89" t="s">
        <v>7525</v>
      </c>
      <c r="X89">
        <v>38.200000000000003</v>
      </c>
      <c r="Y89">
        <v>297</v>
      </c>
      <c r="Z89" s="47">
        <v>0.73</v>
      </c>
      <c r="AA89">
        <v>16</v>
      </c>
      <c r="AB89">
        <v>100</v>
      </c>
      <c r="AC89">
        <v>9825430</v>
      </c>
    </row>
    <row r="90" spans="1:29" x14ac:dyDescent="0.2">
      <c r="A90" t="s">
        <v>3839</v>
      </c>
      <c r="B90" t="s">
        <v>3744</v>
      </c>
      <c r="C90" t="s">
        <v>7526</v>
      </c>
      <c r="D90">
        <v>34.200000000000003</v>
      </c>
      <c r="E90">
        <v>34.200000000000003</v>
      </c>
      <c r="F90" s="47">
        <v>0.77</v>
      </c>
      <c r="G90">
        <v>97</v>
      </c>
      <c r="H90">
        <v>100</v>
      </c>
      <c r="I90">
        <v>5730787</v>
      </c>
      <c r="K90" t="s">
        <v>3840</v>
      </c>
      <c r="L90" t="s">
        <v>3841</v>
      </c>
      <c r="M90" t="s">
        <v>7527</v>
      </c>
      <c r="N90">
        <v>34.200000000000003</v>
      </c>
      <c r="O90">
        <v>34.200000000000003</v>
      </c>
      <c r="P90" s="47">
        <v>0.77</v>
      </c>
      <c r="Q90">
        <v>97</v>
      </c>
      <c r="R90">
        <v>100</v>
      </c>
      <c r="S90">
        <v>7442309</v>
      </c>
      <c r="U90" t="s">
        <v>3842</v>
      </c>
      <c r="V90" t="s">
        <v>3843</v>
      </c>
      <c r="W90" t="s">
        <v>7528</v>
      </c>
      <c r="X90">
        <v>38.200000000000003</v>
      </c>
      <c r="Y90">
        <v>38.200000000000003</v>
      </c>
      <c r="Z90" s="47">
        <v>0.73</v>
      </c>
      <c r="AA90">
        <v>16</v>
      </c>
      <c r="AB90">
        <v>100</v>
      </c>
      <c r="AC90">
        <v>1691</v>
      </c>
    </row>
    <row r="91" spans="1:29" x14ac:dyDescent="0.2">
      <c r="A91" t="s">
        <v>3844</v>
      </c>
      <c r="B91" t="s">
        <v>3587</v>
      </c>
      <c r="C91" t="s">
        <v>7529</v>
      </c>
      <c r="D91">
        <v>34.200000000000003</v>
      </c>
      <c r="E91">
        <v>34.200000000000003</v>
      </c>
      <c r="F91" s="47">
        <v>0.77</v>
      </c>
      <c r="G91">
        <v>97</v>
      </c>
      <c r="H91">
        <v>100</v>
      </c>
      <c r="I91">
        <v>4151</v>
      </c>
      <c r="K91" t="s">
        <v>3845</v>
      </c>
      <c r="L91" t="s">
        <v>3846</v>
      </c>
      <c r="M91" t="s">
        <v>7530</v>
      </c>
      <c r="N91">
        <v>34.200000000000003</v>
      </c>
      <c r="O91">
        <v>34.200000000000003</v>
      </c>
      <c r="P91" s="47">
        <v>0.77</v>
      </c>
      <c r="Q91">
        <v>97</v>
      </c>
      <c r="R91">
        <v>100</v>
      </c>
      <c r="S91">
        <v>6396688</v>
      </c>
      <c r="U91" t="s">
        <v>3847</v>
      </c>
      <c r="V91" t="s">
        <v>3848</v>
      </c>
      <c r="W91" t="s">
        <v>7531</v>
      </c>
      <c r="X91">
        <v>38.200000000000003</v>
      </c>
      <c r="Y91">
        <v>38.200000000000003</v>
      </c>
      <c r="Z91" s="47">
        <v>0.73</v>
      </c>
      <c r="AA91">
        <v>16</v>
      </c>
      <c r="AB91">
        <v>100</v>
      </c>
      <c r="AC91">
        <v>140424</v>
      </c>
    </row>
    <row r="92" spans="1:29" x14ac:dyDescent="0.2">
      <c r="A92" t="s">
        <v>3849</v>
      </c>
      <c r="B92" t="s">
        <v>3595</v>
      </c>
      <c r="C92" t="s">
        <v>7532</v>
      </c>
      <c r="D92">
        <v>34.200000000000003</v>
      </c>
      <c r="E92">
        <v>34.200000000000003</v>
      </c>
      <c r="F92" s="47">
        <v>0.77</v>
      </c>
      <c r="G92">
        <v>97</v>
      </c>
      <c r="H92">
        <v>100</v>
      </c>
      <c r="I92">
        <v>8552</v>
      </c>
      <c r="K92" t="s">
        <v>3850</v>
      </c>
      <c r="L92" t="s">
        <v>3851</v>
      </c>
      <c r="M92" t="s">
        <v>7533</v>
      </c>
      <c r="N92">
        <v>34.200000000000003</v>
      </c>
      <c r="O92">
        <v>34.200000000000003</v>
      </c>
      <c r="P92" s="47">
        <v>0.77</v>
      </c>
      <c r="Q92">
        <v>97</v>
      </c>
      <c r="R92">
        <v>100</v>
      </c>
      <c r="S92">
        <v>2914446</v>
      </c>
      <c r="U92" t="s">
        <v>3852</v>
      </c>
      <c r="V92" t="s">
        <v>3694</v>
      </c>
      <c r="W92" t="s">
        <v>7534</v>
      </c>
      <c r="X92">
        <v>38.200000000000003</v>
      </c>
      <c r="Y92">
        <v>38.200000000000003</v>
      </c>
      <c r="Z92" s="47">
        <v>0.73</v>
      </c>
      <c r="AA92">
        <v>16</v>
      </c>
      <c r="AB92">
        <v>100</v>
      </c>
      <c r="AC92">
        <v>3782987</v>
      </c>
    </row>
    <row r="93" spans="1:29" x14ac:dyDescent="0.2">
      <c r="A93" t="s">
        <v>3853</v>
      </c>
      <c r="B93" t="s">
        <v>3561</v>
      </c>
      <c r="C93" t="s">
        <v>7535</v>
      </c>
      <c r="D93">
        <v>34.200000000000003</v>
      </c>
      <c r="E93">
        <v>34.200000000000003</v>
      </c>
      <c r="F93" s="47">
        <v>0.77</v>
      </c>
      <c r="G93">
        <v>97</v>
      </c>
      <c r="H93">
        <v>100</v>
      </c>
      <c r="I93">
        <v>8567</v>
      </c>
      <c r="K93" t="s">
        <v>3854</v>
      </c>
      <c r="L93" t="s">
        <v>3855</v>
      </c>
      <c r="M93" t="s">
        <v>7536</v>
      </c>
      <c r="N93">
        <v>34.200000000000003</v>
      </c>
      <c r="O93">
        <v>34.200000000000003</v>
      </c>
      <c r="P93" s="47">
        <v>0.77</v>
      </c>
      <c r="Q93">
        <v>97</v>
      </c>
      <c r="R93">
        <v>100</v>
      </c>
      <c r="S93">
        <v>3120315</v>
      </c>
      <c r="U93" t="s">
        <v>3856</v>
      </c>
      <c r="V93" t="s">
        <v>3857</v>
      </c>
      <c r="W93" t="s">
        <v>7537</v>
      </c>
      <c r="X93">
        <v>38.200000000000003</v>
      </c>
      <c r="Y93">
        <v>70.400000000000006</v>
      </c>
      <c r="Z93" s="47">
        <v>0.73</v>
      </c>
      <c r="AA93">
        <v>16</v>
      </c>
      <c r="AB93">
        <v>100</v>
      </c>
      <c r="AC93">
        <v>3963599</v>
      </c>
    </row>
    <row r="94" spans="1:29" x14ac:dyDescent="0.2">
      <c r="A94" t="s">
        <v>3858</v>
      </c>
      <c r="B94" t="s">
        <v>3710</v>
      </c>
      <c r="C94" t="s">
        <v>7538</v>
      </c>
      <c r="D94">
        <v>34.200000000000003</v>
      </c>
      <c r="E94">
        <v>34.200000000000003</v>
      </c>
      <c r="F94" s="47">
        <v>0.77</v>
      </c>
      <c r="G94">
        <v>97</v>
      </c>
      <c r="H94">
        <v>100</v>
      </c>
      <c r="I94">
        <v>16514</v>
      </c>
      <c r="K94" t="s">
        <v>3859</v>
      </c>
      <c r="L94" t="s">
        <v>3841</v>
      </c>
      <c r="M94" t="s">
        <v>7539</v>
      </c>
      <c r="N94">
        <v>34.200000000000003</v>
      </c>
      <c r="O94">
        <v>34.200000000000003</v>
      </c>
      <c r="P94" s="47">
        <v>0.77</v>
      </c>
      <c r="Q94">
        <v>97</v>
      </c>
      <c r="R94">
        <v>100</v>
      </c>
      <c r="S94">
        <v>4158254</v>
      </c>
      <c r="U94" t="s">
        <v>3860</v>
      </c>
      <c r="V94" t="s">
        <v>3726</v>
      </c>
      <c r="W94" t="s">
        <v>7540</v>
      </c>
      <c r="X94">
        <v>38.200000000000003</v>
      </c>
      <c r="Y94">
        <v>38.200000000000003</v>
      </c>
      <c r="Z94" s="47">
        <v>0.73</v>
      </c>
      <c r="AA94">
        <v>16</v>
      </c>
      <c r="AB94">
        <v>100</v>
      </c>
      <c r="AC94">
        <v>9083</v>
      </c>
    </row>
    <row r="95" spans="1:29" x14ac:dyDescent="0.2">
      <c r="A95" t="s">
        <v>3861</v>
      </c>
      <c r="B95" t="s">
        <v>3595</v>
      </c>
      <c r="C95" t="s">
        <v>7541</v>
      </c>
      <c r="D95">
        <v>34.200000000000003</v>
      </c>
      <c r="E95">
        <v>34.200000000000003</v>
      </c>
      <c r="F95" s="47">
        <v>0.77</v>
      </c>
      <c r="G95">
        <v>97</v>
      </c>
      <c r="H95">
        <v>100</v>
      </c>
      <c r="I95">
        <v>8476</v>
      </c>
      <c r="K95" t="s">
        <v>3862</v>
      </c>
      <c r="L95" t="s">
        <v>3863</v>
      </c>
      <c r="M95" t="s">
        <v>7542</v>
      </c>
      <c r="N95">
        <v>34.200000000000003</v>
      </c>
      <c r="O95">
        <v>34.200000000000003</v>
      </c>
      <c r="P95" s="47">
        <v>0.77</v>
      </c>
      <c r="Q95">
        <v>97</v>
      </c>
      <c r="R95">
        <v>100</v>
      </c>
      <c r="S95">
        <v>2419744</v>
      </c>
      <c r="U95" t="s">
        <v>3741</v>
      </c>
      <c r="V95" t="s">
        <v>3742</v>
      </c>
      <c r="W95" t="s">
        <v>7543</v>
      </c>
      <c r="X95">
        <v>38.200000000000003</v>
      </c>
      <c r="Y95">
        <v>38.200000000000003</v>
      </c>
      <c r="Z95" s="47">
        <v>0.73</v>
      </c>
      <c r="AA95">
        <v>16</v>
      </c>
      <c r="AB95">
        <v>100</v>
      </c>
      <c r="AC95">
        <v>34770958</v>
      </c>
    </row>
    <row r="96" spans="1:29" x14ac:dyDescent="0.2">
      <c r="A96" t="s">
        <v>3864</v>
      </c>
      <c r="B96" t="s">
        <v>3595</v>
      </c>
      <c r="C96" t="s">
        <v>7544</v>
      </c>
      <c r="D96">
        <v>34.200000000000003</v>
      </c>
      <c r="E96">
        <v>34.200000000000003</v>
      </c>
      <c r="F96" s="47">
        <v>0.77</v>
      </c>
      <c r="G96">
        <v>97</v>
      </c>
      <c r="H96">
        <v>100</v>
      </c>
      <c r="I96">
        <v>8706</v>
      </c>
      <c r="K96" t="s">
        <v>3865</v>
      </c>
      <c r="L96" t="s">
        <v>3855</v>
      </c>
      <c r="M96" t="s">
        <v>7545</v>
      </c>
      <c r="N96">
        <v>34.200000000000003</v>
      </c>
      <c r="O96">
        <v>34.200000000000003</v>
      </c>
      <c r="P96" s="47">
        <v>0.77</v>
      </c>
      <c r="Q96">
        <v>97</v>
      </c>
      <c r="R96">
        <v>100</v>
      </c>
      <c r="S96">
        <v>3188924</v>
      </c>
      <c r="U96" t="s">
        <v>3866</v>
      </c>
      <c r="V96" t="s">
        <v>3694</v>
      </c>
      <c r="W96" t="s">
        <v>7546</v>
      </c>
      <c r="X96">
        <v>38.200000000000003</v>
      </c>
      <c r="Y96">
        <v>38.200000000000003</v>
      </c>
      <c r="Z96" s="47">
        <v>0.73</v>
      </c>
      <c r="AA96">
        <v>16</v>
      </c>
      <c r="AB96">
        <v>100</v>
      </c>
      <c r="AC96">
        <v>3782983</v>
      </c>
    </row>
    <row r="97" spans="1:29" x14ac:dyDescent="0.2">
      <c r="A97" t="s">
        <v>3867</v>
      </c>
      <c r="B97" t="s">
        <v>3868</v>
      </c>
      <c r="C97" t="s">
        <v>7547</v>
      </c>
      <c r="D97">
        <v>34.200000000000003</v>
      </c>
      <c r="E97">
        <v>34.200000000000003</v>
      </c>
      <c r="F97" s="47">
        <v>0.77</v>
      </c>
      <c r="G97">
        <v>97</v>
      </c>
      <c r="H97">
        <v>100</v>
      </c>
      <c r="I97">
        <v>5392635</v>
      </c>
      <c r="K97" t="s">
        <v>3869</v>
      </c>
      <c r="L97" t="s">
        <v>3826</v>
      </c>
      <c r="M97" t="s">
        <v>7548</v>
      </c>
      <c r="N97">
        <v>34.200000000000003</v>
      </c>
      <c r="O97">
        <v>66.400000000000006</v>
      </c>
      <c r="P97" s="47">
        <v>0.77</v>
      </c>
      <c r="Q97">
        <v>97</v>
      </c>
      <c r="R97">
        <v>100</v>
      </c>
      <c r="S97">
        <v>2688408</v>
      </c>
      <c r="U97" t="s">
        <v>3870</v>
      </c>
      <c r="V97" t="s">
        <v>3871</v>
      </c>
      <c r="W97" t="s">
        <v>7549</v>
      </c>
      <c r="X97">
        <v>38.200000000000003</v>
      </c>
      <c r="Y97">
        <v>38.200000000000003</v>
      </c>
      <c r="Z97" s="47">
        <v>0.73</v>
      </c>
      <c r="AA97">
        <v>16</v>
      </c>
      <c r="AB97">
        <v>100</v>
      </c>
      <c r="AC97">
        <v>346416</v>
      </c>
    </row>
    <row r="98" spans="1:29" x14ac:dyDescent="0.2">
      <c r="A98" t="s">
        <v>3872</v>
      </c>
      <c r="B98" t="s">
        <v>3574</v>
      </c>
      <c r="C98" t="s">
        <v>7550</v>
      </c>
      <c r="D98">
        <v>34.200000000000003</v>
      </c>
      <c r="E98">
        <v>34.200000000000003</v>
      </c>
      <c r="F98" s="47">
        <v>0.77</v>
      </c>
      <c r="G98">
        <v>97</v>
      </c>
      <c r="H98">
        <v>100</v>
      </c>
      <c r="I98">
        <v>8836</v>
      </c>
      <c r="K98" t="s">
        <v>3873</v>
      </c>
      <c r="L98" t="s">
        <v>3874</v>
      </c>
      <c r="M98" t="s">
        <v>7551</v>
      </c>
      <c r="N98">
        <v>34.200000000000003</v>
      </c>
      <c r="O98">
        <v>34.200000000000003</v>
      </c>
      <c r="P98" s="47">
        <v>0.77</v>
      </c>
      <c r="Q98">
        <v>97</v>
      </c>
      <c r="R98">
        <v>100</v>
      </c>
      <c r="S98">
        <v>2229938</v>
      </c>
      <c r="U98" t="s">
        <v>3635</v>
      </c>
      <c r="V98" t="s">
        <v>3636</v>
      </c>
      <c r="W98" t="s">
        <v>7552</v>
      </c>
      <c r="X98">
        <v>38.200000000000003</v>
      </c>
      <c r="Y98">
        <v>38.200000000000003</v>
      </c>
      <c r="Z98" s="47">
        <v>0.73</v>
      </c>
      <c r="AA98">
        <v>16</v>
      </c>
      <c r="AB98">
        <v>100</v>
      </c>
      <c r="AC98">
        <v>415257</v>
      </c>
    </row>
    <row r="99" spans="1:29" x14ac:dyDescent="0.2">
      <c r="A99" t="s">
        <v>3875</v>
      </c>
      <c r="B99" t="s">
        <v>3876</v>
      </c>
      <c r="C99" t="s">
        <v>7553</v>
      </c>
      <c r="D99">
        <v>34.200000000000003</v>
      </c>
      <c r="E99">
        <v>34.200000000000003</v>
      </c>
      <c r="F99" s="47">
        <v>0.77</v>
      </c>
      <c r="G99">
        <v>97</v>
      </c>
      <c r="H99">
        <v>100</v>
      </c>
      <c r="I99">
        <v>17004</v>
      </c>
      <c r="K99" t="s">
        <v>3877</v>
      </c>
      <c r="L99" t="s">
        <v>3878</v>
      </c>
      <c r="M99" t="s">
        <v>7554</v>
      </c>
      <c r="N99">
        <v>34.200000000000003</v>
      </c>
      <c r="O99">
        <v>34.200000000000003</v>
      </c>
      <c r="P99" s="47">
        <v>0.77</v>
      </c>
      <c r="Q99">
        <v>97</v>
      </c>
      <c r="R99">
        <v>100</v>
      </c>
      <c r="S99">
        <v>4690582</v>
      </c>
      <c r="U99" t="s">
        <v>3879</v>
      </c>
      <c r="V99" t="s">
        <v>3880</v>
      </c>
      <c r="W99" t="s">
        <v>7555</v>
      </c>
      <c r="X99">
        <v>38.200000000000003</v>
      </c>
      <c r="Y99">
        <v>72.400000000000006</v>
      </c>
      <c r="Z99" s="47">
        <v>0.96</v>
      </c>
      <c r="AA99">
        <v>16</v>
      </c>
      <c r="AB99">
        <v>100</v>
      </c>
      <c r="AC99">
        <v>3988594</v>
      </c>
    </row>
    <row r="100" spans="1:29" x14ac:dyDescent="0.2">
      <c r="A100" t="s">
        <v>3881</v>
      </c>
      <c r="B100" t="s">
        <v>3718</v>
      </c>
      <c r="C100" t="s">
        <v>7556</v>
      </c>
      <c r="D100">
        <v>34.200000000000003</v>
      </c>
      <c r="E100">
        <v>34.200000000000003</v>
      </c>
      <c r="F100" s="47">
        <v>0.77</v>
      </c>
      <c r="G100">
        <v>97</v>
      </c>
      <c r="H100">
        <v>100</v>
      </c>
      <c r="I100">
        <v>178649</v>
      </c>
      <c r="K100" t="s">
        <v>3882</v>
      </c>
      <c r="L100" t="s">
        <v>3883</v>
      </c>
      <c r="M100" t="s">
        <v>7557</v>
      </c>
      <c r="N100">
        <v>34.200000000000003</v>
      </c>
      <c r="O100">
        <v>34.200000000000003</v>
      </c>
      <c r="P100" s="47">
        <v>0.77</v>
      </c>
      <c r="Q100">
        <v>97</v>
      </c>
      <c r="R100">
        <v>100</v>
      </c>
      <c r="S100">
        <v>2786784</v>
      </c>
      <c r="U100" t="s">
        <v>3884</v>
      </c>
      <c r="V100" t="s">
        <v>3885</v>
      </c>
      <c r="W100" t="s">
        <v>7558</v>
      </c>
      <c r="X100">
        <v>38.200000000000003</v>
      </c>
      <c r="Y100">
        <v>38.200000000000003</v>
      </c>
      <c r="Z100" s="47">
        <v>0.73</v>
      </c>
      <c r="AA100">
        <v>16</v>
      </c>
      <c r="AB100">
        <v>100</v>
      </c>
      <c r="AC100">
        <v>1095</v>
      </c>
    </row>
    <row r="101" spans="1:29" x14ac:dyDescent="0.2">
      <c r="A101" t="s">
        <v>3886</v>
      </c>
      <c r="B101" t="s">
        <v>3648</v>
      </c>
      <c r="C101" t="s">
        <v>7559</v>
      </c>
      <c r="D101">
        <v>34.200000000000003</v>
      </c>
      <c r="E101">
        <v>34.200000000000003</v>
      </c>
      <c r="F101" s="47">
        <v>0.77</v>
      </c>
      <c r="G101">
        <v>97</v>
      </c>
      <c r="H101">
        <v>100</v>
      </c>
      <c r="I101">
        <v>5510768</v>
      </c>
      <c r="K101" t="s">
        <v>3887</v>
      </c>
      <c r="L101" t="s">
        <v>3855</v>
      </c>
      <c r="M101" t="s">
        <v>7560</v>
      </c>
      <c r="N101">
        <v>34.200000000000003</v>
      </c>
      <c r="O101">
        <v>34.200000000000003</v>
      </c>
      <c r="P101" s="47">
        <v>0.77</v>
      </c>
      <c r="Q101">
        <v>97</v>
      </c>
      <c r="R101">
        <v>100</v>
      </c>
      <c r="S101">
        <v>3372116</v>
      </c>
      <c r="U101" t="s">
        <v>3888</v>
      </c>
      <c r="V101" t="s">
        <v>3889</v>
      </c>
      <c r="W101" t="s">
        <v>7561</v>
      </c>
      <c r="X101">
        <v>38.200000000000003</v>
      </c>
      <c r="Y101">
        <v>38.200000000000003</v>
      </c>
      <c r="Z101" s="47">
        <v>0.73</v>
      </c>
      <c r="AA101">
        <v>16</v>
      </c>
      <c r="AB101">
        <v>100</v>
      </c>
      <c r="AC101">
        <v>5381000</v>
      </c>
    </row>
    <row r="102" spans="1:29" x14ac:dyDescent="0.2">
      <c r="A102" t="s">
        <v>3890</v>
      </c>
      <c r="B102" t="s">
        <v>3561</v>
      </c>
      <c r="C102" t="s">
        <v>7562</v>
      </c>
      <c r="D102">
        <v>34.200000000000003</v>
      </c>
      <c r="E102">
        <v>34.200000000000003</v>
      </c>
      <c r="F102" s="47">
        <v>0.77</v>
      </c>
      <c r="G102">
        <v>97</v>
      </c>
      <c r="H102">
        <v>100</v>
      </c>
      <c r="I102">
        <v>8534</v>
      </c>
      <c r="K102" t="s">
        <v>3891</v>
      </c>
      <c r="L102" t="s">
        <v>3892</v>
      </c>
      <c r="M102" t="s">
        <v>7563</v>
      </c>
      <c r="N102">
        <v>34.200000000000003</v>
      </c>
      <c r="O102">
        <v>34.200000000000003</v>
      </c>
      <c r="P102" s="47">
        <v>0.77</v>
      </c>
      <c r="Q102">
        <v>97</v>
      </c>
      <c r="R102">
        <v>100</v>
      </c>
      <c r="S102">
        <v>92004601</v>
      </c>
      <c r="U102" t="s">
        <v>3893</v>
      </c>
      <c r="V102" t="s">
        <v>3894</v>
      </c>
      <c r="W102" t="s">
        <v>7564</v>
      </c>
      <c r="X102">
        <v>38.200000000000003</v>
      </c>
      <c r="Y102">
        <v>38.200000000000003</v>
      </c>
      <c r="Z102" s="47">
        <v>0.73</v>
      </c>
      <c r="AA102">
        <v>16</v>
      </c>
      <c r="AB102">
        <v>100</v>
      </c>
      <c r="AC102">
        <v>1170</v>
      </c>
    </row>
    <row r="103" spans="1:29" x14ac:dyDescent="0.2">
      <c r="A103" t="s">
        <v>3895</v>
      </c>
      <c r="B103" t="s">
        <v>3595</v>
      </c>
      <c r="C103" t="s">
        <v>7565</v>
      </c>
      <c r="D103">
        <v>34.200000000000003</v>
      </c>
      <c r="E103">
        <v>34.200000000000003</v>
      </c>
      <c r="F103" s="47">
        <v>0.77</v>
      </c>
      <c r="G103">
        <v>97</v>
      </c>
      <c r="H103">
        <v>100</v>
      </c>
      <c r="I103">
        <v>8532</v>
      </c>
      <c r="K103" t="s">
        <v>3896</v>
      </c>
      <c r="L103" t="s">
        <v>3883</v>
      </c>
      <c r="M103" t="s">
        <v>7566</v>
      </c>
      <c r="N103">
        <v>34.200000000000003</v>
      </c>
      <c r="O103">
        <v>34.200000000000003</v>
      </c>
      <c r="P103" s="47">
        <v>0.77</v>
      </c>
      <c r="Q103">
        <v>97</v>
      </c>
      <c r="R103">
        <v>100</v>
      </c>
      <c r="S103">
        <v>2663111</v>
      </c>
      <c r="U103" t="s">
        <v>3897</v>
      </c>
      <c r="V103" t="s">
        <v>3898</v>
      </c>
      <c r="W103" t="s">
        <v>7567</v>
      </c>
      <c r="X103">
        <v>38.200000000000003</v>
      </c>
      <c r="Y103">
        <v>102</v>
      </c>
      <c r="Z103" s="47">
        <v>0.73</v>
      </c>
      <c r="AA103">
        <v>16</v>
      </c>
      <c r="AB103">
        <v>100</v>
      </c>
      <c r="AC103">
        <v>16409882</v>
      </c>
    </row>
    <row r="104" spans="1:29" x14ac:dyDescent="0.2">
      <c r="A104" t="s">
        <v>3899</v>
      </c>
      <c r="B104" t="s">
        <v>3900</v>
      </c>
      <c r="C104" t="s">
        <v>7568</v>
      </c>
      <c r="D104">
        <v>34.200000000000003</v>
      </c>
      <c r="E104">
        <v>34.200000000000003</v>
      </c>
      <c r="F104" s="47">
        <v>0.77</v>
      </c>
      <c r="G104">
        <v>97</v>
      </c>
      <c r="H104">
        <v>100</v>
      </c>
      <c r="I104">
        <v>16968</v>
      </c>
      <c r="K104" t="s">
        <v>3901</v>
      </c>
      <c r="L104" t="s">
        <v>3902</v>
      </c>
      <c r="M104" t="s">
        <v>7569</v>
      </c>
      <c r="N104">
        <v>34.200000000000003</v>
      </c>
      <c r="O104">
        <v>34.200000000000003</v>
      </c>
      <c r="P104" s="47">
        <v>0.77</v>
      </c>
      <c r="Q104">
        <v>97</v>
      </c>
      <c r="R104">
        <v>100</v>
      </c>
      <c r="S104">
        <v>2574276</v>
      </c>
      <c r="U104" t="s">
        <v>3903</v>
      </c>
      <c r="V104" t="s">
        <v>3904</v>
      </c>
      <c r="W104" t="s">
        <v>7570</v>
      </c>
      <c r="X104">
        <v>38.200000000000003</v>
      </c>
      <c r="Y104">
        <v>38.200000000000003</v>
      </c>
      <c r="Z104" s="47">
        <v>0.73</v>
      </c>
      <c r="AA104">
        <v>16</v>
      </c>
      <c r="AB104">
        <v>100</v>
      </c>
      <c r="AC104">
        <v>1996</v>
      </c>
    </row>
    <row r="105" spans="1:29" x14ac:dyDescent="0.2">
      <c r="A105" t="s">
        <v>3905</v>
      </c>
      <c r="B105" t="s">
        <v>3561</v>
      </c>
      <c r="C105" t="s">
        <v>7571</v>
      </c>
      <c r="D105">
        <v>34.200000000000003</v>
      </c>
      <c r="E105">
        <v>34.200000000000003</v>
      </c>
      <c r="F105" s="47">
        <v>0.77</v>
      </c>
      <c r="G105">
        <v>97</v>
      </c>
      <c r="H105">
        <v>100</v>
      </c>
      <c r="I105">
        <v>8602</v>
      </c>
      <c r="K105" t="s">
        <v>3906</v>
      </c>
      <c r="L105" t="s">
        <v>3889</v>
      </c>
      <c r="M105" t="s">
        <v>7572</v>
      </c>
      <c r="N105">
        <v>34.200000000000003</v>
      </c>
      <c r="O105">
        <v>34.200000000000003</v>
      </c>
      <c r="P105" s="47">
        <v>0.77</v>
      </c>
      <c r="Q105">
        <v>97</v>
      </c>
      <c r="R105">
        <v>100</v>
      </c>
      <c r="S105">
        <v>3469465</v>
      </c>
      <c r="U105" t="s">
        <v>3907</v>
      </c>
      <c r="V105" t="s">
        <v>3908</v>
      </c>
      <c r="W105" t="s">
        <v>7573</v>
      </c>
      <c r="X105">
        <v>38.200000000000003</v>
      </c>
      <c r="Y105">
        <v>38.200000000000003</v>
      </c>
      <c r="Z105" s="47">
        <v>0.88</v>
      </c>
      <c r="AA105">
        <v>16</v>
      </c>
      <c r="AB105">
        <v>95.65</v>
      </c>
      <c r="AC105">
        <v>6713</v>
      </c>
    </row>
    <row r="106" spans="1:29" x14ac:dyDescent="0.2">
      <c r="A106" t="s">
        <v>3909</v>
      </c>
      <c r="B106" t="s">
        <v>3736</v>
      </c>
      <c r="C106" t="s">
        <v>7574</v>
      </c>
      <c r="D106">
        <v>34.200000000000003</v>
      </c>
      <c r="E106">
        <v>34.200000000000003</v>
      </c>
      <c r="F106" s="47">
        <v>0.77</v>
      </c>
      <c r="G106">
        <v>97</v>
      </c>
      <c r="H106">
        <v>100</v>
      </c>
      <c r="I106">
        <v>6163013</v>
      </c>
      <c r="K106" t="s">
        <v>3910</v>
      </c>
      <c r="L106" t="s">
        <v>3911</v>
      </c>
      <c r="M106" t="s">
        <v>7575</v>
      </c>
      <c r="N106">
        <v>34.200000000000003</v>
      </c>
      <c r="O106">
        <v>34.200000000000003</v>
      </c>
      <c r="P106" s="47">
        <v>0.77</v>
      </c>
      <c r="Q106">
        <v>97</v>
      </c>
      <c r="R106">
        <v>100</v>
      </c>
      <c r="S106">
        <v>4659523</v>
      </c>
      <c r="U106" t="s">
        <v>3912</v>
      </c>
      <c r="V106" t="s">
        <v>3913</v>
      </c>
      <c r="W106" t="s">
        <v>7576</v>
      </c>
      <c r="X106">
        <v>38.200000000000003</v>
      </c>
      <c r="Y106">
        <v>38.200000000000003</v>
      </c>
      <c r="Z106" s="47">
        <v>0.73</v>
      </c>
      <c r="AA106">
        <v>16</v>
      </c>
      <c r="AB106">
        <v>100</v>
      </c>
      <c r="AC106">
        <v>2738</v>
      </c>
    </row>
    <row r="107" spans="1:29" x14ac:dyDescent="0.2">
      <c r="A107" t="s">
        <v>3914</v>
      </c>
      <c r="B107" t="s">
        <v>3574</v>
      </c>
      <c r="C107" t="s">
        <v>7577</v>
      </c>
      <c r="D107">
        <v>34.200000000000003</v>
      </c>
      <c r="E107">
        <v>34.200000000000003</v>
      </c>
      <c r="F107" s="47">
        <v>0.77</v>
      </c>
      <c r="G107">
        <v>97</v>
      </c>
      <c r="H107">
        <v>100</v>
      </c>
      <c r="I107">
        <v>8350</v>
      </c>
      <c r="K107" t="s">
        <v>3915</v>
      </c>
      <c r="L107" t="s">
        <v>3790</v>
      </c>
      <c r="M107" t="s">
        <v>7578</v>
      </c>
      <c r="N107">
        <v>34.200000000000003</v>
      </c>
      <c r="O107">
        <v>34.200000000000003</v>
      </c>
      <c r="P107" s="47">
        <v>0.77</v>
      </c>
      <c r="Q107">
        <v>97</v>
      </c>
      <c r="R107">
        <v>100</v>
      </c>
      <c r="S107">
        <v>2080</v>
      </c>
      <c r="U107" t="s">
        <v>3916</v>
      </c>
      <c r="V107" t="s">
        <v>3913</v>
      </c>
      <c r="W107" t="s">
        <v>7579</v>
      </c>
      <c r="X107">
        <v>38.200000000000003</v>
      </c>
      <c r="Y107">
        <v>38.200000000000003</v>
      </c>
      <c r="Z107" s="47">
        <v>0.73</v>
      </c>
      <c r="AA107">
        <v>16</v>
      </c>
      <c r="AB107">
        <v>100</v>
      </c>
      <c r="AC107">
        <v>2750</v>
      </c>
    </row>
    <row r="108" spans="1:29" x14ac:dyDescent="0.2">
      <c r="A108" t="s">
        <v>3917</v>
      </c>
      <c r="B108" t="s">
        <v>3561</v>
      </c>
      <c r="C108" t="s">
        <v>7580</v>
      </c>
      <c r="D108">
        <v>34.200000000000003</v>
      </c>
      <c r="E108">
        <v>34.200000000000003</v>
      </c>
      <c r="F108" s="47">
        <v>0.77</v>
      </c>
      <c r="G108">
        <v>97</v>
      </c>
      <c r="H108">
        <v>100</v>
      </c>
      <c r="I108">
        <v>8668</v>
      </c>
      <c r="K108" t="s">
        <v>3918</v>
      </c>
      <c r="L108" t="s">
        <v>3835</v>
      </c>
      <c r="M108" t="s">
        <v>7581</v>
      </c>
      <c r="N108">
        <v>34.200000000000003</v>
      </c>
      <c r="O108">
        <v>34.200000000000003</v>
      </c>
      <c r="P108" s="47">
        <v>0.77</v>
      </c>
      <c r="Q108">
        <v>97</v>
      </c>
      <c r="R108">
        <v>100</v>
      </c>
      <c r="S108">
        <v>24429406</v>
      </c>
      <c r="U108" t="s">
        <v>3919</v>
      </c>
      <c r="V108" t="s">
        <v>3843</v>
      </c>
      <c r="W108" t="s">
        <v>7582</v>
      </c>
      <c r="X108">
        <v>38.200000000000003</v>
      </c>
      <c r="Y108">
        <v>38.200000000000003</v>
      </c>
      <c r="Z108" s="47">
        <v>0.73</v>
      </c>
      <c r="AA108">
        <v>16</v>
      </c>
      <c r="AB108">
        <v>100</v>
      </c>
      <c r="AC108">
        <v>1182</v>
      </c>
    </row>
    <row r="109" spans="1:29" x14ac:dyDescent="0.2">
      <c r="A109" t="s">
        <v>3920</v>
      </c>
      <c r="B109" t="s">
        <v>3605</v>
      </c>
      <c r="C109" t="s">
        <v>7583</v>
      </c>
      <c r="D109">
        <v>34.200000000000003</v>
      </c>
      <c r="E109">
        <v>34.200000000000003</v>
      </c>
      <c r="F109" s="47">
        <v>0.77</v>
      </c>
      <c r="G109">
        <v>97</v>
      </c>
      <c r="H109">
        <v>100</v>
      </c>
      <c r="I109">
        <v>8192</v>
      </c>
      <c r="K109" t="s">
        <v>3921</v>
      </c>
      <c r="L109" t="s">
        <v>3922</v>
      </c>
      <c r="M109" t="s">
        <v>7584</v>
      </c>
      <c r="N109">
        <v>34.200000000000003</v>
      </c>
      <c r="O109">
        <v>34.200000000000003</v>
      </c>
      <c r="P109" s="47">
        <v>0.77</v>
      </c>
      <c r="Q109">
        <v>97</v>
      </c>
      <c r="R109">
        <v>100</v>
      </c>
      <c r="S109">
        <v>2679563</v>
      </c>
      <c r="U109" t="s">
        <v>3923</v>
      </c>
      <c r="V109" t="s">
        <v>3924</v>
      </c>
      <c r="W109" t="s">
        <v>7585</v>
      </c>
      <c r="X109">
        <v>38.200000000000003</v>
      </c>
      <c r="Y109">
        <v>38.200000000000003</v>
      </c>
      <c r="Z109" s="47">
        <v>0.73</v>
      </c>
      <c r="AA109">
        <v>16</v>
      </c>
      <c r="AB109">
        <v>100</v>
      </c>
      <c r="AC109">
        <v>2019</v>
      </c>
    </row>
    <row r="110" spans="1:29" x14ac:dyDescent="0.2">
      <c r="A110" t="s">
        <v>3925</v>
      </c>
      <c r="B110" t="s">
        <v>3718</v>
      </c>
      <c r="C110" t="s">
        <v>7586</v>
      </c>
      <c r="D110">
        <v>34.200000000000003</v>
      </c>
      <c r="E110">
        <v>34.200000000000003</v>
      </c>
      <c r="F110" s="47">
        <v>0.77</v>
      </c>
      <c r="G110">
        <v>97</v>
      </c>
      <c r="H110">
        <v>100</v>
      </c>
      <c r="I110">
        <v>1859</v>
      </c>
      <c r="K110" t="s">
        <v>3926</v>
      </c>
      <c r="L110" t="s">
        <v>3927</v>
      </c>
      <c r="M110" t="s">
        <v>7587</v>
      </c>
      <c r="N110">
        <v>34.200000000000003</v>
      </c>
      <c r="O110">
        <v>34.200000000000003</v>
      </c>
      <c r="P110" s="47">
        <v>0.77</v>
      </c>
      <c r="Q110">
        <v>97</v>
      </c>
      <c r="R110">
        <v>100</v>
      </c>
      <c r="S110">
        <v>2381319</v>
      </c>
      <c r="U110" t="s">
        <v>3928</v>
      </c>
      <c r="V110" t="s">
        <v>3929</v>
      </c>
      <c r="W110" t="s">
        <v>7588</v>
      </c>
      <c r="X110">
        <v>38.200000000000003</v>
      </c>
      <c r="Y110">
        <v>38.200000000000003</v>
      </c>
      <c r="Z110" s="47">
        <v>0.73</v>
      </c>
      <c r="AA110">
        <v>16</v>
      </c>
      <c r="AB110">
        <v>100</v>
      </c>
      <c r="AC110">
        <v>2668</v>
      </c>
    </row>
    <row r="111" spans="1:29" x14ac:dyDescent="0.2">
      <c r="A111" t="s">
        <v>3930</v>
      </c>
      <c r="B111" t="s">
        <v>3931</v>
      </c>
      <c r="C111" t="s">
        <v>7589</v>
      </c>
      <c r="D111">
        <v>34.200000000000003</v>
      </c>
      <c r="E111">
        <v>34.200000000000003</v>
      </c>
      <c r="F111" s="47">
        <v>0.77</v>
      </c>
      <c r="G111">
        <v>97</v>
      </c>
      <c r="H111">
        <v>100</v>
      </c>
      <c r="I111">
        <v>21483016</v>
      </c>
      <c r="K111" t="s">
        <v>3932</v>
      </c>
      <c r="L111" t="s">
        <v>3933</v>
      </c>
      <c r="M111" t="s">
        <v>7590</v>
      </c>
      <c r="N111">
        <v>34.200000000000003</v>
      </c>
      <c r="O111">
        <v>34.200000000000003</v>
      </c>
      <c r="P111" s="47">
        <v>0.77</v>
      </c>
      <c r="Q111">
        <v>97</v>
      </c>
      <c r="R111">
        <v>100</v>
      </c>
      <c r="S111">
        <v>84349</v>
      </c>
      <c r="U111" t="s">
        <v>3934</v>
      </c>
      <c r="V111" t="s">
        <v>3924</v>
      </c>
      <c r="W111" t="s">
        <v>7591</v>
      </c>
      <c r="X111">
        <v>38.200000000000003</v>
      </c>
      <c r="Y111">
        <v>38.200000000000003</v>
      </c>
      <c r="Z111" s="47">
        <v>0.73</v>
      </c>
      <c r="AA111">
        <v>16</v>
      </c>
      <c r="AB111">
        <v>100</v>
      </c>
      <c r="AC111">
        <v>2003</v>
      </c>
    </row>
    <row r="112" spans="1:29" x14ac:dyDescent="0.2">
      <c r="A112" t="s">
        <v>3935</v>
      </c>
      <c r="B112" t="s">
        <v>3595</v>
      </c>
      <c r="C112" t="s">
        <v>7592</v>
      </c>
      <c r="D112">
        <v>34.200000000000003</v>
      </c>
      <c r="E112">
        <v>34.200000000000003</v>
      </c>
      <c r="F112" s="47">
        <v>0.77</v>
      </c>
      <c r="G112">
        <v>97</v>
      </c>
      <c r="H112">
        <v>100</v>
      </c>
      <c r="I112">
        <v>8554</v>
      </c>
      <c r="K112" t="s">
        <v>3599</v>
      </c>
      <c r="L112" t="s">
        <v>3600</v>
      </c>
      <c r="M112" t="s">
        <v>7593</v>
      </c>
      <c r="N112">
        <v>34.200000000000003</v>
      </c>
      <c r="O112">
        <v>34.200000000000003</v>
      </c>
      <c r="P112" s="47">
        <v>0.77</v>
      </c>
      <c r="Q112">
        <v>97</v>
      </c>
      <c r="R112">
        <v>100</v>
      </c>
      <c r="S112">
        <v>142238</v>
      </c>
      <c r="U112" t="s">
        <v>3786</v>
      </c>
      <c r="V112" t="s">
        <v>3787</v>
      </c>
      <c r="W112" t="s">
        <v>7594</v>
      </c>
      <c r="X112">
        <v>38.200000000000003</v>
      </c>
      <c r="Y112">
        <v>70.400000000000006</v>
      </c>
      <c r="Z112" s="47">
        <v>0.85</v>
      </c>
      <c r="AA112">
        <v>16</v>
      </c>
      <c r="AB112">
        <v>100</v>
      </c>
      <c r="AC112">
        <v>79024126</v>
      </c>
    </row>
    <row r="113" spans="1:29" x14ac:dyDescent="0.2">
      <c r="A113" t="s">
        <v>3936</v>
      </c>
      <c r="B113" t="s">
        <v>3574</v>
      </c>
      <c r="C113" t="s">
        <v>7595</v>
      </c>
      <c r="D113">
        <v>34.200000000000003</v>
      </c>
      <c r="E113">
        <v>34.200000000000003</v>
      </c>
      <c r="F113" s="47">
        <v>0.77</v>
      </c>
      <c r="G113">
        <v>97</v>
      </c>
      <c r="H113">
        <v>100</v>
      </c>
      <c r="I113">
        <v>8564</v>
      </c>
      <c r="K113" t="s">
        <v>3937</v>
      </c>
      <c r="L113" t="s">
        <v>3742</v>
      </c>
      <c r="M113" t="s">
        <v>7596</v>
      </c>
      <c r="N113">
        <v>34.200000000000003</v>
      </c>
      <c r="O113">
        <v>34.200000000000003</v>
      </c>
      <c r="P113" s="47">
        <v>0.77</v>
      </c>
      <c r="Q113">
        <v>97</v>
      </c>
      <c r="R113">
        <v>100</v>
      </c>
      <c r="S113">
        <v>33379697</v>
      </c>
      <c r="U113" t="s">
        <v>3938</v>
      </c>
      <c r="V113" t="s">
        <v>3684</v>
      </c>
      <c r="W113" t="s">
        <v>7597</v>
      </c>
      <c r="X113">
        <v>38.200000000000003</v>
      </c>
      <c r="Y113">
        <v>297</v>
      </c>
      <c r="Z113" s="47">
        <v>0.73</v>
      </c>
      <c r="AA113">
        <v>16</v>
      </c>
      <c r="AB113">
        <v>100</v>
      </c>
      <c r="AC113">
        <v>9825430</v>
      </c>
    </row>
    <row r="114" spans="1:29" x14ac:dyDescent="0.2">
      <c r="A114" t="s">
        <v>3939</v>
      </c>
      <c r="B114" t="s">
        <v>3940</v>
      </c>
      <c r="C114" t="s">
        <v>7598</v>
      </c>
      <c r="D114">
        <v>34.200000000000003</v>
      </c>
      <c r="E114">
        <v>34.200000000000003</v>
      </c>
      <c r="F114" s="47">
        <v>0.77</v>
      </c>
      <c r="G114">
        <v>97</v>
      </c>
      <c r="H114">
        <v>100</v>
      </c>
      <c r="I114">
        <v>8593</v>
      </c>
      <c r="K114" t="s">
        <v>3941</v>
      </c>
      <c r="L114" t="s">
        <v>3942</v>
      </c>
      <c r="M114" t="s">
        <v>7599</v>
      </c>
      <c r="N114">
        <v>34.200000000000003</v>
      </c>
      <c r="O114">
        <v>34.200000000000003</v>
      </c>
      <c r="P114" s="47">
        <v>0.77</v>
      </c>
      <c r="Q114">
        <v>97</v>
      </c>
      <c r="R114">
        <v>100</v>
      </c>
      <c r="S114">
        <v>1560</v>
      </c>
      <c r="U114" t="s">
        <v>3943</v>
      </c>
      <c r="V114" t="s">
        <v>3944</v>
      </c>
      <c r="W114" t="s">
        <v>7600</v>
      </c>
      <c r="X114">
        <v>38.200000000000003</v>
      </c>
      <c r="Y114">
        <v>38.200000000000003</v>
      </c>
      <c r="Z114" s="47">
        <v>0.73</v>
      </c>
      <c r="AA114">
        <v>16</v>
      </c>
      <c r="AB114">
        <v>100</v>
      </c>
      <c r="AC114">
        <v>2426</v>
      </c>
    </row>
    <row r="115" spans="1:29" x14ac:dyDescent="0.2">
      <c r="A115" t="s">
        <v>3599</v>
      </c>
      <c r="B115" t="s">
        <v>3600</v>
      </c>
      <c r="C115" t="s">
        <v>7601</v>
      </c>
      <c r="D115">
        <v>34.200000000000003</v>
      </c>
      <c r="E115">
        <v>68.400000000000006</v>
      </c>
      <c r="F115" s="47">
        <v>0.77</v>
      </c>
      <c r="G115">
        <v>97</v>
      </c>
      <c r="H115">
        <v>100</v>
      </c>
      <c r="I115">
        <v>274</v>
      </c>
      <c r="K115" t="s">
        <v>3945</v>
      </c>
      <c r="L115" t="s">
        <v>3946</v>
      </c>
      <c r="M115" t="s">
        <v>7602</v>
      </c>
      <c r="N115">
        <v>34.200000000000003</v>
      </c>
      <c r="O115">
        <v>34.200000000000003</v>
      </c>
      <c r="P115" s="47">
        <v>0.77</v>
      </c>
      <c r="Q115">
        <v>97</v>
      </c>
      <c r="R115">
        <v>100</v>
      </c>
      <c r="S115">
        <v>1720972</v>
      </c>
      <c r="U115" t="s">
        <v>3947</v>
      </c>
      <c r="V115" t="s">
        <v>3904</v>
      </c>
      <c r="W115" t="s">
        <v>7603</v>
      </c>
      <c r="X115">
        <v>38.200000000000003</v>
      </c>
      <c r="Y115">
        <v>38.200000000000003</v>
      </c>
      <c r="Z115" s="47">
        <v>0.73</v>
      </c>
      <c r="AA115">
        <v>16</v>
      </c>
      <c r="AB115">
        <v>100</v>
      </c>
      <c r="AC115">
        <v>1672</v>
      </c>
    </row>
    <row r="116" spans="1:29" x14ac:dyDescent="0.2">
      <c r="A116" t="s">
        <v>3948</v>
      </c>
      <c r="B116" t="s">
        <v>3940</v>
      </c>
      <c r="C116" t="s">
        <v>7604</v>
      </c>
      <c r="D116">
        <v>34.200000000000003</v>
      </c>
      <c r="E116">
        <v>34.200000000000003</v>
      </c>
      <c r="F116" s="47">
        <v>0.77</v>
      </c>
      <c r="G116">
        <v>97</v>
      </c>
      <c r="H116">
        <v>100</v>
      </c>
      <c r="I116">
        <v>8529</v>
      </c>
      <c r="K116" t="s">
        <v>3949</v>
      </c>
      <c r="L116" t="s">
        <v>3950</v>
      </c>
      <c r="M116" t="s">
        <v>7605</v>
      </c>
      <c r="N116">
        <v>34.200000000000003</v>
      </c>
      <c r="O116">
        <v>34.200000000000003</v>
      </c>
      <c r="P116" s="47">
        <v>0.77</v>
      </c>
      <c r="Q116">
        <v>97</v>
      </c>
      <c r="R116">
        <v>100</v>
      </c>
      <c r="S116">
        <v>2622031</v>
      </c>
      <c r="U116" t="s">
        <v>3951</v>
      </c>
      <c r="V116" t="s">
        <v>3952</v>
      </c>
      <c r="W116" t="s">
        <v>7606</v>
      </c>
      <c r="X116">
        <v>38.200000000000003</v>
      </c>
      <c r="Y116">
        <v>38.200000000000003</v>
      </c>
      <c r="Z116" s="47">
        <v>0.73</v>
      </c>
      <c r="AA116">
        <v>16</v>
      </c>
      <c r="AB116">
        <v>100</v>
      </c>
      <c r="AC116">
        <v>7549</v>
      </c>
    </row>
    <row r="117" spans="1:29" x14ac:dyDescent="0.2">
      <c r="A117" t="s">
        <v>3953</v>
      </c>
      <c r="B117" t="s">
        <v>2990</v>
      </c>
      <c r="C117" t="s">
        <v>7607</v>
      </c>
      <c r="D117">
        <v>34.200000000000003</v>
      </c>
      <c r="E117">
        <v>34.200000000000003</v>
      </c>
      <c r="F117" s="47">
        <v>0.95</v>
      </c>
      <c r="G117">
        <v>97</v>
      </c>
      <c r="H117">
        <v>95.24</v>
      </c>
      <c r="I117">
        <v>16470</v>
      </c>
      <c r="K117" t="s">
        <v>3954</v>
      </c>
      <c r="L117" t="s">
        <v>3955</v>
      </c>
      <c r="M117" t="s">
        <v>7608</v>
      </c>
      <c r="N117">
        <v>34.200000000000003</v>
      </c>
      <c r="O117">
        <v>34.200000000000003</v>
      </c>
      <c r="P117" s="47">
        <v>0.77</v>
      </c>
      <c r="Q117">
        <v>97</v>
      </c>
      <c r="R117">
        <v>100</v>
      </c>
      <c r="S117">
        <v>3081560</v>
      </c>
      <c r="U117" t="s">
        <v>3956</v>
      </c>
      <c r="V117" t="s">
        <v>3848</v>
      </c>
      <c r="W117" t="s">
        <v>7609</v>
      </c>
      <c r="X117">
        <v>38.200000000000003</v>
      </c>
      <c r="Y117">
        <v>38.200000000000003</v>
      </c>
      <c r="Z117" s="47">
        <v>0.73</v>
      </c>
      <c r="AA117">
        <v>16</v>
      </c>
      <c r="AB117">
        <v>100</v>
      </c>
      <c r="AC117">
        <v>2159</v>
      </c>
    </row>
    <row r="118" spans="1:29" x14ac:dyDescent="0.2">
      <c r="A118" t="s">
        <v>3957</v>
      </c>
      <c r="B118" t="s">
        <v>3958</v>
      </c>
      <c r="C118" t="s">
        <v>7610</v>
      </c>
      <c r="D118">
        <v>34.200000000000003</v>
      </c>
      <c r="E118">
        <v>34.200000000000003</v>
      </c>
      <c r="F118" s="47">
        <v>0.95</v>
      </c>
      <c r="G118">
        <v>97</v>
      </c>
      <c r="H118">
        <v>95.24</v>
      </c>
      <c r="I118">
        <v>16645</v>
      </c>
      <c r="K118" t="s">
        <v>3959</v>
      </c>
      <c r="L118" t="s">
        <v>3960</v>
      </c>
      <c r="M118" t="s">
        <v>7611</v>
      </c>
      <c r="N118">
        <v>34.200000000000003</v>
      </c>
      <c r="O118">
        <v>66.400000000000006</v>
      </c>
      <c r="P118" s="47">
        <v>0.77</v>
      </c>
      <c r="Q118">
        <v>97</v>
      </c>
      <c r="R118">
        <v>100</v>
      </c>
      <c r="S118">
        <v>2569389</v>
      </c>
      <c r="U118" t="s">
        <v>3961</v>
      </c>
      <c r="V118" t="s">
        <v>3962</v>
      </c>
      <c r="W118" t="s">
        <v>7612</v>
      </c>
      <c r="X118">
        <v>38.200000000000003</v>
      </c>
      <c r="Y118">
        <v>38.200000000000003</v>
      </c>
      <c r="Z118" s="47">
        <v>0.73</v>
      </c>
      <c r="AA118">
        <v>16</v>
      </c>
      <c r="AB118">
        <v>100</v>
      </c>
      <c r="AC118">
        <v>414277</v>
      </c>
    </row>
    <row r="119" spans="1:29" x14ac:dyDescent="0.2">
      <c r="A119" t="s">
        <v>3963</v>
      </c>
      <c r="B119" t="s">
        <v>3815</v>
      </c>
      <c r="C119" t="s">
        <v>7613</v>
      </c>
      <c r="D119">
        <v>34.200000000000003</v>
      </c>
      <c r="E119">
        <v>34.200000000000003</v>
      </c>
      <c r="F119" s="47">
        <v>0.77</v>
      </c>
      <c r="G119">
        <v>97</v>
      </c>
      <c r="H119">
        <v>100</v>
      </c>
      <c r="I119">
        <v>16434837</v>
      </c>
      <c r="K119" t="s">
        <v>3746</v>
      </c>
      <c r="L119" t="s">
        <v>3747</v>
      </c>
      <c r="M119" t="s">
        <v>7614</v>
      </c>
      <c r="N119">
        <v>34.200000000000003</v>
      </c>
      <c r="O119">
        <v>34.200000000000003</v>
      </c>
      <c r="P119" s="47">
        <v>0.77</v>
      </c>
      <c r="Q119">
        <v>97</v>
      </c>
      <c r="R119">
        <v>100</v>
      </c>
      <c r="S119">
        <v>255</v>
      </c>
      <c r="U119" t="s">
        <v>3964</v>
      </c>
      <c r="V119" t="s">
        <v>3929</v>
      </c>
      <c r="W119" t="s">
        <v>7615</v>
      </c>
      <c r="X119">
        <v>38.200000000000003</v>
      </c>
      <c r="Y119">
        <v>38.200000000000003</v>
      </c>
      <c r="Z119" s="47">
        <v>0.73</v>
      </c>
      <c r="AA119">
        <v>16</v>
      </c>
      <c r="AB119">
        <v>100</v>
      </c>
      <c r="AC119">
        <v>2446</v>
      </c>
    </row>
    <row r="120" spans="1:29" x14ac:dyDescent="0.2">
      <c r="A120" t="s">
        <v>3965</v>
      </c>
      <c r="B120" t="s">
        <v>3966</v>
      </c>
      <c r="C120" t="s">
        <v>7616</v>
      </c>
      <c r="D120">
        <v>34.200000000000003</v>
      </c>
      <c r="E120">
        <v>34.200000000000003</v>
      </c>
      <c r="F120" s="47">
        <v>0.77</v>
      </c>
      <c r="G120">
        <v>97</v>
      </c>
      <c r="H120">
        <v>100</v>
      </c>
      <c r="I120">
        <v>4771</v>
      </c>
      <c r="K120" t="s">
        <v>3967</v>
      </c>
      <c r="L120" t="s">
        <v>3968</v>
      </c>
      <c r="M120" t="s">
        <v>7617</v>
      </c>
      <c r="N120">
        <v>34.200000000000003</v>
      </c>
      <c r="O120">
        <v>34.200000000000003</v>
      </c>
      <c r="P120" s="47">
        <v>0.77</v>
      </c>
      <c r="Q120">
        <v>97</v>
      </c>
      <c r="R120">
        <v>100</v>
      </c>
      <c r="S120">
        <v>4468697</v>
      </c>
      <c r="U120" t="s">
        <v>3969</v>
      </c>
      <c r="V120" t="s">
        <v>3848</v>
      </c>
      <c r="W120" t="s">
        <v>7618</v>
      </c>
      <c r="X120">
        <v>38.200000000000003</v>
      </c>
      <c r="Y120">
        <v>38.200000000000003</v>
      </c>
      <c r="Z120" s="47">
        <v>0.73</v>
      </c>
      <c r="AA120">
        <v>16</v>
      </c>
      <c r="AB120">
        <v>100</v>
      </c>
      <c r="AC120">
        <v>103714</v>
      </c>
    </row>
    <row r="121" spans="1:29" x14ac:dyDescent="0.2">
      <c r="A121" t="s">
        <v>3970</v>
      </c>
      <c r="B121" t="s">
        <v>3971</v>
      </c>
      <c r="C121" t="s">
        <v>7619</v>
      </c>
      <c r="D121">
        <v>34.200000000000003</v>
      </c>
      <c r="E121">
        <v>34.200000000000003</v>
      </c>
      <c r="F121" s="47">
        <v>0.95</v>
      </c>
      <c r="G121">
        <v>97</v>
      </c>
      <c r="H121">
        <v>95.24</v>
      </c>
      <c r="I121">
        <v>34371785</v>
      </c>
      <c r="K121" t="s">
        <v>3972</v>
      </c>
      <c r="L121" t="s">
        <v>3855</v>
      </c>
      <c r="M121" t="s">
        <v>7620</v>
      </c>
      <c r="N121">
        <v>34.200000000000003</v>
      </c>
      <c r="O121">
        <v>34.200000000000003</v>
      </c>
      <c r="P121" s="47">
        <v>0.77</v>
      </c>
      <c r="Q121">
        <v>97</v>
      </c>
      <c r="R121">
        <v>100</v>
      </c>
      <c r="S121">
        <v>3244101</v>
      </c>
      <c r="U121" t="s">
        <v>3973</v>
      </c>
      <c r="V121" t="s">
        <v>3833</v>
      </c>
      <c r="W121" t="s">
        <v>7621</v>
      </c>
      <c r="X121">
        <v>38.200000000000003</v>
      </c>
      <c r="Y121">
        <v>446</v>
      </c>
      <c r="Z121" s="47">
        <v>0.77</v>
      </c>
      <c r="AA121">
        <v>16</v>
      </c>
      <c r="AB121">
        <v>100</v>
      </c>
      <c r="AC121">
        <v>70658574</v>
      </c>
    </row>
    <row r="122" spans="1:29" x14ac:dyDescent="0.2">
      <c r="A122" t="s">
        <v>3974</v>
      </c>
      <c r="B122" t="s">
        <v>3595</v>
      </c>
      <c r="C122" t="s">
        <v>7622</v>
      </c>
      <c r="D122">
        <v>34.200000000000003</v>
      </c>
      <c r="E122">
        <v>34.200000000000003</v>
      </c>
      <c r="F122" s="47">
        <v>0.77</v>
      </c>
      <c r="G122">
        <v>97</v>
      </c>
      <c r="H122">
        <v>100</v>
      </c>
      <c r="I122">
        <v>8803</v>
      </c>
      <c r="K122" t="s">
        <v>3961</v>
      </c>
      <c r="L122" t="s">
        <v>3962</v>
      </c>
      <c r="M122" t="s">
        <v>7623</v>
      </c>
      <c r="N122">
        <v>34.200000000000003</v>
      </c>
      <c r="O122">
        <v>34.200000000000003</v>
      </c>
      <c r="P122" s="47">
        <v>0.77</v>
      </c>
      <c r="Q122">
        <v>97</v>
      </c>
      <c r="R122">
        <v>100</v>
      </c>
      <c r="S122">
        <v>156118</v>
      </c>
      <c r="U122" t="s">
        <v>3975</v>
      </c>
      <c r="V122" t="s">
        <v>3976</v>
      </c>
      <c r="W122" t="s">
        <v>7624</v>
      </c>
      <c r="X122">
        <v>36.200000000000003</v>
      </c>
      <c r="Y122">
        <v>36.200000000000003</v>
      </c>
      <c r="Z122" s="47">
        <v>0.69</v>
      </c>
      <c r="AA122">
        <v>61</v>
      </c>
      <c r="AB122">
        <v>100</v>
      </c>
      <c r="AC122">
        <v>16681</v>
      </c>
    </row>
    <row r="123" spans="1:29" x14ac:dyDescent="0.2">
      <c r="A123" t="s">
        <v>3977</v>
      </c>
      <c r="B123" t="s">
        <v>3595</v>
      </c>
      <c r="C123" t="s">
        <v>7625</v>
      </c>
      <c r="D123">
        <v>34.200000000000003</v>
      </c>
      <c r="E123">
        <v>34.200000000000003</v>
      </c>
      <c r="F123" s="47">
        <v>0.77</v>
      </c>
      <c r="G123">
        <v>97</v>
      </c>
      <c r="H123">
        <v>100</v>
      </c>
      <c r="I123">
        <v>8562</v>
      </c>
      <c r="K123" t="s">
        <v>3978</v>
      </c>
      <c r="L123" t="s">
        <v>3855</v>
      </c>
      <c r="M123" t="s">
        <v>7626</v>
      </c>
      <c r="N123">
        <v>34.200000000000003</v>
      </c>
      <c r="O123">
        <v>34.200000000000003</v>
      </c>
      <c r="P123" s="47">
        <v>0.77</v>
      </c>
      <c r="Q123">
        <v>97</v>
      </c>
      <c r="R123">
        <v>100</v>
      </c>
      <c r="S123">
        <v>3769422</v>
      </c>
      <c r="U123" t="s">
        <v>3979</v>
      </c>
      <c r="V123" t="s">
        <v>3216</v>
      </c>
      <c r="W123" t="s">
        <v>7627</v>
      </c>
      <c r="X123">
        <v>36.200000000000003</v>
      </c>
      <c r="Y123">
        <v>36.200000000000003</v>
      </c>
      <c r="Z123" s="47">
        <v>0.69</v>
      </c>
      <c r="AA123">
        <v>61</v>
      </c>
      <c r="AB123">
        <v>100</v>
      </c>
      <c r="AC123">
        <v>1886</v>
      </c>
    </row>
    <row r="124" spans="1:29" x14ac:dyDescent="0.2">
      <c r="A124" t="s">
        <v>3635</v>
      </c>
      <c r="B124" t="s">
        <v>3636</v>
      </c>
      <c r="C124" t="s">
        <v>7628</v>
      </c>
      <c r="D124">
        <v>34.200000000000003</v>
      </c>
      <c r="E124">
        <v>68.400000000000006</v>
      </c>
      <c r="F124" s="47">
        <v>0.77</v>
      </c>
      <c r="G124">
        <v>97</v>
      </c>
      <c r="H124">
        <v>100</v>
      </c>
      <c r="I124">
        <v>652</v>
      </c>
      <c r="K124" t="s">
        <v>3937</v>
      </c>
      <c r="L124" t="s">
        <v>3742</v>
      </c>
      <c r="M124" t="s">
        <v>7629</v>
      </c>
      <c r="N124">
        <v>34.200000000000003</v>
      </c>
      <c r="O124">
        <v>66.400000000000006</v>
      </c>
      <c r="P124" s="47">
        <v>0.86</v>
      </c>
      <c r="Q124">
        <v>97</v>
      </c>
      <c r="R124">
        <v>100</v>
      </c>
      <c r="S124">
        <v>33007639</v>
      </c>
      <c r="U124" t="s">
        <v>3980</v>
      </c>
      <c r="V124" t="s">
        <v>3981</v>
      </c>
      <c r="W124" t="s">
        <v>7630</v>
      </c>
      <c r="X124">
        <v>36.200000000000003</v>
      </c>
      <c r="Y124">
        <v>36.200000000000003</v>
      </c>
      <c r="Z124" s="47">
        <v>0.69</v>
      </c>
      <c r="AA124">
        <v>61</v>
      </c>
      <c r="AB124">
        <v>100</v>
      </c>
      <c r="AC124">
        <v>3535696</v>
      </c>
    </row>
    <row r="125" spans="1:29" x14ac:dyDescent="0.2">
      <c r="A125" t="s">
        <v>3982</v>
      </c>
      <c r="B125" t="s">
        <v>3561</v>
      </c>
      <c r="C125" t="s">
        <v>7631</v>
      </c>
      <c r="D125">
        <v>34.200000000000003</v>
      </c>
      <c r="E125">
        <v>34.200000000000003</v>
      </c>
      <c r="F125" s="47">
        <v>0.77</v>
      </c>
      <c r="G125">
        <v>97</v>
      </c>
      <c r="H125">
        <v>100</v>
      </c>
      <c r="I125">
        <v>8594</v>
      </c>
      <c r="K125" t="s">
        <v>3983</v>
      </c>
      <c r="L125" t="s">
        <v>3984</v>
      </c>
      <c r="M125" t="s">
        <v>7632</v>
      </c>
      <c r="N125">
        <v>34.200000000000003</v>
      </c>
      <c r="O125">
        <v>34.200000000000003</v>
      </c>
      <c r="P125" s="47">
        <v>0.77</v>
      </c>
      <c r="Q125">
        <v>97</v>
      </c>
      <c r="R125">
        <v>100</v>
      </c>
      <c r="S125">
        <v>861778</v>
      </c>
      <c r="U125" t="s">
        <v>3985</v>
      </c>
      <c r="V125" t="s">
        <v>3986</v>
      </c>
      <c r="W125" t="s">
        <v>7633</v>
      </c>
      <c r="X125">
        <v>36.200000000000003</v>
      </c>
      <c r="Y125">
        <v>36.200000000000003</v>
      </c>
      <c r="Z125" s="47">
        <v>0.69</v>
      </c>
      <c r="AA125">
        <v>61</v>
      </c>
      <c r="AB125">
        <v>100</v>
      </c>
      <c r="AC125">
        <v>7827</v>
      </c>
    </row>
    <row r="126" spans="1:29" x14ac:dyDescent="0.2">
      <c r="A126" t="s">
        <v>3987</v>
      </c>
      <c r="B126" t="s">
        <v>3988</v>
      </c>
      <c r="C126" t="s">
        <v>7634</v>
      </c>
      <c r="D126">
        <v>34.200000000000003</v>
      </c>
      <c r="E126">
        <v>34.200000000000003</v>
      </c>
      <c r="F126" s="47">
        <v>0.77</v>
      </c>
      <c r="G126">
        <v>97</v>
      </c>
      <c r="H126">
        <v>100</v>
      </c>
      <c r="I126">
        <v>16538</v>
      </c>
      <c r="K126" t="s">
        <v>3635</v>
      </c>
      <c r="L126" t="s">
        <v>3636</v>
      </c>
      <c r="M126" t="s">
        <v>7635</v>
      </c>
      <c r="N126">
        <v>34.200000000000003</v>
      </c>
      <c r="O126">
        <v>34.200000000000003</v>
      </c>
      <c r="P126" s="47">
        <v>0.77</v>
      </c>
      <c r="Q126">
        <v>97</v>
      </c>
      <c r="R126">
        <v>100</v>
      </c>
      <c r="S126">
        <v>285</v>
      </c>
      <c r="U126" t="s">
        <v>3989</v>
      </c>
      <c r="V126" t="s">
        <v>3898</v>
      </c>
      <c r="W126" t="s">
        <v>7636</v>
      </c>
      <c r="X126">
        <v>36.200000000000003</v>
      </c>
      <c r="Y126">
        <v>36.200000000000003</v>
      </c>
      <c r="Z126" s="47">
        <v>0.85</v>
      </c>
      <c r="AA126">
        <v>61</v>
      </c>
      <c r="AB126">
        <v>95.45</v>
      </c>
      <c r="AC126">
        <v>22103899</v>
      </c>
    </row>
    <row r="127" spans="1:29" x14ac:dyDescent="0.2">
      <c r="A127" t="s">
        <v>3990</v>
      </c>
      <c r="B127" t="s">
        <v>3991</v>
      </c>
      <c r="C127" t="s">
        <v>7637</v>
      </c>
      <c r="D127">
        <v>34.200000000000003</v>
      </c>
      <c r="E127">
        <v>34.200000000000003</v>
      </c>
      <c r="F127" s="47">
        <v>0.77</v>
      </c>
      <c r="G127">
        <v>97</v>
      </c>
      <c r="H127">
        <v>100</v>
      </c>
      <c r="I127">
        <v>16614</v>
      </c>
      <c r="K127" t="s">
        <v>3992</v>
      </c>
      <c r="L127" t="s">
        <v>3892</v>
      </c>
      <c r="M127" t="s">
        <v>7638</v>
      </c>
      <c r="N127">
        <v>34.200000000000003</v>
      </c>
      <c r="O127">
        <v>68.400000000000006</v>
      </c>
      <c r="P127" s="47">
        <v>0.77</v>
      </c>
      <c r="Q127">
        <v>97</v>
      </c>
      <c r="R127">
        <v>100</v>
      </c>
      <c r="S127">
        <v>91890814</v>
      </c>
      <c r="U127" t="s">
        <v>3993</v>
      </c>
      <c r="V127" t="s">
        <v>3994</v>
      </c>
      <c r="W127" t="s">
        <v>7639</v>
      </c>
      <c r="X127">
        <v>36.200000000000003</v>
      </c>
      <c r="Y127">
        <v>36.200000000000003</v>
      </c>
      <c r="Z127" s="47">
        <v>0.69</v>
      </c>
      <c r="AA127">
        <v>61</v>
      </c>
      <c r="AB127">
        <v>100</v>
      </c>
      <c r="AC127">
        <v>16476</v>
      </c>
    </row>
    <row r="128" spans="1:29" x14ac:dyDescent="0.2">
      <c r="A128" t="s">
        <v>3995</v>
      </c>
      <c r="B128" t="s">
        <v>3830</v>
      </c>
      <c r="C128" t="s">
        <v>7640</v>
      </c>
      <c r="D128">
        <v>34.200000000000003</v>
      </c>
      <c r="E128">
        <v>34.200000000000003</v>
      </c>
      <c r="F128" s="47">
        <v>0.77</v>
      </c>
      <c r="G128">
        <v>97</v>
      </c>
      <c r="H128">
        <v>100</v>
      </c>
      <c r="I128">
        <v>7516</v>
      </c>
      <c r="K128" t="s">
        <v>3996</v>
      </c>
      <c r="L128" t="s">
        <v>3997</v>
      </c>
      <c r="M128" t="s">
        <v>7641</v>
      </c>
      <c r="N128">
        <v>34.200000000000003</v>
      </c>
      <c r="O128">
        <v>34.200000000000003</v>
      </c>
      <c r="P128" s="47">
        <v>0.77</v>
      </c>
      <c r="Q128">
        <v>97</v>
      </c>
      <c r="R128">
        <v>100</v>
      </c>
      <c r="S128">
        <v>3681188</v>
      </c>
      <c r="U128" t="s">
        <v>3998</v>
      </c>
      <c r="V128" t="s">
        <v>3999</v>
      </c>
      <c r="W128" t="s">
        <v>7642</v>
      </c>
      <c r="X128">
        <v>36.200000000000003</v>
      </c>
      <c r="Y128">
        <v>36.200000000000003</v>
      </c>
      <c r="Z128" s="47">
        <v>0.85</v>
      </c>
      <c r="AA128">
        <v>61</v>
      </c>
      <c r="AB128">
        <v>95.45</v>
      </c>
      <c r="AC128">
        <v>1294</v>
      </c>
    </row>
    <row r="129" spans="1:29" x14ac:dyDescent="0.2">
      <c r="A129" t="s">
        <v>4000</v>
      </c>
      <c r="B129" t="s">
        <v>3574</v>
      </c>
      <c r="C129" t="s">
        <v>7643</v>
      </c>
      <c r="D129">
        <v>34.200000000000003</v>
      </c>
      <c r="E129">
        <v>34.200000000000003</v>
      </c>
      <c r="F129" s="47">
        <v>0.77</v>
      </c>
      <c r="G129">
        <v>97</v>
      </c>
      <c r="H129">
        <v>100</v>
      </c>
      <c r="I129">
        <v>8757</v>
      </c>
      <c r="K129" t="s">
        <v>4001</v>
      </c>
      <c r="L129" t="s">
        <v>4002</v>
      </c>
      <c r="M129" t="s">
        <v>7644</v>
      </c>
      <c r="N129">
        <v>34.200000000000003</v>
      </c>
      <c r="O129">
        <v>34.200000000000003</v>
      </c>
      <c r="P129" s="47">
        <v>0.77</v>
      </c>
      <c r="Q129">
        <v>97</v>
      </c>
      <c r="R129">
        <v>100</v>
      </c>
      <c r="S129">
        <v>3077071</v>
      </c>
      <c r="U129" t="s">
        <v>4003</v>
      </c>
      <c r="V129" t="s">
        <v>4004</v>
      </c>
      <c r="W129" t="s">
        <v>7645</v>
      </c>
      <c r="X129">
        <v>36.200000000000003</v>
      </c>
      <c r="Y129">
        <v>36.200000000000003</v>
      </c>
      <c r="Z129" s="47">
        <v>0.69</v>
      </c>
      <c r="AA129">
        <v>61</v>
      </c>
      <c r="AB129">
        <v>100</v>
      </c>
      <c r="AC129">
        <v>4429980</v>
      </c>
    </row>
    <row r="130" spans="1:29" x14ac:dyDescent="0.2">
      <c r="A130" t="s">
        <v>4005</v>
      </c>
      <c r="B130" t="s">
        <v>3710</v>
      </c>
      <c r="C130" t="s">
        <v>7646</v>
      </c>
      <c r="D130">
        <v>34.200000000000003</v>
      </c>
      <c r="E130">
        <v>34.200000000000003</v>
      </c>
      <c r="F130" s="47">
        <v>0.77</v>
      </c>
      <c r="G130">
        <v>97</v>
      </c>
      <c r="H130">
        <v>100</v>
      </c>
      <c r="I130">
        <v>16514</v>
      </c>
      <c r="K130" t="s">
        <v>4006</v>
      </c>
      <c r="L130" t="s">
        <v>3790</v>
      </c>
      <c r="M130" t="s">
        <v>7647</v>
      </c>
      <c r="N130">
        <v>34.200000000000003</v>
      </c>
      <c r="O130">
        <v>34.200000000000003</v>
      </c>
      <c r="P130" s="47">
        <v>0.77</v>
      </c>
      <c r="Q130">
        <v>97</v>
      </c>
      <c r="R130">
        <v>100</v>
      </c>
      <c r="S130">
        <v>2131</v>
      </c>
      <c r="U130" t="s">
        <v>4007</v>
      </c>
      <c r="V130" t="s">
        <v>4008</v>
      </c>
      <c r="W130" t="s">
        <v>7648</v>
      </c>
      <c r="X130">
        <v>36.200000000000003</v>
      </c>
      <c r="Y130">
        <v>36.200000000000003</v>
      </c>
      <c r="Z130" s="47">
        <v>0.69</v>
      </c>
      <c r="AA130">
        <v>61</v>
      </c>
      <c r="AB130">
        <v>100</v>
      </c>
      <c r="AC130">
        <v>758020</v>
      </c>
    </row>
    <row r="131" spans="1:29" x14ac:dyDescent="0.2">
      <c r="A131" t="s">
        <v>4009</v>
      </c>
      <c r="B131" t="s">
        <v>3605</v>
      </c>
      <c r="C131" t="s">
        <v>7649</v>
      </c>
      <c r="D131">
        <v>34.200000000000003</v>
      </c>
      <c r="E131">
        <v>34.200000000000003</v>
      </c>
      <c r="F131" s="47">
        <v>0.77</v>
      </c>
      <c r="G131">
        <v>97</v>
      </c>
      <c r="H131">
        <v>100</v>
      </c>
      <c r="I131">
        <v>8550</v>
      </c>
      <c r="K131" t="s">
        <v>3635</v>
      </c>
      <c r="L131" t="s">
        <v>3636</v>
      </c>
      <c r="M131" t="s">
        <v>7650</v>
      </c>
      <c r="N131">
        <v>34.200000000000003</v>
      </c>
      <c r="O131">
        <v>34.200000000000003</v>
      </c>
      <c r="P131" s="47">
        <v>0.77</v>
      </c>
      <c r="Q131">
        <v>97</v>
      </c>
      <c r="R131">
        <v>100</v>
      </c>
      <c r="S131">
        <v>141737</v>
      </c>
      <c r="U131" t="s">
        <v>4010</v>
      </c>
      <c r="V131" t="s">
        <v>2398</v>
      </c>
      <c r="W131" t="s">
        <v>7651</v>
      </c>
      <c r="X131">
        <v>36.200000000000003</v>
      </c>
      <c r="Y131">
        <v>36.200000000000003</v>
      </c>
      <c r="Z131" s="47">
        <v>1</v>
      </c>
      <c r="AA131">
        <v>61</v>
      </c>
      <c r="AB131">
        <v>92.31</v>
      </c>
      <c r="AC131">
        <v>16631</v>
      </c>
    </row>
    <row r="132" spans="1:29" x14ac:dyDescent="0.2">
      <c r="A132" t="s">
        <v>4011</v>
      </c>
      <c r="B132" t="s">
        <v>4012</v>
      </c>
      <c r="C132" t="s">
        <v>7652</v>
      </c>
      <c r="D132">
        <v>34.200000000000003</v>
      </c>
      <c r="E132">
        <v>34.200000000000003</v>
      </c>
      <c r="F132" s="47">
        <v>0.77</v>
      </c>
      <c r="G132">
        <v>97</v>
      </c>
      <c r="H132">
        <v>100</v>
      </c>
      <c r="I132">
        <v>1957</v>
      </c>
      <c r="K132" t="s">
        <v>4013</v>
      </c>
      <c r="L132" t="s">
        <v>4014</v>
      </c>
      <c r="M132" t="s">
        <v>7653</v>
      </c>
      <c r="N132">
        <v>34.200000000000003</v>
      </c>
      <c r="O132">
        <v>34.200000000000003</v>
      </c>
      <c r="P132" s="47">
        <v>0.77</v>
      </c>
      <c r="Q132">
        <v>97</v>
      </c>
      <c r="R132">
        <v>100</v>
      </c>
      <c r="S132">
        <v>2481578</v>
      </c>
      <c r="U132" t="s">
        <v>4015</v>
      </c>
      <c r="V132" t="s">
        <v>3981</v>
      </c>
      <c r="W132" t="s">
        <v>7654</v>
      </c>
      <c r="X132">
        <v>36.200000000000003</v>
      </c>
      <c r="Y132">
        <v>36.200000000000003</v>
      </c>
      <c r="Z132" s="47">
        <v>0.69</v>
      </c>
      <c r="AA132">
        <v>61</v>
      </c>
      <c r="AB132">
        <v>100</v>
      </c>
      <c r="AC132">
        <v>3366486</v>
      </c>
    </row>
    <row r="133" spans="1:29" x14ac:dyDescent="0.2">
      <c r="A133" t="s">
        <v>4016</v>
      </c>
      <c r="B133" t="s">
        <v>3742</v>
      </c>
      <c r="C133" t="s">
        <v>7655</v>
      </c>
      <c r="D133">
        <v>34.200000000000003</v>
      </c>
      <c r="E133">
        <v>34.200000000000003</v>
      </c>
      <c r="F133" s="47">
        <v>0.77</v>
      </c>
      <c r="G133">
        <v>97</v>
      </c>
      <c r="H133">
        <v>100</v>
      </c>
      <c r="I133">
        <v>61096239</v>
      </c>
      <c r="K133" t="s">
        <v>4017</v>
      </c>
      <c r="L133" t="s">
        <v>4018</v>
      </c>
      <c r="M133" t="s">
        <v>7656</v>
      </c>
      <c r="N133">
        <v>34.200000000000003</v>
      </c>
      <c r="O133">
        <v>34.200000000000003</v>
      </c>
      <c r="P133" s="47">
        <v>0.77</v>
      </c>
      <c r="Q133">
        <v>97</v>
      </c>
      <c r="R133">
        <v>100</v>
      </c>
      <c r="S133">
        <v>4641140</v>
      </c>
      <c r="U133" t="s">
        <v>4019</v>
      </c>
      <c r="V133" t="s">
        <v>4020</v>
      </c>
      <c r="W133" t="s">
        <v>7657</v>
      </c>
      <c r="X133">
        <v>36.200000000000003</v>
      </c>
      <c r="Y133">
        <v>36.200000000000003</v>
      </c>
      <c r="Z133" s="47">
        <v>0.69</v>
      </c>
      <c r="AA133">
        <v>61</v>
      </c>
      <c r="AB133">
        <v>100</v>
      </c>
      <c r="AC133">
        <v>5868335</v>
      </c>
    </row>
    <row r="134" spans="1:29" x14ac:dyDescent="0.2">
      <c r="A134" t="s">
        <v>4021</v>
      </c>
      <c r="B134" t="s">
        <v>3574</v>
      </c>
      <c r="C134" t="s">
        <v>7658</v>
      </c>
      <c r="D134">
        <v>34.200000000000003</v>
      </c>
      <c r="E134">
        <v>34.200000000000003</v>
      </c>
      <c r="F134" s="47">
        <v>0.77</v>
      </c>
      <c r="G134">
        <v>97</v>
      </c>
      <c r="H134">
        <v>100</v>
      </c>
      <c r="I134">
        <v>8603</v>
      </c>
      <c r="K134" t="s">
        <v>4022</v>
      </c>
      <c r="L134" t="s">
        <v>3794</v>
      </c>
      <c r="M134" t="s">
        <v>7659</v>
      </c>
      <c r="N134">
        <v>34.200000000000003</v>
      </c>
      <c r="O134">
        <v>34.200000000000003</v>
      </c>
      <c r="P134" s="47">
        <v>0.77</v>
      </c>
      <c r="Q134">
        <v>97</v>
      </c>
      <c r="R134">
        <v>100</v>
      </c>
      <c r="S134">
        <v>1142549</v>
      </c>
      <c r="U134" t="s">
        <v>4023</v>
      </c>
      <c r="V134" t="s">
        <v>4024</v>
      </c>
      <c r="W134" t="s">
        <v>7660</v>
      </c>
      <c r="X134">
        <v>36.200000000000003</v>
      </c>
      <c r="Y134">
        <v>104</v>
      </c>
      <c r="Z134" s="47">
        <v>0.69</v>
      </c>
      <c r="AA134">
        <v>61</v>
      </c>
      <c r="AB134">
        <v>100</v>
      </c>
      <c r="AC134">
        <v>9223378</v>
      </c>
    </row>
    <row r="135" spans="1:29" x14ac:dyDescent="0.2">
      <c r="A135" t="s">
        <v>4025</v>
      </c>
      <c r="B135" t="s">
        <v>3710</v>
      </c>
      <c r="C135" t="s">
        <v>7661</v>
      </c>
      <c r="D135">
        <v>34.200000000000003</v>
      </c>
      <c r="E135">
        <v>34.200000000000003</v>
      </c>
      <c r="F135" s="47">
        <v>0.77</v>
      </c>
      <c r="G135">
        <v>97</v>
      </c>
      <c r="H135">
        <v>100</v>
      </c>
      <c r="I135">
        <v>16514</v>
      </c>
      <c r="K135" t="s">
        <v>4026</v>
      </c>
      <c r="L135" t="s">
        <v>3892</v>
      </c>
      <c r="M135" t="s">
        <v>7662</v>
      </c>
      <c r="N135">
        <v>34.200000000000003</v>
      </c>
      <c r="O135">
        <v>100</v>
      </c>
      <c r="P135" s="47">
        <v>0.91</v>
      </c>
      <c r="Q135">
        <v>97</v>
      </c>
      <c r="R135">
        <v>100</v>
      </c>
      <c r="S135">
        <v>86792572</v>
      </c>
      <c r="U135" t="s">
        <v>4027</v>
      </c>
      <c r="V135" t="s">
        <v>3726</v>
      </c>
      <c r="W135" t="s">
        <v>7663</v>
      </c>
      <c r="X135">
        <v>36.200000000000003</v>
      </c>
      <c r="Y135">
        <v>36.200000000000003</v>
      </c>
      <c r="Z135" s="47">
        <v>0.85</v>
      </c>
      <c r="AA135">
        <v>61</v>
      </c>
      <c r="AB135">
        <v>95.45</v>
      </c>
      <c r="AC135">
        <v>2914</v>
      </c>
    </row>
    <row r="136" spans="1:29" x14ac:dyDescent="0.2">
      <c r="A136" t="s">
        <v>4028</v>
      </c>
      <c r="B136" t="s">
        <v>4029</v>
      </c>
      <c r="C136" t="s">
        <v>7664</v>
      </c>
      <c r="D136">
        <v>32.200000000000003</v>
      </c>
      <c r="E136">
        <v>32.200000000000003</v>
      </c>
      <c r="F136" s="47">
        <v>0.73</v>
      </c>
      <c r="G136">
        <v>384</v>
      </c>
      <c r="H136">
        <v>100</v>
      </c>
      <c r="I136">
        <v>2750</v>
      </c>
      <c r="K136" t="s">
        <v>4030</v>
      </c>
      <c r="L136" t="s">
        <v>3984</v>
      </c>
      <c r="M136" t="s">
        <v>7665</v>
      </c>
      <c r="N136">
        <v>34.200000000000003</v>
      </c>
      <c r="O136">
        <v>34.200000000000003</v>
      </c>
      <c r="P136" s="47">
        <v>0.77</v>
      </c>
      <c r="Q136">
        <v>97</v>
      </c>
      <c r="R136">
        <v>100</v>
      </c>
      <c r="S136">
        <v>4945740</v>
      </c>
      <c r="U136" t="s">
        <v>4031</v>
      </c>
      <c r="V136" t="s">
        <v>4032</v>
      </c>
      <c r="W136" t="s">
        <v>7666</v>
      </c>
      <c r="X136">
        <v>36.200000000000003</v>
      </c>
      <c r="Y136">
        <v>36.200000000000003</v>
      </c>
      <c r="Z136" s="47">
        <v>0.69</v>
      </c>
      <c r="AA136">
        <v>61</v>
      </c>
      <c r="AB136">
        <v>100</v>
      </c>
      <c r="AC136">
        <v>2829</v>
      </c>
    </row>
    <row r="137" spans="1:29" x14ac:dyDescent="0.2">
      <c r="A137" t="s">
        <v>4033</v>
      </c>
      <c r="B137" t="s">
        <v>4034</v>
      </c>
      <c r="C137" t="s">
        <v>7667</v>
      </c>
      <c r="D137">
        <v>32.200000000000003</v>
      </c>
      <c r="E137">
        <v>32.200000000000003</v>
      </c>
      <c r="F137" s="47">
        <v>0.73</v>
      </c>
      <c r="G137">
        <v>384</v>
      </c>
      <c r="H137">
        <v>100</v>
      </c>
      <c r="I137">
        <v>5762</v>
      </c>
      <c r="K137" t="s">
        <v>4035</v>
      </c>
      <c r="L137" t="s">
        <v>3826</v>
      </c>
      <c r="M137" t="s">
        <v>7668</v>
      </c>
      <c r="N137">
        <v>34.200000000000003</v>
      </c>
      <c r="O137">
        <v>66.400000000000006</v>
      </c>
      <c r="P137" s="47">
        <v>0.77</v>
      </c>
      <c r="Q137">
        <v>97</v>
      </c>
      <c r="R137">
        <v>100</v>
      </c>
      <c r="S137">
        <v>2688421</v>
      </c>
      <c r="U137" t="s">
        <v>4036</v>
      </c>
      <c r="V137" t="s">
        <v>4037</v>
      </c>
      <c r="W137" t="s">
        <v>7669</v>
      </c>
      <c r="X137">
        <v>36.200000000000003</v>
      </c>
      <c r="Y137">
        <v>36.200000000000003</v>
      </c>
      <c r="Z137" s="47">
        <v>0.85</v>
      </c>
      <c r="AA137">
        <v>61</v>
      </c>
      <c r="AB137">
        <v>95.45</v>
      </c>
      <c r="AC137">
        <v>8769</v>
      </c>
    </row>
    <row r="138" spans="1:29" x14ac:dyDescent="0.2">
      <c r="A138" t="s">
        <v>4038</v>
      </c>
      <c r="B138" t="s">
        <v>4039</v>
      </c>
      <c r="C138" t="s">
        <v>7670</v>
      </c>
      <c r="D138">
        <v>32.200000000000003</v>
      </c>
      <c r="E138">
        <v>32.200000000000003</v>
      </c>
      <c r="F138" s="47">
        <v>0.73</v>
      </c>
      <c r="G138">
        <v>384</v>
      </c>
      <c r="H138">
        <v>100</v>
      </c>
      <c r="I138">
        <v>21742</v>
      </c>
      <c r="K138" t="s">
        <v>4040</v>
      </c>
      <c r="L138" t="s">
        <v>3855</v>
      </c>
      <c r="M138" t="s">
        <v>7671</v>
      </c>
      <c r="N138">
        <v>34.200000000000003</v>
      </c>
      <c r="O138">
        <v>34.200000000000003</v>
      </c>
      <c r="P138" s="47">
        <v>0.77</v>
      </c>
      <c r="Q138">
        <v>97</v>
      </c>
      <c r="R138">
        <v>100</v>
      </c>
      <c r="S138">
        <v>3186808</v>
      </c>
      <c r="U138" t="s">
        <v>4041</v>
      </c>
      <c r="V138" t="s">
        <v>4042</v>
      </c>
      <c r="W138" t="s">
        <v>7672</v>
      </c>
      <c r="X138">
        <v>36.200000000000003</v>
      </c>
      <c r="Y138">
        <v>36.200000000000003</v>
      </c>
      <c r="Z138" s="47">
        <v>0.69</v>
      </c>
      <c r="AA138">
        <v>61</v>
      </c>
      <c r="AB138">
        <v>100</v>
      </c>
      <c r="AC138">
        <v>4486</v>
      </c>
    </row>
    <row r="139" spans="1:29" x14ac:dyDescent="0.2">
      <c r="A139" t="s">
        <v>4043</v>
      </c>
      <c r="B139" t="s">
        <v>4044</v>
      </c>
      <c r="C139" t="s">
        <v>7673</v>
      </c>
      <c r="D139">
        <v>32.200000000000003</v>
      </c>
      <c r="E139">
        <v>32.200000000000003</v>
      </c>
      <c r="F139" s="47">
        <v>0.73</v>
      </c>
      <c r="G139">
        <v>384</v>
      </c>
      <c r="H139">
        <v>100</v>
      </c>
      <c r="I139">
        <v>5168</v>
      </c>
      <c r="K139" t="s">
        <v>4045</v>
      </c>
      <c r="L139" t="s">
        <v>4046</v>
      </c>
      <c r="M139" t="s">
        <v>7674</v>
      </c>
      <c r="N139">
        <v>34.200000000000003</v>
      </c>
      <c r="O139">
        <v>34.200000000000003</v>
      </c>
      <c r="P139" s="47">
        <v>0.77</v>
      </c>
      <c r="Q139">
        <v>97</v>
      </c>
      <c r="R139">
        <v>100</v>
      </c>
      <c r="S139">
        <v>2897507</v>
      </c>
      <c r="U139" t="s">
        <v>4047</v>
      </c>
      <c r="V139" t="s">
        <v>4048</v>
      </c>
      <c r="W139" t="s">
        <v>7675</v>
      </c>
      <c r="X139">
        <v>36.200000000000003</v>
      </c>
      <c r="Y139">
        <v>72.400000000000006</v>
      </c>
      <c r="Z139" s="47">
        <v>0.69</v>
      </c>
      <c r="AA139">
        <v>61</v>
      </c>
      <c r="AB139">
        <v>100</v>
      </c>
      <c r="AC139">
        <v>11097930</v>
      </c>
    </row>
    <row r="140" spans="1:29" x14ac:dyDescent="0.2">
      <c r="A140" t="s">
        <v>4049</v>
      </c>
      <c r="B140" t="s">
        <v>4039</v>
      </c>
      <c r="C140" t="s">
        <v>7676</v>
      </c>
      <c r="D140">
        <v>32.200000000000003</v>
      </c>
      <c r="E140">
        <v>32.200000000000003</v>
      </c>
      <c r="F140" s="47">
        <v>0.73</v>
      </c>
      <c r="G140">
        <v>384</v>
      </c>
      <c r="H140">
        <v>100</v>
      </c>
      <c r="I140">
        <v>21692</v>
      </c>
      <c r="K140" t="s">
        <v>4016</v>
      </c>
      <c r="L140" t="s">
        <v>3742</v>
      </c>
      <c r="M140" t="s">
        <v>7655</v>
      </c>
      <c r="N140">
        <v>34.200000000000003</v>
      </c>
      <c r="O140">
        <v>34.200000000000003</v>
      </c>
      <c r="P140" s="47">
        <v>0.77</v>
      </c>
      <c r="Q140">
        <v>97</v>
      </c>
      <c r="R140">
        <v>100</v>
      </c>
      <c r="S140">
        <v>61096239</v>
      </c>
      <c r="U140" t="s">
        <v>4050</v>
      </c>
      <c r="V140" t="s">
        <v>4051</v>
      </c>
      <c r="W140" t="s">
        <v>7677</v>
      </c>
      <c r="X140">
        <v>36.200000000000003</v>
      </c>
      <c r="Y140">
        <v>36.200000000000003</v>
      </c>
      <c r="Z140" s="47">
        <v>0.69</v>
      </c>
      <c r="AA140">
        <v>61</v>
      </c>
      <c r="AB140">
        <v>100</v>
      </c>
      <c r="AC140">
        <v>493366</v>
      </c>
    </row>
    <row r="141" spans="1:29" x14ac:dyDescent="0.2">
      <c r="A141" t="s">
        <v>4052</v>
      </c>
      <c r="B141" t="s">
        <v>4053</v>
      </c>
      <c r="C141" t="s">
        <v>7678</v>
      </c>
      <c r="D141">
        <v>32.200000000000003</v>
      </c>
      <c r="E141">
        <v>32.200000000000003</v>
      </c>
      <c r="F141" s="47">
        <v>0.73</v>
      </c>
      <c r="G141">
        <v>384</v>
      </c>
      <c r="H141">
        <v>100</v>
      </c>
      <c r="I141">
        <v>11283</v>
      </c>
      <c r="K141" t="s">
        <v>4016</v>
      </c>
      <c r="L141" t="s">
        <v>3742</v>
      </c>
      <c r="M141" t="s">
        <v>7679</v>
      </c>
      <c r="N141">
        <v>34.200000000000003</v>
      </c>
      <c r="O141">
        <v>34.200000000000003</v>
      </c>
      <c r="P141" s="47">
        <v>0.77</v>
      </c>
      <c r="Q141">
        <v>97</v>
      </c>
      <c r="R141">
        <v>100</v>
      </c>
      <c r="S141">
        <v>60682853</v>
      </c>
      <c r="U141" t="s">
        <v>4054</v>
      </c>
      <c r="V141" t="s">
        <v>4055</v>
      </c>
      <c r="W141" t="s">
        <v>7680</v>
      </c>
      <c r="X141">
        <v>36.200000000000003</v>
      </c>
      <c r="Y141">
        <v>36.200000000000003</v>
      </c>
      <c r="Z141" s="47">
        <v>0.69</v>
      </c>
      <c r="AA141">
        <v>61</v>
      </c>
      <c r="AB141">
        <v>100</v>
      </c>
      <c r="AC141">
        <v>3990</v>
      </c>
    </row>
    <row r="142" spans="1:29" x14ac:dyDescent="0.2">
      <c r="A142" t="s">
        <v>4056</v>
      </c>
      <c r="B142" t="s">
        <v>4057</v>
      </c>
      <c r="C142" t="s">
        <v>7681</v>
      </c>
      <c r="D142">
        <v>32.200000000000003</v>
      </c>
      <c r="E142">
        <v>32.200000000000003</v>
      </c>
      <c r="F142" s="47">
        <v>0.73</v>
      </c>
      <c r="G142">
        <v>384</v>
      </c>
      <c r="H142">
        <v>100</v>
      </c>
      <c r="I142">
        <v>5677</v>
      </c>
      <c r="K142" t="s">
        <v>4058</v>
      </c>
      <c r="L142" t="s">
        <v>4059</v>
      </c>
      <c r="M142" t="s">
        <v>7682</v>
      </c>
      <c r="N142">
        <v>34.200000000000003</v>
      </c>
      <c r="O142">
        <v>34.200000000000003</v>
      </c>
      <c r="P142" s="47">
        <v>0.95</v>
      </c>
      <c r="Q142">
        <v>97</v>
      </c>
      <c r="R142">
        <v>95.24</v>
      </c>
      <c r="S142">
        <v>169066</v>
      </c>
      <c r="U142" t="s">
        <v>4060</v>
      </c>
      <c r="V142" t="s">
        <v>4055</v>
      </c>
      <c r="W142" t="s">
        <v>7683</v>
      </c>
      <c r="X142">
        <v>36.200000000000003</v>
      </c>
      <c r="Y142">
        <v>36.200000000000003</v>
      </c>
      <c r="Z142" s="47">
        <v>0.69</v>
      </c>
      <c r="AA142">
        <v>61</v>
      </c>
      <c r="AB142">
        <v>100</v>
      </c>
      <c r="AC142">
        <v>3912</v>
      </c>
    </row>
    <row r="143" spans="1:29" x14ac:dyDescent="0.2">
      <c r="A143" t="s">
        <v>4061</v>
      </c>
      <c r="B143" t="s">
        <v>4062</v>
      </c>
      <c r="C143" t="s">
        <v>7684</v>
      </c>
      <c r="D143">
        <v>32.200000000000003</v>
      </c>
      <c r="E143">
        <v>32.200000000000003</v>
      </c>
      <c r="F143" s="47">
        <v>0.73</v>
      </c>
      <c r="G143">
        <v>384</v>
      </c>
      <c r="H143">
        <v>100</v>
      </c>
      <c r="I143">
        <v>36267156</v>
      </c>
      <c r="K143" t="s">
        <v>4063</v>
      </c>
      <c r="L143" t="s">
        <v>4064</v>
      </c>
      <c r="M143" t="s">
        <v>7685</v>
      </c>
      <c r="N143">
        <v>34.200000000000003</v>
      </c>
      <c r="O143">
        <v>34.200000000000003</v>
      </c>
      <c r="P143" s="47">
        <v>0.77</v>
      </c>
      <c r="Q143">
        <v>97</v>
      </c>
      <c r="R143">
        <v>100</v>
      </c>
      <c r="S143">
        <v>3216249</v>
      </c>
      <c r="U143" t="s">
        <v>4065</v>
      </c>
      <c r="V143" t="s">
        <v>4066</v>
      </c>
      <c r="W143" t="s">
        <v>7686</v>
      </c>
      <c r="X143">
        <v>36.200000000000003</v>
      </c>
      <c r="Y143">
        <v>36.200000000000003</v>
      </c>
      <c r="Z143" s="47">
        <v>0.69</v>
      </c>
      <c r="AA143">
        <v>61</v>
      </c>
      <c r="AB143">
        <v>100</v>
      </c>
      <c r="AC143">
        <v>8673</v>
      </c>
    </row>
    <row r="144" spans="1:29" x14ac:dyDescent="0.2">
      <c r="A144" t="s">
        <v>4067</v>
      </c>
      <c r="B144" t="s">
        <v>3898</v>
      </c>
      <c r="C144" t="s">
        <v>7687</v>
      </c>
      <c r="D144">
        <v>32.200000000000003</v>
      </c>
      <c r="E144">
        <v>32.200000000000003</v>
      </c>
      <c r="F144" s="47">
        <v>0.73</v>
      </c>
      <c r="G144">
        <v>384</v>
      </c>
      <c r="H144">
        <v>100</v>
      </c>
      <c r="I144">
        <v>22782145</v>
      </c>
      <c r="K144" t="s">
        <v>3599</v>
      </c>
      <c r="L144" t="s">
        <v>3600</v>
      </c>
      <c r="M144" t="s">
        <v>7688</v>
      </c>
      <c r="N144">
        <v>34.200000000000003</v>
      </c>
      <c r="O144">
        <v>34.200000000000003</v>
      </c>
      <c r="P144" s="47">
        <v>0.77</v>
      </c>
      <c r="Q144">
        <v>97</v>
      </c>
      <c r="R144">
        <v>100</v>
      </c>
      <c r="S144">
        <v>277</v>
      </c>
      <c r="U144" t="s">
        <v>4068</v>
      </c>
      <c r="V144" t="s">
        <v>2445</v>
      </c>
      <c r="W144" t="s">
        <v>6596</v>
      </c>
      <c r="X144">
        <v>36.200000000000003</v>
      </c>
      <c r="Y144">
        <v>36.200000000000003</v>
      </c>
      <c r="Z144" s="47">
        <v>1</v>
      </c>
      <c r="AA144">
        <v>61</v>
      </c>
      <c r="AB144">
        <v>92.31</v>
      </c>
      <c r="AC144">
        <v>16583</v>
      </c>
    </row>
    <row r="145" spans="1:29" x14ac:dyDescent="0.2">
      <c r="A145" t="s">
        <v>4069</v>
      </c>
      <c r="B145" t="s">
        <v>4070</v>
      </c>
      <c r="C145" t="s">
        <v>7689</v>
      </c>
      <c r="D145">
        <v>32.200000000000003</v>
      </c>
      <c r="E145">
        <v>32.200000000000003</v>
      </c>
      <c r="F145" s="47">
        <v>0.73</v>
      </c>
      <c r="G145">
        <v>384</v>
      </c>
      <c r="H145">
        <v>100</v>
      </c>
      <c r="I145">
        <v>2400</v>
      </c>
      <c r="K145" t="s">
        <v>4071</v>
      </c>
      <c r="L145" t="s">
        <v>4072</v>
      </c>
      <c r="M145" t="s">
        <v>7690</v>
      </c>
      <c r="N145">
        <v>34.200000000000003</v>
      </c>
      <c r="O145">
        <v>34.200000000000003</v>
      </c>
      <c r="P145" s="47">
        <v>0.77</v>
      </c>
      <c r="Q145">
        <v>97</v>
      </c>
      <c r="R145">
        <v>100</v>
      </c>
      <c r="S145">
        <v>4593875</v>
      </c>
      <c r="U145" t="s">
        <v>4073</v>
      </c>
      <c r="V145" t="s">
        <v>4074</v>
      </c>
      <c r="W145" t="s">
        <v>7691</v>
      </c>
      <c r="X145">
        <v>36.200000000000003</v>
      </c>
      <c r="Y145">
        <v>36.200000000000003</v>
      </c>
      <c r="Z145" s="47">
        <v>0.69</v>
      </c>
      <c r="AA145">
        <v>61</v>
      </c>
      <c r="AB145">
        <v>100</v>
      </c>
      <c r="AC145">
        <v>8122</v>
      </c>
    </row>
    <row r="146" spans="1:29" x14ac:dyDescent="0.2">
      <c r="A146" t="s">
        <v>4075</v>
      </c>
      <c r="B146" t="s">
        <v>4053</v>
      </c>
      <c r="C146" t="s">
        <v>7692</v>
      </c>
      <c r="D146">
        <v>32.200000000000003</v>
      </c>
      <c r="E146">
        <v>32.200000000000003</v>
      </c>
      <c r="F146" s="47">
        <v>0.73</v>
      </c>
      <c r="G146">
        <v>384</v>
      </c>
      <c r="H146">
        <v>100</v>
      </c>
      <c r="I146">
        <v>11159</v>
      </c>
      <c r="K146" t="s">
        <v>3746</v>
      </c>
      <c r="L146" t="s">
        <v>3747</v>
      </c>
      <c r="M146" t="s">
        <v>7693</v>
      </c>
      <c r="N146">
        <v>34.200000000000003</v>
      </c>
      <c r="O146">
        <v>34.200000000000003</v>
      </c>
      <c r="P146" s="47">
        <v>0.77</v>
      </c>
      <c r="Q146">
        <v>97</v>
      </c>
      <c r="R146">
        <v>100</v>
      </c>
      <c r="S146">
        <v>175220</v>
      </c>
      <c r="U146" t="s">
        <v>4076</v>
      </c>
      <c r="V146" t="s">
        <v>4077</v>
      </c>
      <c r="W146" t="s">
        <v>7694</v>
      </c>
      <c r="X146">
        <v>36.200000000000003</v>
      </c>
      <c r="Y146">
        <v>68.400000000000006</v>
      </c>
      <c r="Z146" s="47">
        <v>0.69</v>
      </c>
      <c r="AA146">
        <v>61</v>
      </c>
      <c r="AB146">
        <v>100</v>
      </c>
      <c r="AC146">
        <v>5698134</v>
      </c>
    </row>
    <row r="147" spans="1:29" x14ac:dyDescent="0.2">
      <c r="A147" t="s">
        <v>4078</v>
      </c>
      <c r="B147" t="s">
        <v>4079</v>
      </c>
      <c r="C147" t="s">
        <v>7695</v>
      </c>
      <c r="D147">
        <v>32.200000000000003</v>
      </c>
      <c r="E147">
        <v>32.200000000000003</v>
      </c>
      <c r="F147" s="47">
        <v>0.73</v>
      </c>
      <c r="G147">
        <v>384</v>
      </c>
      <c r="H147">
        <v>100</v>
      </c>
      <c r="I147">
        <v>80821294</v>
      </c>
      <c r="K147" t="s">
        <v>4080</v>
      </c>
      <c r="L147" t="s">
        <v>4081</v>
      </c>
      <c r="M147" t="s">
        <v>7696</v>
      </c>
      <c r="N147">
        <v>34.200000000000003</v>
      </c>
      <c r="O147">
        <v>34.200000000000003</v>
      </c>
      <c r="P147" s="47">
        <v>0.77</v>
      </c>
      <c r="Q147">
        <v>97</v>
      </c>
      <c r="R147">
        <v>100</v>
      </c>
      <c r="S147">
        <v>1600</v>
      </c>
      <c r="U147" t="s">
        <v>4082</v>
      </c>
      <c r="V147" t="s">
        <v>4083</v>
      </c>
      <c r="W147" t="s">
        <v>7697</v>
      </c>
      <c r="X147">
        <v>36.200000000000003</v>
      </c>
      <c r="Y147">
        <v>36.200000000000003</v>
      </c>
      <c r="Z147" s="47">
        <v>0.69</v>
      </c>
      <c r="AA147">
        <v>61</v>
      </c>
      <c r="AB147">
        <v>100</v>
      </c>
      <c r="AC147">
        <v>10914</v>
      </c>
    </row>
    <row r="148" spans="1:29" x14ac:dyDescent="0.2">
      <c r="A148" t="s">
        <v>4084</v>
      </c>
      <c r="B148" t="s">
        <v>4085</v>
      </c>
      <c r="C148" t="s">
        <v>7698</v>
      </c>
      <c r="D148">
        <v>32.200000000000003</v>
      </c>
      <c r="E148">
        <v>32.200000000000003</v>
      </c>
      <c r="F148" s="47">
        <v>0.73</v>
      </c>
      <c r="G148">
        <v>384</v>
      </c>
      <c r="H148">
        <v>100</v>
      </c>
      <c r="I148">
        <v>2786</v>
      </c>
      <c r="K148" t="s">
        <v>4086</v>
      </c>
      <c r="L148" t="s">
        <v>4087</v>
      </c>
      <c r="M148" t="s">
        <v>7699</v>
      </c>
      <c r="N148">
        <v>34.200000000000003</v>
      </c>
      <c r="O148">
        <v>34.200000000000003</v>
      </c>
      <c r="P148" s="47">
        <v>0.77</v>
      </c>
      <c r="Q148">
        <v>97</v>
      </c>
      <c r="R148">
        <v>100</v>
      </c>
      <c r="S148">
        <v>2439752</v>
      </c>
      <c r="U148" t="s">
        <v>4088</v>
      </c>
      <c r="V148" t="s">
        <v>4089</v>
      </c>
      <c r="W148" t="s">
        <v>7700</v>
      </c>
      <c r="X148">
        <v>36.200000000000003</v>
      </c>
      <c r="Y148">
        <v>36.200000000000003</v>
      </c>
      <c r="Z148" s="47">
        <v>0.69</v>
      </c>
      <c r="AA148">
        <v>61</v>
      </c>
      <c r="AB148">
        <v>100</v>
      </c>
      <c r="AC148">
        <v>126869</v>
      </c>
    </row>
    <row r="149" spans="1:29" x14ac:dyDescent="0.2">
      <c r="A149" t="s">
        <v>4090</v>
      </c>
      <c r="B149" t="s">
        <v>4057</v>
      </c>
      <c r="C149" t="s">
        <v>7701</v>
      </c>
      <c r="D149">
        <v>32.200000000000003</v>
      </c>
      <c r="E149">
        <v>32.200000000000003</v>
      </c>
      <c r="F149" s="47">
        <v>0.73</v>
      </c>
      <c r="G149">
        <v>384</v>
      </c>
      <c r="H149">
        <v>100</v>
      </c>
      <c r="I149">
        <v>5617</v>
      </c>
      <c r="K149" t="s">
        <v>4091</v>
      </c>
      <c r="L149" t="s">
        <v>4092</v>
      </c>
      <c r="M149" t="s">
        <v>7702</v>
      </c>
      <c r="N149">
        <v>34.200000000000003</v>
      </c>
      <c r="O149">
        <v>34.200000000000003</v>
      </c>
      <c r="P149" s="47">
        <v>0.77</v>
      </c>
      <c r="Q149">
        <v>97</v>
      </c>
      <c r="R149">
        <v>100</v>
      </c>
      <c r="S149">
        <v>3402372</v>
      </c>
      <c r="U149" t="s">
        <v>4093</v>
      </c>
      <c r="V149" t="s">
        <v>4094</v>
      </c>
      <c r="W149" t="s">
        <v>7703</v>
      </c>
      <c r="X149">
        <v>36.200000000000003</v>
      </c>
      <c r="Y149">
        <v>36.200000000000003</v>
      </c>
      <c r="Z149" s="47">
        <v>0.69</v>
      </c>
      <c r="AA149">
        <v>61</v>
      </c>
      <c r="AB149">
        <v>100</v>
      </c>
      <c r="AC149">
        <v>3728092</v>
      </c>
    </row>
    <row r="150" spans="1:29" x14ac:dyDescent="0.2">
      <c r="A150" t="s">
        <v>4095</v>
      </c>
      <c r="B150" t="s">
        <v>4096</v>
      </c>
      <c r="C150" t="s">
        <v>7704</v>
      </c>
      <c r="D150">
        <v>32.200000000000003</v>
      </c>
      <c r="E150">
        <v>32.200000000000003</v>
      </c>
      <c r="F150" s="47">
        <v>0.73</v>
      </c>
      <c r="G150">
        <v>384</v>
      </c>
      <c r="H150">
        <v>100</v>
      </c>
      <c r="I150">
        <v>2115</v>
      </c>
      <c r="K150" t="s">
        <v>4010</v>
      </c>
      <c r="L150" t="s">
        <v>2398</v>
      </c>
      <c r="M150" t="s">
        <v>7651</v>
      </c>
      <c r="N150">
        <v>34.200000000000003</v>
      </c>
      <c r="O150">
        <v>34.200000000000003</v>
      </c>
      <c r="P150" s="47">
        <v>0.95</v>
      </c>
      <c r="Q150">
        <v>97</v>
      </c>
      <c r="R150">
        <v>95.24</v>
      </c>
      <c r="S150">
        <v>16631</v>
      </c>
      <c r="U150" t="s">
        <v>4097</v>
      </c>
      <c r="V150" t="s">
        <v>4098</v>
      </c>
      <c r="W150" t="s">
        <v>7705</v>
      </c>
      <c r="X150">
        <v>36.200000000000003</v>
      </c>
      <c r="Y150">
        <v>36.200000000000003</v>
      </c>
      <c r="Z150" s="47">
        <v>0.69</v>
      </c>
      <c r="AA150">
        <v>61</v>
      </c>
      <c r="AB150">
        <v>100</v>
      </c>
      <c r="AC150">
        <v>7363</v>
      </c>
    </row>
    <row r="151" spans="1:29" x14ac:dyDescent="0.2">
      <c r="A151" t="s">
        <v>4099</v>
      </c>
      <c r="B151" t="s">
        <v>4100</v>
      </c>
      <c r="C151" t="s">
        <v>7706</v>
      </c>
      <c r="D151">
        <v>32.200000000000003</v>
      </c>
      <c r="E151">
        <v>32.200000000000003</v>
      </c>
      <c r="F151" s="47">
        <v>0.73</v>
      </c>
      <c r="G151">
        <v>384</v>
      </c>
      <c r="H151">
        <v>100</v>
      </c>
      <c r="I151">
        <v>5958851</v>
      </c>
      <c r="K151" t="s">
        <v>4101</v>
      </c>
      <c r="L151" t="s">
        <v>4102</v>
      </c>
      <c r="M151" t="s">
        <v>7707</v>
      </c>
      <c r="N151">
        <v>34.200000000000003</v>
      </c>
      <c r="O151">
        <v>34.200000000000003</v>
      </c>
      <c r="P151" s="47">
        <v>0.77</v>
      </c>
      <c r="Q151">
        <v>97</v>
      </c>
      <c r="R151">
        <v>100</v>
      </c>
      <c r="S151">
        <v>3071</v>
      </c>
      <c r="U151" t="s">
        <v>4103</v>
      </c>
      <c r="V151" t="s">
        <v>2682</v>
      </c>
      <c r="W151" t="s">
        <v>6771</v>
      </c>
      <c r="X151">
        <v>36.200000000000003</v>
      </c>
      <c r="Y151">
        <v>36.200000000000003</v>
      </c>
      <c r="Z151" s="47">
        <v>1</v>
      </c>
      <c r="AA151">
        <v>61</v>
      </c>
      <c r="AB151">
        <v>92.31</v>
      </c>
      <c r="AC151">
        <v>16588</v>
      </c>
    </row>
    <row r="152" spans="1:29" x14ac:dyDescent="0.2">
      <c r="A152" t="s">
        <v>4104</v>
      </c>
      <c r="B152" t="s">
        <v>3742</v>
      </c>
      <c r="C152" t="s">
        <v>7708</v>
      </c>
      <c r="D152">
        <v>32.200000000000003</v>
      </c>
      <c r="E152">
        <v>32.200000000000003</v>
      </c>
      <c r="F152" s="47">
        <v>0.73</v>
      </c>
      <c r="G152">
        <v>384</v>
      </c>
      <c r="H152">
        <v>100</v>
      </c>
      <c r="I152">
        <v>22139324</v>
      </c>
      <c r="K152" t="s">
        <v>4105</v>
      </c>
      <c r="L152" t="s">
        <v>4106</v>
      </c>
      <c r="M152" t="s">
        <v>7709</v>
      </c>
      <c r="N152">
        <v>34.200000000000003</v>
      </c>
      <c r="O152">
        <v>34.200000000000003</v>
      </c>
      <c r="P152" s="47">
        <v>0.77</v>
      </c>
      <c r="Q152">
        <v>97</v>
      </c>
      <c r="R152">
        <v>100</v>
      </c>
      <c r="S152">
        <v>3647</v>
      </c>
      <c r="U152" t="s">
        <v>4107</v>
      </c>
      <c r="V152" t="s">
        <v>4108</v>
      </c>
      <c r="W152" t="s">
        <v>7710</v>
      </c>
      <c r="X152">
        <v>36.200000000000003</v>
      </c>
      <c r="Y152">
        <v>36.200000000000003</v>
      </c>
      <c r="Z152" s="47">
        <v>0.69</v>
      </c>
      <c r="AA152">
        <v>61</v>
      </c>
      <c r="AB152">
        <v>100</v>
      </c>
      <c r="AC152">
        <v>972347</v>
      </c>
    </row>
    <row r="153" spans="1:29" x14ac:dyDescent="0.2">
      <c r="A153" t="s">
        <v>4109</v>
      </c>
      <c r="B153" t="s">
        <v>4053</v>
      </c>
      <c r="C153" t="s">
        <v>7711</v>
      </c>
      <c r="D153">
        <v>32.200000000000003</v>
      </c>
      <c r="E153">
        <v>32.200000000000003</v>
      </c>
      <c r="F153" s="47">
        <v>0.73</v>
      </c>
      <c r="G153">
        <v>384</v>
      </c>
      <c r="H153">
        <v>100</v>
      </c>
      <c r="I153">
        <v>11235</v>
      </c>
      <c r="K153" t="s">
        <v>4110</v>
      </c>
      <c r="L153" t="s">
        <v>4111</v>
      </c>
      <c r="M153" t="s">
        <v>7712</v>
      </c>
      <c r="N153">
        <v>34.200000000000003</v>
      </c>
      <c r="O153">
        <v>34.200000000000003</v>
      </c>
      <c r="P153" s="47">
        <v>0.77</v>
      </c>
      <c r="Q153">
        <v>97</v>
      </c>
      <c r="R153">
        <v>100</v>
      </c>
      <c r="S153">
        <v>8764536</v>
      </c>
      <c r="U153" t="s">
        <v>4112</v>
      </c>
      <c r="V153" t="s">
        <v>4113</v>
      </c>
      <c r="W153" t="s">
        <v>7713</v>
      </c>
      <c r="X153">
        <v>36.200000000000003</v>
      </c>
      <c r="Y153">
        <v>68.400000000000006</v>
      </c>
      <c r="Z153" s="47">
        <v>0.69</v>
      </c>
      <c r="AA153">
        <v>61</v>
      </c>
      <c r="AB153">
        <v>100</v>
      </c>
      <c r="AC153">
        <v>9840777</v>
      </c>
    </row>
    <row r="154" spans="1:29" x14ac:dyDescent="0.2">
      <c r="A154" t="s">
        <v>4114</v>
      </c>
      <c r="B154" t="s">
        <v>4115</v>
      </c>
      <c r="C154" t="s">
        <v>7714</v>
      </c>
      <c r="D154">
        <v>32.200000000000003</v>
      </c>
      <c r="E154">
        <v>32.200000000000003</v>
      </c>
      <c r="F154" s="47">
        <v>0.73</v>
      </c>
      <c r="G154">
        <v>384</v>
      </c>
      <c r="H154">
        <v>100</v>
      </c>
      <c r="I154">
        <v>19239108</v>
      </c>
      <c r="K154" t="s">
        <v>4116</v>
      </c>
      <c r="L154" t="s">
        <v>4117</v>
      </c>
      <c r="M154" t="s">
        <v>7715</v>
      </c>
      <c r="N154">
        <v>34.200000000000003</v>
      </c>
      <c r="O154">
        <v>34.200000000000003</v>
      </c>
      <c r="P154" s="47">
        <v>0.77</v>
      </c>
      <c r="Q154">
        <v>97</v>
      </c>
      <c r="R154">
        <v>100</v>
      </c>
      <c r="S154">
        <v>3518882</v>
      </c>
      <c r="U154" t="s">
        <v>4118</v>
      </c>
      <c r="V154" t="s">
        <v>3981</v>
      </c>
      <c r="W154" t="s">
        <v>7716</v>
      </c>
      <c r="X154">
        <v>36.200000000000003</v>
      </c>
      <c r="Y154">
        <v>36.200000000000003</v>
      </c>
      <c r="Z154" s="47">
        <v>0.69</v>
      </c>
      <c r="AA154">
        <v>61</v>
      </c>
      <c r="AB154">
        <v>100</v>
      </c>
      <c r="AC154">
        <v>3495496</v>
      </c>
    </row>
    <row r="155" spans="1:29" x14ac:dyDescent="0.2">
      <c r="A155" t="s">
        <v>4119</v>
      </c>
      <c r="B155" t="s">
        <v>4120</v>
      </c>
      <c r="C155" t="s">
        <v>7717</v>
      </c>
      <c r="D155">
        <v>32.200000000000003</v>
      </c>
      <c r="E155">
        <v>32.200000000000003</v>
      </c>
      <c r="F155" s="47">
        <v>0.73</v>
      </c>
      <c r="G155">
        <v>384</v>
      </c>
      <c r="H155">
        <v>100</v>
      </c>
      <c r="I155">
        <v>2796</v>
      </c>
      <c r="K155" t="s">
        <v>4121</v>
      </c>
      <c r="L155" t="s">
        <v>4122</v>
      </c>
      <c r="M155" t="s">
        <v>7718</v>
      </c>
      <c r="N155">
        <v>34.200000000000003</v>
      </c>
      <c r="O155">
        <v>34.200000000000003</v>
      </c>
      <c r="P155" s="47">
        <v>0.77</v>
      </c>
      <c r="Q155">
        <v>97</v>
      </c>
      <c r="R155">
        <v>100</v>
      </c>
      <c r="S155">
        <v>2753</v>
      </c>
      <c r="U155" t="s">
        <v>4123</v>
      </c>
      <c r="V155" t="s">
        <v>2282</v>
      </c>
      <c r="W155" t="s">
        <v>6785</v>
      </c>
      <c r="X155">
        <v>36.200000000000003</v>
      </c>
      <c r="Y155">
        <v>36.200000000000003</v>
      </c>
      <c r="Z155" s="47">
        <v>1</v>
      </c>
      <c r="AA155">
        <v>61</v>
      </c>
      <c r="AB155">
        <v>92.31</v>
      </c>
      <c r="AC155">
        <v>16562</v>
      </c>
    </row>
    <row r="156" spans="1:29" x14ac:dyDescent="0.2">
      <c r="A156" t="s">
        <v>4124</v>
      </c>
      <c r="B156" t="s">
        <v>4053</v>
      </c>
      <c r="C156" t="s">
        <v>7719</v>
      </c>
      <c r="D156">
        <v>32.200000000000003</v>
      </c>
      <c r="E156">
        <v>32.200000000000003</v>
      </c>
      <c r="F156" s="47">
        <v>0.73</v>
      </c>
      <c r="G156">
        <v>384</v>
      </c>
      <c r="H156">
        <v>100</v>
      </c>
      <c r="I156">
        <v>11325</v>
      </c>
      <c r="K156" t="s">
        <v>4125</v>
      </c>
      <c r="L156" t="s">
        <v>4081</v>
      </c>
      <c r="M156" t="s">
        <v>7720</v>
      </c>
      <c r="N156">
        <v>34.200000000000003</v>
      </c>
      <c r="O156">
        <v>34.200000000000003</v>
      </c>
      <c r="P156" s="47">
        <v>0.77</v>
      </c>
      <c r="Q156">
        <v>97</v>
      </c>
      <c r="R156">
        <v>100</v>
      </c>
      <c r="S156">
        <v>1591</v>
      </c>
      <c r="U156" t="s">
        <v>4126</v>
      </c>
      <c r="V156" t="s">
        <v>3976</v>
      </c>
      <c r="W156" t="s">
        <v>7721</v>
      </c>
      <c r="X156">
        <v>36.200000000000003</v>
      </c>
      <c r="Y156">
        <v>36.200000000000003</v>
      </c>
      <c r="Z156" s="47">
        <v>0.69</v>
      </c>
      <c r="AA156">
        <v>61</v>
      </c>
      <c r="AB156">
        <v>100</v>
      </c>
      <c r="AC156">
        <v>16681</v>
      </c>
    </row>
    <row r="157" spans="1:29" x14ac:dyDescent="0.2">
      <c r="A157" t="s">
        <v>4127</v>
      </c>
      <c r="B157" t="s">
        <v>3823</v>
      </c>
      <c r="C157" t="s">
        <v>7722</v>
      </c>
      <c r="D157">
        <v>32.200000000000003</v>
      </c>
      <c r="E157">
        <v>32.200000000000003</v>
      </c>
      <c r="F157" s="47">
        <v>0.73</v>
      </c>
      <c r="G157">
        <v>384</v>
      </c>
      <c r="H157">
        <v>100</v>
      </c>
      <c r="I157">
        <v>65714859</v>
      </c>
      <c r="K157" t="s">
        <v>4128</v>
      </c>
      <c r="L157" t="s">
        <v>4129</v>
      </c>
      <c r="M157" t="s">
        <v>7723</v>
      </c>
      <c r="N157">
        <v>34.200000000000003</v>
      </c>
      <c r="O157">
        <v>34.200000000000003</v>
      </c>
      <c r="P157" s="47">
        <v>0.77</v>
      </c>
      <c r="Q157">
        <v>97</v>
      </c>
      <c r="R157">
        <v>100</v>
      </c>
      <c r="S157">
        <v>1771</v>
      </c>
      <c r="U157" t="s">
        <v>4130</v>
      </c>
      <c r="V157" t="s">
        <v>3976</v>
      </c>
      <c r="W157" t="s">
        <v>7724</v>
      </c>
      <c r="X157">
        <v>36.200000000000003</v>
      </c>
      <c r="Y157">
        <v>36.200000000000003</v>
      </c>
      <c r="Z157" s="47">
        <v>0.69</v>
      </c>
      <c r="AA157">
        <v>61</v>
      </c>
      <c r="AB157">
        <v>100</v>
      </c>
      <c r="AC157">
        <v>16962</v>
      </c>
    </row>
    <row r="158" spans="1:29" x14ac:dyDescent="0.2">
      <c r="A158" t="s">
        <v>4131</v>
      </c>
      <c r="B158" t="s">
        <v>4029</v>
      </c>
      <c r="C158" t="s">
        <v>7725</v>
      </c>
      <c r="D158">
        <v>32.200000000000003</v>
      </c>
      <c r="E158">
        <v>32.200000000000003</v>
      </c>
      <c r="F158" s="47">
        <v>0.73</v>
      </c>
      <c r="G158">
        <v>384</v>
      </c>
      <c r="H158">
        <v>100</v>
      </c>
      <c r="I158">
        <v>2355</v>
      </c>
      <c r="K158" t="s">
        <v>4132</v>
      </c>
      <c r="L158" t="s">
        <v>3855</v>
      </c>
      <c r="M158" t="s">
        <v>7726</v>
      </c>
      <c r="N158">
        <v>34.200000000000003</v>
      </c>
      <c r="O158">
        <v>34.200000000000003</v>
      </c>
      <c r="P158" s="47">
        <v>0.77</v>
      </c>
      <c r="Q158">
        <v>97</v>
      </c>
      <c r="R158">
        <v>100</v>
      </c>
      <c r="S158">
        <v>3708782</v>
      </c>
      <c r="U158" t="s">
        <v>4133</v>
      </c>
      <c r="V158" t="s">
        <v>4134</v>
      </c>
      <c r="W158" t="s">
        <v>7727</v>
      </c>
      <c r="X158">
        <v>36.200000000000003</v>
      </c>
      <c r="Y158">
        <v>36.200000000000003</v>
      </c>
      <c r="Z158" s="47">
        <v>0.69</v>
      </c>
      <c r="AA158">
        <v>61</v>
      </c>
      <c r="AB158">
        <v>100</v>
      </c>
      <c r="AC158">
        <v>1089</v>
      </c>
    </row>
    <row r="159" spans="1:29" x14ac:dyDescent="0.2">
      <c r="A159" t="s">
        <v>4135</v>
      </c>
      <c r="B159" t="s">
        <v>4053</v>
      </c>
      <c r="C159" t="s">
        <v>7728</v>
      </c>
      <c r="D159">
        <v>32.200000000000003</v>
      </c>
      <c r="E159">
        <v>32.200000000000003</v>
      </c>
      <c r="F159" s="47">
        <v>0.73</v>
      </c>
      <c r="G159">
        <v>384</v>
      </c>
      <c r="H159">
        <v>100</v>
      </c>
      <c r="I159">
        <v>11295</v>
      </c>
      <c r="K159" t="s">
        <v>4136</v>
      </c>
      <c r="L159" t="s">
        <v>4137</v>
      </c>
      <c r="M159" t="s">
        <v>7729</v>
      </c>
      <c r="N159">
        <v>34.200000000000003</v>
      </c>
      <c r="O159">
        <v>34.200000000000003</v>
      </c>
      <c r="P159" s="47">
        <v>0.77</v>
      </c>
      <c r="Q159">
        <v>97</v>
      </c>
      <c r="R159">
        <v>100</v>
      </c>
      <c r="S159">
        <v>2617</v>
      </c>
      <c r="U159" t="s">
        <v>4138</v>
      </c>
      <c r="V159" t="s">
        <v>4139</v>
      </c>
      <c r="W159" t="s">
        <v>7730</v>
      </c>
      <c r="X159">
        <v>36.200000000000003</v>
      </c>
      <c r="Y159">
        <v>100</v>
      </c>
      <c r="Z159" s="47">
        <v>0.69</v>
      </c>
      <c r="AA159">
        <v>61</v>
      </c>
      <c r="AB159">
        <v>100</v>
      </c>
      <c r="AC159">
        <v>2994873</v>
      </c>
    </row>
    <row r="160" spans="1:29" x14ac:dyDescent="0.2">
      <c r="A160" t="s">
        <v>4140</v>
      </c>
      <c r="B160" t="s">
        <v>3787</v>
      </c>
      <c r="C160" t="s">
        <v>7731</v>
      </c>
      <c r="D160">
        <v>32.200000000000003</v>
      </c>
      <c r="E160">
        <v>32.200000000000003</v>
      </c>
      <c r="F160" s="47">
        <v>0.73</v>
      </c>
      <c r="G160">
        <v>384</v>
      </c>
      <c r="H160">
        <v>100</v>
      </c>
      <c r="I160">
        <v>80404799</v>
      </c>
      <c r="K160" t="s">
        <v>4141</v>
      </c>
      <c r="L160" t="s">
        <v>4142</v>
      </c>
      <c r="M160" t="s">
        <v>7732</v>
      </c>
      <c r="N160">
        <v>34.200000000000003</v>
      </c>
      <c r="O160">
        <v>34.200000000000003</v>
      </c>
      <c r="P160" s="47">
        <v>0.77</v>
      </c>
      <c r="Q160">
        <v>97</v>
      </c>
      <c r="R160">
        <v>100</v>
      </c>
      <c r="S160">
        <v>2899</v>
      </c>
      <c r="U160" t="s">
        <v>4143</v>
      </c>
      <c r="V160" t="s">
        <v>4144</v>
      </c>
      <c r="W160" t="s">
        <v>7733</v>
      </c>
      <c r="X160">
        <v>36.200000000000003</v>
      </c>
      <c r="Y160">
        <v>36.200000000000003</v>
      </c>
      <c r="Z160" s="47">
        <v>0.69</v>
      </c>
      <c r="AA160">
        <v>61</v>
      </c>
      <c r="AB160">
        <v>100</v>
      </c>
      <c r="AC160">
        <v>15239</v>
      </c>
    </row>
    <row r="161" spans="1:29" x14ac:dyDescent="0.2">
      <c r="A161" t="s">
        <v>4145</v>
      </c>
      <c r="B161" t="s">
        <v>4146</v>
      </c>
      <c r="C161" t="s">
        <v>7734</v>
      </c>
      <c r="D161">
        <v>32.200000000000003</v>
      </c>
      <c r="E161">
        <v>32.200000000000003</v>
      </c>
      <c r="F161" s="47">
        <v>0.73</v>
      </c>
      <c r="G161">
        <v>384</v>
      </c>
      <c r="H161">
        <v>100</v>
      </c>
      <c r="I161">
        <v>39736847</v>
      </c>
      <c r="K161" t="s">
        <v>4147</v>
      </c>
      <c r="L161" t="s">
        <v>4148</v>
      </c>
      <c r="M161" t="s">
        <v>7735</v>
      </c>
      <c r="N161">
        <v>34.200000000000003</v>
      </c>
      <c r="O161">
        <v>34.200000000000003</v>
      </c>
      <c r="P161" s="47">
        <v>0.77</v>
      </c>
      <c r="Q161">
        <v>97</v>
      </c>
      <c r="R161">
        <v>100</v>
      </c>
      <c r="S161">
        <v>2497</v>
      </c>
      <c r="U161" t="s">
        <v>4149</v>
      </c>
      <c r="V161" t="s">
        <v>3981</v>
      </c>
      <c r="W161" t="s">
        <v>7736</v>
      </c>
      <c r="X161">
        <v>36.200000000000003</v>
      </c>
      <c r="Y161">
        <v>36.200000000000003</v>
      </c>
      <c r="Z161" s="47">
        <v>0.69</v>
      </c>
      <c r="AA161">
        <v>61</v>
      </c>
      <c r="AB161">
        <v>100</v>
      </c>
      <c r="AC161">
        <v>3580136</v>
      </c>
    </row>
    <row r="162" spans="1:29" x14ac:dyDescent="0.2">
      <c r="A162" t="s">
        <v>4150</v>
      </c>
      <c r="B162" t="s">
        <v>4039</v>
      </c>
      <c r="C162" t="s">
        <v>7737</v>
      </c>
      <c r="D162">
        <v>32.200000000000003</v>
      </c>
      <c r="E162">
        <v>32.200000000000003</v>
      </c>
      <c r="F162" s="47">
        <v>0.73</v>
      </c>
      <c r="G162">
        <v>384</v>
      </c>
      <c r="H162">
        <v>100</v>
      </c>
      <c r="I162">
        <v>21463</v>
      </c>
      <c r="K162" t="s">
        <v>4151</v>
      </c>
      <c r="L162" t="s">
        <v>4129</v>
      </c>
      <c r="M162" t="s">
        <v>7738</v>
      </c>
      <c r="N162">
        <v>34.200000000000003</v>
      </c>
      <c r="O162">
        <v>34.200000000000003</v>
      </c>
      <c r="P162" s="47">
        <v>0.77</v>
      </c>
      <c r="Q162">
        <v>97</v>
      </c>
      <c r="R162">
        <v>100</v>
      </c>
      <c r="S162">
        <v>1759</v>
      </c>
      <c r="U162" t="s">
        <v>4152</v>
      </c>
      <c r="V162" t="s">
        <v>4153</v>
      </c>
      <c r="W162" t="s">
        <v>7739</v>
      </c>
      <c r="X162">
        <v>36.200000000000003</v>
      </c>
      <c r="Y162">
        <v>36.200000000000003</v>
      </c>
      <c r="Z162" s="47">
        <v>0.69</v>
      </c>
      <c r="AA162">
        <v>61</v>
      </c>
      <c r="AB162">
        <v>100</v>
      </c>
      <c r="AC162">
        <v>266830</v>
      </c>
    </row>
    <row r="163" spans="1:29" x14ac:dyDescent="0.2">
      <c r="A163" t="s">
        <v>4154</v>
      </c>
      <c r="B163" t="s">
        <v>3684</v>
      </c>
      <c r="C163" t="s">
        <v>7740</v>
      </c>
      <c r="D163">
        <v>32.200000000000003</v>
      </c>
      <c r="E163">
        <v>32.200000000000003</v>
      </c>
      <c r="F163" s="47">
        <v>0.73</v>
      </c>
      <c r="G163">
        <v>384</v>
      </c>
      <c r="H163">
        <v>100</v>
      </c>
      <c r="I163">
        <v>6364421</v>
      </c>
      <c r="K163" t="s">
        <v>3599</v>
      </c>
      <c r="L163" t="s">
        <v>3600</v>
      </c>
      <c r="M163" t="s">
        <v>7741</v>
      </c>
      <c r="N163">
        <v>34.200000000000003</v>
      </c>
      <c r="O163">
        <v>34.200000000000003</v>
      </c>
      <c r="P163" s="47">
        <v>0.77</v>
      </c>
      <c r="Q163">
        <v>97</v>
      </c>
      <c r="R163">
        <v>100</v>
      </c>
      <c r="S163">
        <v>268</v>
      </c>
      <c r="U163" t="s">
        <v>4155</v>
      </c>
      <c r="V163" t="s">
        <v>3976</v>
      </c>
      <c r="W163" t="s">
        <v>7742</v>
      </c>
      <c r="X163">
        <v>36.200000000000003</v>
      </c>
      <c r="Y163">
        <v>36.200000000000003</v>
      </c>
      <c r="Z163" s="47">
        <v>0.69</v>
      </c>
      <c r="AA163">
        <v>61</v>
      </c>
      <c r="AB163">
        <v>100</v>
      </c>
      <c r="AC163">
        <v>16681</v>
      </c>
    </row>
    <row r="164" spans="1:29" x14ac:dyDescent="0.2">
      <c r="A164" t="s">
        <v>4156</v>
      </c>
      <c r="B164" t="s">
        <v>4157</v>
      </c>
      <c r="C164" t="s">
        <v>7743</v>
      </c>
      <c r="D164">
        <v>32.200000000000003</v>
      </c>
      <c r="E164">
        <v>32.200000000000003</v>
      </c>
      <c r="F164" s="47">
        <v>0.73</v>
      </c>
      <c r="G164">
        <v>384</v>
      </c>
      <c r="H164">
        <v>100</v>
      </c>
      <c r="I164">
        <v>3867517</v>
      </c>
      <c r="K164" t="s">
        <v>4158</v>
      </c>
      <c r="L164" t="s">
        <v>4159</v>
      </c>
      <c r="M164" t="s">
        <v>7744</v>
      </c>
      <c r="N164">
        <v>34.200000000000003</v>
      </c>
      <c r="O164">
        <v>66.400000000000006</v>
      </c>
      <c r="P164" s="47">
        <v>0.77</v>
      </c>
      <c r="Q164">
        <v>97</v>
      </c>
      <c r="R164">
        <v>100</v>
      </c>
      <c r="S164">
        <v>2308852</v>
      </c>
      <c r="U164" t="s">
        <v>4160</v>
      </c>
      <c r="V164" t="s">
        <v>4161</v>
      </c>
      <c r="W164" t="s">
        <v>7745</v>
      </c>
      <c r="X164">
        <v>36.200000000000003</v>
      </c>
      <c r="Y164">
        <v>36.200000000000003</v>
      </c>
      <c r="Z164" s="47">
        <v>1</v>
      </c>
      <c r="AA164">
        <v>61</v>
      </c>
      <c r="AB164">
        <v>92.31</v>
      </c>
      <c r="AC164">
        <v>16508</v>
      </c>
    </row>
    <row r="165" spans="1:29" x14ac:dyDescent="0.2">
      <c r="A165" t="s">
        <v>4162</v>
      </c>
      <c r="B165" t="s">
        <v>4163</v>
      </c>
      <c r="C165" t="s">
        <v>7746</v>
      </c>
      <c r="D165">
        <v>32.200000000000003</v>
      </c>
      <c r="E165">
        <v>32.200000000000003</v>
      </c>
      <c r="F165" s="47">
        <v>0.73</v>
      </c>
      <c r="G165">
        <v>384</v>
      </c>
      <c r="H165">
        <v>100</v>
      </c>
      <c r="I165">
        <v>73873253</v>
      </c>
      <c r="K165" t="s">
        <v>4164</v>
      </c>
      <c r="L165" t="s">
        <v>4165</v>
      </c>
      <c r="M165" t="s">
        <v>7747</v>
      </c>
      <c r="N165">
        <v>34.200000000000003</v>
      </c>
      <c r="O165">
        <v>34.200000000000003</v>
      </c>
      <c r="P165" s="47">
        <v>0.77</v>
      </c>
      <c r="Q165">
        <v>97</v>
      </c>
      <c r="R165">
        <v>100</v>
      </c>
      <c r="S165">
        <v>3519105</v>
      </c>
      <c r="U165" t="s">
        <v>4068</v>
      </c>
      <c r="V165" t="s">
        <v>2445</v>
      </c>
      <c r="W165" t="s">
        <v>6597</v>
      </c>
      <c r="X165">
        <v>36.200000000000003</v>
      </c>
      <c r="Y165">
        <v>36.200000000000003</v>
      </c>
      <c r="Z165" s="47">
        <v>1</v>
      </c>
      <c r="AA165">
        <v>61</v>
      </c>
      <c r="AB165">
        <v>92.31</v>
      </c>
      <c r="AC165">
        <v>16585</v>
      </c>
    </row>
    <row r="166" spans="1:29" x14ac:dyDescent="0.2">
      <c r="A166" t="s">
        <v>4166</v>
      </c>
      <c r="B166" t="s">
        <v>4167</v>
      </c>
      <c r="C166" t="s">
        <v>7748</v>
      </c>
      <c r="D166">
        <v>32.200000000000003</v>
      </c>
      <c r="E166">
        <v>32.200000000000003</v>
      </c>
      <c r="F166" s="47">
        <v>0.73</v>
      </c>
      <c r="G166">
        <v>384</v>
      </c>
      <c r="H166">
        <v>100</v>
      </c>
      <c r="I166">
        <v>4640</v>
      </c>
      <c r="K166" t="s">
        <v>4168</v>
      </c>
      <c r="L166" t="s">
        <v>4169</v>
      </c>
      <c r="M166" t="s">
        <v>7749</v>
      </c>
      <c r="N166">
        <v>34.200000000000003</v>
      </c>
      <c r="O166">
        <v>34.200000000000003</v>
      </c>
      <c r="P166" s="47">
        <v>0.77</v>
      </c>
      <c r="Q166">
        <v>97</v>
      </c>
      <c r="R166">
        <v>100</v>
      </c>
      <c r="S166">
        <v>3717</v>
      </c>
      <c r="U166" t="s">
        <v>4170</v>
      </c>
      <c r="V166" t="s">
        <v>3981</v>
      </c>
      <c r="W166" t="s">
        <v>7750</v>
      </c>
      <c r="X166">
        <v>36.200000000000003</v>
      </c>
      <c r="Y166">
        <v>36.200000000000003</v>
      </c>
      <c r="Z166" s="47">
        <v>0.69</v>
      </c>
      <c r="AA166">
        <v>61</v>
      </c>
      <c r="AB166">
        <v>100</v>
      </c>
      <c r="AC166">
        <v>3352833</v>
      </c>
    </row>
    <row r="167" spans="1:29" x14ac:dyDescent="0.2">
      <c r="A167" t="s">
        <v>4171</v>
      </c>
      <c r="B167" t="s">
        <v>4172</v>
      </c>
      <c r="C167" t="s">
        <v>7751</v>
      </c>
      <c r="D167">
        <v>32.200000000000003</v>
      </c>
      <c r="E167">
        <v>32.200000000000003</v>
      </c>
      <c r="F167" s="47">
        <v>0.73</v>
      </c>
      <c r="G167">
        <v>384</v>
      </c>
      <c r="H167">
        <v>100</v>
      </c>
      <c r="I167">
        <v>59081000</v>
      </c>
      <c r="K167" t="s">
        <v>4173</v>
      </c>
      <c r="L167" t="s">
        <v>2205</v>
      </c>
      <c r="M167" t="s">
        <v>7752</v>
      </c>
      <c r="N167">
        <v>34.200000000000003</v>
      </c>
      <c r="O167">
        <v>34.200000000000003</v>
      </c>
      <c r="P167" s="47">
        <v>0.95</v>
      </c>
      <c r="Q167">
        <v>97</v>
      </c>
      <c r="R167">
        <v>95.24</v>
      </c>
      <c r="S167">
        <v>16634</v>
      </c>
      <c r="U167" t="s">
        <v>4174</v>
      </c>
      <c r="V167" t="s">
        <v>4175</v>
      </c>
      <c r="W167" t="s">
        <v>7753</v>
      </c>
      <c r="X167">
        <v>36.200000000000003</v>
      </c>
      <c r="Y167">
        <v>36.200000000000003</v>
      </c>
      <c r="Z167" s="47">
        <v>0.69</v>
      </c>
      <c r="AA167">
        <v>61</v>
      </c>
      <c r="AB167">
        <v>100</v>
      </c>
      <c r="AC167">
        <v>2054</v>
      </c>
    </row>
    <row r="168" spans="1:29" x14ac:dyDescent="0.2">
      <c r="A168" t="s">
        <v>4176</v>
      </c>
      <c r="B168" t="s">
        <v>4177</v>
      </c>
      <c r="C168" t="s">
        <v>7754</v>
      </c>
      <c r="D168">
        <v>32.200000000000003</v>
      </c>
      <c r="E168">
        <v>32.200000000000003</v>
      </c>
      <c r="F168" s="47">
        <v>0.73</v>
      </c>
      <c r="G168">
        <v>384</v>
      </c>
      <c r="H168">
        <v>100</v>
      </c>
      <c r="I168">
        <v>6491501</v>
      </c>
      <c r="K168" t="s">
        <v>4178</v>
      </c>
      <c r="L168" t="s">
        <v>4179</v>
      </c>
      <c r="M168" t="s">
        <v>7755</v>
      </c>
      <c r="N168">
        <v>34.200000000000003</v>
      </c>
      <c r="O168">
        <v>34.200000000000003</v>
      </c>
      <c r="P168" s="47">
        <v>0.77</v>
      </c>
      <c r="Q168">
        <v>97</v>
      </c>
      <c r="R168">
        <v>100</v>
      </c>
      <c r="S168">
        <v>3462</v>
      </c>
      <c r="U168" t="s">
        <v>4180</v>
      </c>
      <c r="V168" t="s">
        <v>4181</v>
      </c>
      <c r="W168" t="s">
        <v>7756</v>
      </c>
      <c r="X168">
        <v>36.200000000000003</v>
      </c>
      <c r="Y168">
        <v>36.200000000000003</v>
      </c>
      <c r="Z168" s="47">
        <v>0.69</v>
      </c>
      <c r="AA168">
        <v>61</v>
      </c>
      <c r="AB168">
        <v>100</v>
      </c>
      <c r="AC168">
        <v>85969269</v>
      </c>
    </row>
    <row r="169" spans="1:29" x14ac:dyDescent="0.2">
      <c r="A169" t="s">
        <v>3786</v>
      </c>
      <c r="B169" t="s">
        <v>3787</v>
      </c>
      <c r="C169" t="s">
        <v>7594</v>
      </c>
      <c r="D169">
        <v>32.200000000000003</v>
      </c>
      <c r="E169">
        <v>32.200000000000003</v>
      </c>
      <c r="F169" s="47">
        <v>0.73</v>
      </c>
      <c r="G169">
        <v>384</v>
      </c>
      <c r="H169">
        <v>100</v>
      </c>
      <c r="I169">
        <v>79024126</v>
      </c>
      <c r="K169" t="s">
        <v>4182</v>
      </c>
      <c r="L169" t="s">
        <v>4183</v>
      </c>
      <c r="M169" t="s">
        <v>7757</v>
      </c>
      <c r="N169">
        <v>34.200000000000003</v>
      </c>
      <c r="O169">
        <v>34.200000000000003</v>
      </c>
      <c r="P169" s="47">
        <v>0.77</v>
      </c>
      <c r="Q169">
        <v>97</v>
      </c>
      <c r="R169">
        <v>100</v>
      </c>
      <c r="S169">
        <v>6125480</v>
      </c>
      <c r="U169" t="s">
        <v>4184</v>
      </c>
      <c r="V169" t="s">
        <v>4185</v>
      </c>
      <c r="W169" t="s">
        <v>7758</v>
      </c>
      <c r="X169">
        <v>36.200000000000003</v>
      </c>
      <c r="Y169">
        <v>36.200000000000003</v>
      </c>
      <c r="Z169" s="47">
        <v>0.69</v>
      </c>
      <c r="AA169">
        <v>61</v>
      </c>
      <c r="AB169">
        <v>100</v>
      </c>
      <c r="AC169">
        <v>2607</v>
      </c>
    </row>
    <row r="170" spans="1:29" x14ac:dyDescent="0.2">
      <c r="A170" t="s">
        <v>4186</v>
      </c>
      <c r="B170" t="s">
        <v>4187</v>
      </c>
      <c r="C170" t="s">
        <v>7759</v>
      </c>
      <c r="D170">
        <v>32.200000000000003</v>
      </c>
      <c r="E170">
        <v>32.200000000000003</v>
      </c>
      <c r="F170" s="47">
        <v>0.73</v>
      </c>
      <c r="G170">
        <v>384</v>
      </c>
      <c r="H170">
        <v>100</v>
      </c>
      <c r="I170">
        <v>1047</v>
      </c>
      <c r="K170" t="s">
        <v>4188</v>
      </c>
      <c r="L170" t="s">
        <v>4189</v>
      </c>
      <c r="M170" t="s">
        <v>7760</v>
      </c>
      <c r="N170">
        <v>34.200000000000003</v>
      </c>
      <c r="O170">
        <v>34.200000000000003</v>
      </c>
      <c r="P170" s="47">
        <v>0.77</v>
      </c>
      <c r="Q170">
        <v>97</v>
      </c>
      <c r="R170">
        <v>100</v>
      </c>
      <c r="S170">
        <v>3060363</v>
      </c>
      <c r="U170" t="s">
        <v>4190</v>
      </c>
      <c r="V170" t="s">
        <v>4191</v>
      </c>
      <c r="W170" t="s">
        <v>7761</v>
      </c>
      <c r="X170">
        <v>36.200000000000003</v>
      </c>
      <c r="Y170">
        <v>68.400000000000006</v>
      </c>
      <c r="Z170" s="47">
        <v>0.85</v>
      </c>
      <c r="AA170">
        <v>61</v>
      </c>
      <c r="AB170">
        <v>100</v>
      </c>
      <c r="AC170">
        <v>40621098</v>
      </c>
    </row>
    <row r="171" spans="1:29" x14ac:dyDescent="0.2">
      <c r="A171" t="s">
        <v>4192</v>
      </c>
      <c r="B171" t="s">
        <v>4053</v>
      </c>
      <c r="C171" t="s">
        <v>7762</v>
      </c>
      <c r="D171">
        <v>32.200000000000003</v>
      </c>
      <c r="E171">
        <v>32.200000000000003</v>
      </c>
      <c r="F171" s="47">
        <v>0.73</v>
      </c>
      <c r="G171">
        <v>384</v>
      </c>
      <c r="H171">
        <v>100</v>
      </c>
      <c r="I171">
        <v>18940</v>
      </c>
      <c r="K171" t="s">
        <v>4193</v>
      </c>
      <c r="L171" t="s">
        <v>4194</v>
      </c>
      <c r="M171" t="s">
        <v>7763</v>
      </c>
      <c r="N171">
        <v>34.200000000000003</v>
      </c>
      <c r="O171">
        <v>34.200000000000003</v>
      </c>
      <c r="P171" s="47">
        <v>0.77</v>
      </c>
      <c r="Q171">
        <v>97</v>
      </c>
      <c r="R171">
        <v>100</v>
      </c>
      <c r="S171">
        <v>5289572</v>
      </c>
      <c r="U171" t="s">
        <v>4195</v>
      </c>
      <c r="V171" t="s">
        <v>4196</v>
      </c>
      <c r="W171" t="s">
        <v>7764</v>
      </c>
      <c r="X171">
        <v>36.200000000000003</v>
      </c>
      <c r="Y171">
        <v>36.200000000000003</v>
      </c>
      <c r="Z171" s="47">
        <v>0.69</v>
      </c>
      <c r="AA171">
        <v>61</v>
      </c>
      <c r="AB171">
        <v>100</v>
      </c>
      <c r="AC171">
        <v>2099</v>
      </c>
    </row>
    <row r="172" spans="1:29" x14ac:dyDescent="0.2">
      <c r="A172" t="s">
        <v>4197</v>
      </c>
      <c r="B172" t="s">
        <v>4057</v>
      </c>
      <c r="C172" t="s">
        <v>7765</v>
      </c>
      <c r="D172">
        <v>32.200000000000003</v>
      </c>
      <c r="E172">
        <v>32.200000000000003</v>
      </c>
      <c r="F172" s="47">
        <v>0.73</v>
      </c>
      <c r="G172">
        <v>384</v>
      </c>
      <c r="H172">
        <v>100</v>
      </c>
      <c r="I172">
        <v>5686</v>
      </c>
      <c r="K172" t="s">
        <v>3599</v>
      </c>
      <c r="L172" t="s">
        <v>3600</v>
      </c>
      <c r="M172" t="s">
        <v>7766</v>
      </c>
      <c r="N172">
        <v>34.200000000000003</v>
      </c>
      <c r="O172">
        <v>34.200000000000003</v>
      </c>
      <c r="P172" s="47">
        <v>0.77</v>
      </c>
      <c r="Q172">
        <v>97</v>
      </c>
      <c r="R172">
        <v>100</v>
      </c>
      <c r="S172">
        <v>383</v>
      </c>
      <c r="U172" t="s">
        <v>4198</v>
      </c>
      <c r="V172" t="s">
        <v>4199</v>
      </c>
      <c r="W172" t="s">
        <v>7767</v>
      </c>
      <c r="X172">
        <v>36.200000000000003</v>
      </c>
      <c r="Y172">
        <v>68.400000000000006</v>
      </c>
      <c r="Z172" s="47">
        <v>0.77</v>
      </c>
      <c r="AA172">
        <v>61</v>
      </c>
      <c r="AB172">
        <v>100</v>
      </c>
      <c r="AC172">
        <v>3238151</v>
      </c>
    </row>
    <row r="173" spans="1:29" x14ac:dyDescent="0.2">
      <c r="A173" t="s">
        <v>4200</v>
      </c>
      <c r="B173" t="s">
        <v>4201</v>
      </c>
      <c r="C173" t="s">
        <v>7768</v>
      </c>
      <c r="D173">
        <v>32.200000000000003</v>
      </c>
      <c r="E173">
        <v>32.200000000000003</v>
      </c>
      <c r="F173" s="47">
        <v>0.73</v>
      </c>
      <c r="G173">
        <v>384</v>
      </c>
      <c r="H173">
        <v>100</v>
      </c>
      <c r="I173">
        <v>37799916</v>
      </c>
      <c r="K173" t="s">
        <v>4202</v>
      </c>
      <c r="L173" t="s">
        <v>4203</v>
      </c>
      <c r="M173" t="s">
        <v>7769</v>
      </c>
      <c r="N173">
        <v>34.200000000000003</v>
      </c>
      <c r="O173">
        <v>34.200000000000003</v>
      </c>
      <c r="P173" s="47">
        <v>0.77</v>
      </c>
      <c r="Q173">
        <v>97</v>
      </c>
      <c r="R173">
        <v>100</v>
      </c>
      <c r="S173">
        <v>4206</v>
      </c>
      <c r="U173" t="s">
        <v>4204</v>
      </c>
      <c r="V173" t="s">
        <v>4205</v>
      </c>
      <c r="W173" t="s">
        <v>7770</v>
      </c>
      <c r="X173">
        <v>36.200000000000003</v>
      </c>
      <c r="Y173">
        <v>36.200000000000003</v>
      </c>
      <c r="Z173" s="47">
        <v>0.69</v>
      </c>
      <c r="AA173">
        <v>61</v>
      </c>
      <c r="AB173">
        <v>100</v>
      </c>
      <c r="AC173">
        <v>5322</v>
      </c>
    </row>
    <row r="174" spans="1:29" x14ac:dyDescent="0.2">
      <c r="A174" t="s">
        <v>4206</v>
      </c>
      <c r="B174" t="s">
        <v>4207</v>
      </c>
      <c r="C174" t="s">
        <v>7771</v>
      </c>
      <c r="D174">
        <v>32.200000000000003</v>
      </c>
      <c r="E174">
        <v>32.200000000000003</v>
      </c>
      <c r="F174" s="47">
        <v>0.73</v>
      </c>
      <c r="G174">
        <v>384</v>
      </c>
      <c r="H174">
        <v>100</v>
      </c>
      <c r="I174">
        <v>74535872</v>
      </c>
      <c r="K174" t="s">
        <v>4208</v>
      </c>
      <c r="L174" t="s">
        <v>3889</v>
      </c>
      <c r="M174" t="s">
        <v>7772</v>
      </c>
      <c r="N174">
        <v>34.200000000000003</v>
      </c>
      <c r="O174">
        <v>34.200000000000003</v>
      </c>
      <c r="P174" s="47">
        <v>0.77</v>
      </c>
      <c r="Q174">
        <v>97</v>
      </c>
      <c r="R174">
        <v>100</v>
      </c>
      <c r="S174">
        <v>4009925</v>
      </c>
      <c r="U174" t="s">
        <v>4209</v>
      </c>
      <c r="V174" t="s">
        <v>4210</v>
      </c>
      <c r="W174" t="s">
        <v>7773</v>
      </c>
      <c r="X174">
        <v>36.200000000000003</v>
      </c>
      <c r="Y174">
        <v>36.200000000000003</v>
      </c>
      <c r="Z174" s="47">
        <v>0.69</v>
      </c>
      <c r="AA174">
        <v>61</v>
      </c>
      <c r="AB174">
        <v>100</v>
      </c>
      <c r="AC174">
        <v>15560</v>
      </c>
    </row>
    <row r="175" spans="1:29" x14ac:dyDescent="0.2">
      <c r="A175" t="s">
        <v>4145</v>
      </c>
      <c r="B175" t="s">
        <v>4146</v>
      </c>
      <c r="C175" t="s">
        <v>7774</v>
      </c>
      <c r="D175">
        <v>32.200000000000003</v>
      </c>
      <c r="E175">
        <v>32.200000000000003</v>
      </c>
      <c r="F175" s="47">
        <v>0.73</v>
      </c>
      <c r="G175">
        <v>384</v>
      </c>
      <c r="H175">
        <v>100</v>
      </c>
      <c r="I175">
        <v>39075652</v>
      </c>
      <c r="K175" t="s">
        <v>4211</v>
      </c>
      <c r="L175" t="s">
        <v>4212</v>
      </c>
      <c r="M175" t="s">
        <v>7775</v>
      </c>
      <c r="N175">
        <v>34.200000000000003</v>
      </c>
      <c r="O175">
        <v>34.200000000000003</v>
      </c>
      <c r="P175" s="47">
        <v>0.77</v>
      </c>
      <c r="Q175">
        <v>97</v>
      </c>
      <c r="R175">
        <v>100</v>
      </c>
      <c r="S175">
        <v>1983</v>
      </c>
      <c r="U175" t="s">
        <v>4213</v>
      </c>
      <c r="V175" t="s">
        <v>4214</v>
      </c>
      <c r="W175" t="s">
        <v>7776</v>
      </c>
      <c r="X175">
        <v>36.200000000000003</v>
      </c>
      <c r="Y175">
        <v>36.200000000000003</v>
      </c>
      <c r="Z175" s="47">
        <v>0.69</v>
      </c>
      <c r="AA175">
        <v>61</v>
      </c>
      <c r="AB175">
        <v>100</v>
      </c>
      <c r="AC175">
        <v>2645</v>
      </c>
    </row>
    <row r="176" spans="1:29" x14ac:dyDescent="0.2">
      <c r="A176" t="s">
        <v>4215</v>
      </c>
      <c r="B176" t="s">
        <v>4216</v>
      </c>
      <c r="C176" t="s">
        <v>7777</v>
      </c>
      <c r="D176">
        <v>32.200000000000003</v>
      </c>
      <c r="E176">
        <v>32.200000000000003</v>
      </c>
      <c r="F176" s="47">
        <v>0.73</v>
      </c>
      <c r="G176">
        <v>384</v>
      </c>
      <c r="H176">
        <v>100</v>
      </c>
      <c r="I176">
        <v>3463</v>
      </c>
      <c r="K176" t="s">
        <v>4217</v>
      </c>
      <c r="L176" t="s">
        <v>4218</v>
      </c>
      <c r="M176" t="s">
        <v>7778</v>
      </c>
      <c r="N176">
        <v>34.200000000000003</v>
      </c>
      <c r="O176">
        <v>34.200000000000003</v>
      </c>
      <c r="P176" s="47">
        <v>0.77</v>
      </c>
      <c r="Q176">
        <v>97</v>
      </c>
      <c r="R176">
        <v>100</v>
      </c>
      <c r="S176">
        <v>475541</v>
      </c>
      <c r="U176" t="s">
        <v>4219</v>
      </c>
      <c r="V176" t="s">
        <v>3976</v>
      </c>
      <c r="W176" t="s">
        <v>7779</v>
      </c>
      <c r="X176">
        <v>36.200000000000003</v>
      </c>
      <c r="Y176">
        <v>36.200000000000003</v>
      </c>
      <c r="Z176" s="47">
        <v>0.69</v>
      </c>
      <c r="AA176">
        <v>61</v>
      </c>
      <c r="AB176">
        <v>100</v>
      </c>
      <c r="AC176">
        <v>16722</v>
      </c>
    </row>
    <row r="177" spans="1:29" x14ac:dyDescent="0.2">
      <c r="A177" t="s">
        <v>4220</v>
      </c>
      <c r="B177" t="s">
        <v>4221</v>
      </c>
      <c r="C177" t="s">
        <v>7780</v>
      </c>
      <c r="D177">
        <v>32.200000000000003</v>
      </c>
      <c r="E177">
        <v>32.200000000000003</v>
      </c>
      <c r="F177" s="47">
        <v>0.73</v>
      </c>
      <c r="G177">
        <v>384</v>
      </c>
      <c r="H177">
        <v>100</v>
      </c>
      <c r="I177">
        <v>41418513</v>
      </c>
      <c r="K177" t="s">
        <v>4222</v>
      </c>
      <c r="L177" t="s">
        <v>4223</v>
      </c>
      <c r="M177" t="s">
        <v>7781</v>
      </c>
      <c r="N177">
        <v>34.200000000000003</v>
      </c>
      <c r="O177">
        <v>34.200000000000003</v>
      </c>
      <c r="P177" s="47">
        <v>0.77</v>
      </c>
      <c r="Q177">
        <v>97</v>
      </c>
      <c r="R177">
        <v>100</v>
      </c>
      <c r="S177">
        <v>2432079</v>
      </c>
      <c r="U177" t="s">
        <v>4224</v>
      </c>
      <c r="V177" t="s">
        <v>3976</v>
      </c>
      <c r="W177" t="s">
        <v>7782</v>
      </c>
      <c r="X177">
        <v>36.200000000000003</v>
      </c>
      <c r="Y177">
        <v>36.200000000000003</v>
      </c>
      <c r="Z177" s="47">
        <v>0.69</v>
      </c>
      <c r="AA177">
        <v>61</v>
      </c>
      <c r="AB177">
        <v>100</v>
      </c>
      <c r="AC177">
        <v>16681</v>
      </c>
    </row>
    <row r="178" spans="1:29" x14ac:dyDescent="0.2">
      <c r="A178" t="s">
        <v>4225</v>
      </c>
      <c r="B178" t="s">
        <v>4226</v>
      </c>
      <c r="C178" t="s">
        <v>7783</v>
      </c>
      <c r="D178">
        <v>32.200000000000003</v>
      </c>
      <c r="E178">
        <v>32.200000000000003</v>
      </c>
      <c r="F178" s="47">
        <v>0.73</v>
      </c>
      <c r="G178">
        <v>384</v>
      </c>
      <c r="H178">
        <v>100</v>
      </c>
      <c r="I178">
        <v>60524</v>
      </c>
      <c r="K178" t="s">
        <v>4227</v>
      </c>
      <c r="L178" t="s">
        <v>4228</v>
      </c>
      <c r="M178" t="s">
        <v>7784</v>
      </c>
      <c r="N178">
        <v>34.200000000000003</v>
      </c>
      <c r="O178">
        <v>34.200000000000003</v>
      </c>
      <c r="P178" s="47">
        <v>0.77</v>
      </c>
      <c r="Q178">
        <v>97</v>
      </c>
      <c r="R178">
        <v>100</v>
      </c>
      <c r="S178">
        <v>2317</v>
      </c>
      <c r="U178" t="s">
        <v>4229</v>
      </c>
      <c r="V178" t="s">
        <v>3976</v>
      </c>
      <c r="W178" t="s">
        <v>7785</v>
      </c>
      <c r="X178">
        <v>36.200000000000003</v>
      </c>
      <c r="Y178">
        <v>36.200000000000003</v>
      </c>
      <c r="Z178" s="47">
        <v>0.69</v>
      </c>
      <c r="AA178">
        <v>61</v>
      </c>
      <c r="AB178">
        <v>100</v>
      </c>
      <c r="AC178">
        <v>16722</v>
      </c>
    </row>
    <row r="179" spans="1:29" x14ac:dyDescent="0.2">
      <c r="A179" t="s">
        <v>4230</v>
      </c>
      <c r="B179" t="s">
        <v>4231</v>
      </c>
      <c r="C179" t="s">
        <v>7786</v>
      </c>
      <c r="D179">
        <v>32.200000000000003</v>
      </c>
      <c r="E179">
        <v>32.200000000000003</v>
      </c>
      <c r="F179" s="47">
        <v>0.73</v>
      </c>
      <c r="G179">
        <v>384</v>
      </c>
      <c r="H179">
        <v>100</v>
      </c>
      <c r="I179">
        <v>17277</v>
      </c>
      <c r="K179" t="s">
        <v>4232</v>
      </c>
      <c r="L179" t="s">
        <v>4233</v>
      </c>
      <c r="M179" t="s">
        <v>7787</v>
      </c>
      <c r="N179">
        <v>34.200000000000003</v>
      </c>
      <c r="O179">
        <v>34.200000000000003</v>
      </c>
      <c r="P179" s="47">
        <v>0.77</v>
      </c>
      <c r="Q179">
        <v>97</v>
      </c>
      <c r="R179">
        <v>100</v>
      </c>
      <c r="S179">
        <v>2815437</v>
      </c>
      <c r="U179" t="s">
        <v>4234</v>
      </c>
      <c r="V179" t="s">
        <v>4235</v>
      </c>
      <c r="W179" t="s">
        <v>7788</v>
      </c>
      <c r="X179">
        <v>36.200000000000003</v>
      </c>
      <c r="Y179">
        <v>36.200000000000003</v>
      </c>
      <c r="Z179" s="47">
        <v>0.69</v>
      </c>
      <c r="AA179">
        <v>61</v>
      </c>
      <c r="AB179">
        <v>100</v>
      </c>
      <c r="AC179">
        <v>3275680</v>
      </c>
    </row>
    <row r="180" spans="1:29" x14ac:dyDescent="0.2">
      <c r="A180" t="s">
        <v>4236</v>
      </c>
      <c r="B180" t="s">
        <v>1921</v>
      </c>
      <c r="C180" t="s">
        <v>7789</v>
      </c>
      <c r="D180">
        <v>32.200000000000003</v>
      </c>
      <c r="E180">
        <v>32.200000000000003</v>
      </c>
      <c r="F180" s="47">
        <v>0.91</v>
      </c>
      <c r="G180">
        <v>384</v>
      </c>
      <c r="H180">
        <v>95</v>
      </c>
      <c r="I180">
        <v>16513</v>
      </c>
      <c r="K180" t="s">
        <v>4237</v>
      </c>
      <c r="L180" t="s">
        <v>4238</v>
      </c>
      <c r="M180" t="s">
        <v>7790</v>
      </c>
      <c r="N180">
        <v>34.200000000000003</v>
      </c>
      <c r="O180">
        <v>34.200000000000003</v>
      </c>
      <c r="P180" s="47">
        <v>0.77</v>
      </c>
      <c r="Q180">
        <v>97</v>
      </c>
      <c r="R180">
        <v>100</v>
      </c>
      <c r="S180">
        <v>2859299</v>
      </c>
      <c r="U180" t="s">
        <v>4239</v>
      </c>
      <c r="V180" t="s">
        <v>53</v>
      </c>
      <c r="W180" t="s">
        <v>7791</v>
      </c>
      <c r="X180">
        <v>36.200000000000003</v>
      </c>
      <c r="Y180">
        <v>36.200000000000003</v>
      </c>
      <c r="Z180" s="47">
        <v>1</v>
      </c>
      <c r="AA180">
        <v>61</v>
      </c>
      <c r="AB180">
        <v>92.31</v>
      </c>
      <c r="AC180">
        <v>16582</v>
      </c>
    </row>
    <row r="181" spans="1:29" x14ac:dyDescent="0.2">
      <c r="A181" t="s">
        <v>4240</v>
      </c>
      <c r="B181" t="s">
        <v>3710</v>
      </c>
      <c r="C181" t="s">
        <v>7792</v>
      </c>
      <c r="D181">
        <v>32.200000000000003</v>
      </c>
      <c r="E181">
        <v>32.200000000000003</v>
      </c>
      <c r="F181" s="47">
        <v>0.73</v>
      </c>
      <c r="G181">
        <v>384</v>
      </c>
      <c r="H181">
        <v>100</v>
      </c>
      <c r="I181">
        <v>16513</v>
      </c>
      <c r="K181" t="s">
        <v>3741</v>
      </c>
      <c r="L181" t="s">
        <v>3742</v>
      </c>
      <c r="M181" t="s">
        <v>7459</v>
      </c>
      <c r="N181">
        <v>34.200000000000003</v>
      </c>
      <c r="O181">
        <v>34.200000000000003</v>
      </c>
      <c r="P181" s="47">
        <v>0.77</v>
      </c>
      <c r="Q181">
        <v>97</v>
      </c>
      <c r="R181">
        <v>100</v>
      </c>
      <c r="S181">
        <v>34951679</v>
      </c>
      <c r="U181" t="s">
        <v>4241</v>
      </c>
      <c r="V181" t="s">
        <v>4242</v>
      </c>
      <c r="W181" t="s">
        <v>7793</v>
      </c>
      <c r="X181">
        <v>36.200000000000003</v>
      </c>
      <c r="Y181">
        <v>36.200000000000003</v>
      </c>
      <c r="Z181" s="47">
        <v>0.69</v>
      </c>
      <c r="AA181">
        <v>61</v>
      </c>
      <c r="AB181">
        <v>100</v>
      </c>
      <c r="AC181">
        <v>3147</v>
      </c>
    </row>
    <row r="182" spans="1:29" x14ac:dyDescent="0.2">
      <c r="A182" t="s">
        <v>4243</v>
      </c>
      <c r="B182" t="s">
        <v>3889</v>
      </c>
      <c r="C182" t="s">
        <v>7794</v>
      </c>
      <c r="D182">
        <v>32.200000000000003</v>
      </c>
      <c r="E182">
        <v>32.200000000000003</v>
      </c>
      <c r="F182" s="47">
        <v>0.73</v>
      </c>
      <c r="G182">
        <v>384</v>
      </c>
      <c r="H182">
        <v>100</v>
      </c>
      <c r="I182">
        <v>2409838</v>
      </c>
      <c r="K182" t="s">
        <v>3746</v>
      </c>
      <c r="L182" t="s">
        <v>3747</v>
      </c>
      <c r="M182" t="s">
        <v>7795</v>
      </c>
      <c r="N182">
        <v>34.200000000000003</v>
      </c>
      <c r="O182">
        <v>34.200000000000003</v>
      </c>
      <c r="P182" s="47">
        <v>0.77</v>
      </c>
      <c r="Q182">
        <v>97</v>
      </c>
      <c r="R182">
        <v>100</v>
      </c>
      <c r="S182">
        <v>298480</v>
      </c>
      <c r="U182" t="s">
        <v>4244</v>
      </c>
      <c r="V182" t="s">
        <v>4042</v>
      </c>
      <c r="W182" t="s">
        <v>7796</v>
      </c>
      <c r="X182">
        <v>36.200000000000003</v>
      </c>
      <c r="Y182">
        <v>36.200000000000003</v>
      </c>
      <c r="Z182" s="47">
        <v>0.69</v>
      </c>
      <c r="AA182">
        <v>61</v>
      </c>
      <c r="AB182">
        <v>100</v>
      </c>
      <c r="AC182">
        <v>4495</v>
      </c>
    </row>
    <row r="183" spans="1:29" x14ac:dyDescent="0.2">
      <c r="A183" t="s">
        <v>4245</v>
      </c>
      <c r="B183" t="s">
        <v>4246</v>
      </c>
      <c r="C183" t="s">
        <v>7797</v>
      </c>
      <c r="D183">
        <v>32.200000000000003</v>
      </c>
      <c r="E183">
        <v>32.200000000000003</v>
      </c>
      <c r="F183" s="47">
        <v>0.73</v>
      </c>
      <c r="G183">
        <v>384</v>
      </c>
      <c r="H183">
        <v>100</v>
      </c>
      <c r="I183">
        <v>3138</v>
      </c>
      <c r="K183" t="s">
        <v>4247</v>
      </c>
      <c r="L183" t="s">
        <v>4087</v>
      </c>
      <c r="M183" t="s">
        <v>7798</v>
      </c>
      <c r="N183">
        <v>34.200000000000003</v>
      </c>
      <c r="O183">
        <v>34.200000000000003</v>
      </c>
      <c r="P183" s="47">
        <v>0.77</v>
      </c>
      <c r="Q183">
        <v>97</v>
      </c>
      <c r="R183">
        <v>100</v>
      </c>
      <c r="S183">
        <v>2509140</v>
      </c>
      <c r="U183" t="s">
        <v>4248</v>
      </c>
      <c r="V183" t="s">
        <v>4249</v>
      </c>
      <c r="W183" t="s">
        <v>7799</v>
      </c>
      <c r="X183">
        <v>36.200000000000003</v>
      </c>
      <c r="Y183">
        <v>36.200000000000003</v>
      </c>
      <c r="Z183" s="47">
        <v>0.69</v>
      </c>
      <c r="AA183">
        <v>61</v>
      </c>
      <c r="AB183">
        <v>100</v>
      </c>
      <c r="AC183">
        <v>5560</v>
      </c>
    </row>
    <row r="184" spans="1:29" x14ac:dyDescent="0.2">
      <c r="A184" t="s">
        <v>4250</v>
      </c>
      <c r="B184" t="s">
        <v>3846</v>
      </c>
      <c r="C184" t="s">
        <v>7800</v>
      </c>
      <c r="D184">
        <v>32.200000000000003</v>
      </c>
      <c r="E184">
        <v>32.200000000000003</v>
      </c>
      <c r="F184" s="47">
        <v>0.73</v>
      </c>
      <c r="G184">
        <v>384</v>
      </c>
      <c r="H184">
        <v>100</v>
      </c>
      <c r="I184">
        <v>53663512</v>
      </c>
      <c r="K184" t="s">
        <v>4251</v>
      </c>
      <c r="L184" t="s">
        <v>3874</v>
      </c>
      <c r="M184" t="s">
        <v>7801</v>
      </c>
      <c r="N184">
        <v>34.200000000000003</v>
      </c>
      <c r="O184">
        <v>34.200000000000003</v>
      </c>
      <c r="P184" s="47">
        <v>0.77</v>
      </c>
      <c r="Q184">
        <v>97</v>
      </c>
      <c r="R184">
        <v>100</v>
      </c>
      <c r="S184">
        <v>2321692</v>
      </c>
      <c r="U184" t="s">
        <v>4252</v>
      </c>
      <c r="V184" t="s">
        <v>2438</v>
      </c>
      <c r="W184" t="s">
        <v>6600</v>
      </c>
      <c r="X184">
        <v>36.200000000000003</v>
      </c>
      <c r="Y184">
        <v>36.200000000000003</v>
      </c>
      <c r="Z184" s="47">
        <v>1</v>
      </c>
      <c r="AA184">
        <v>61</v>
      </c>
      <c r="AB184">
        <v>92.31</v>
      </c>
      <c r="AC184">
        <v>16582</v>
      </c>
    </row>
    <row r="185" spans="1:29" x14ac:dyDescent="0.2">
      <c r="A185" t="s">
        <v>4252</v>
      </c>
      <c r="B185" t="s">
        <v>2438</v>
      </c>
      <c r="C185" t="s">
        <v>6600</v>
      </c>
      <c r="D185">
        <v>32.200000000000003</v>
      </c>
      <c r="E185">
        <v>32.200000000000003</v>
      </c>
      <c r="F185" s="47">
        <v>0.91</v>
      </c>
      <c r="G185">
        <v>384</v>
      </c>
      <c r="H185">
        <v>95</v>
      </c>
      <c r="I185">
        <v>16582</v>
      </c>
      <c r="K185" t="s">
        <v>4253</v>
      </c>
      <c r="L185" t="s">
        <v>2207</v>
      </c>
      <c r="M185" t="s">
        <v>7802</v>
      </c>
      <c r="N185">
        <v>34.200000000000003</v>
      </c>
      <c r="O185">
        <v>34.200000000000003</v>
      </c>
      <c r="P185" s="47">
        <v>0.95</v>
      </c>
      <c r="Q185">
        <v>97</v>
      </c>
      <c r="R185">
        <v>95.24</v>
      </c>
      <c r="S185">
        <v>16636</v>
      </c>
      <c r="U185" t="s">
        <v>4254</v>
      </c>
      <c r="V185" t="s">
        <v>4083</v>
      </c>
      <c r="W185" t="s">
        <v>7803</v>
      </c>
      <c r="X185">
        <v>36.200000000000003</v>
      </c>
      <c r="Y185">
        <v>36.200000000000003</v>
      </c>
      <c r="Z185" s="47">
        <v>0.69</v>
      </c>
      <c r="AA185">
        <v>61</v>
      </c>
      <c r="AB185">
        <v>100</v>
      </c>
      <c r="AC185">
        <v>10555</v>
      </c>
    </row>
    <row r="186" spans="1:29" x14ac:dyDescent="0.2">
      <c r="A186" t="s">
        <v>4255</v>
      </c>
      <c r="B186" t="s">
        <v>4256</v>
      </c>
      <c r="C186" t="s">
        <v>7804</v>
      </c>
      <c r="D186">
        <v>32.200000000000003</v>
      </c>
      <c r="E186">
        <v>32.200000000000003</v>
      </c>
      <c r="F186" s="47">
        <v>0.73</v>
      </c>
      <c r="G186">
        <v>384</v>
      </c>
      <c r="H186">
        <v>100</v>
      </c>
      <c r="I186">
        <v>1844</v>
      </c>
      <c r="K186" t="s">
        <v>4257</v>
      </c>
      <c r="L186" t="s">
        <v>4179</v>
      </c>
      <c r="M186" t="s">
        <v>7805</v>
      </c>
      <c r="N186">
        <v>34.200000000000003</v>
      </c>
      <c r="O186">
        <v>34.200000000000003</v>
      </c>
      <c r="P186" s="47">
        <v>0.77</v>
      </c>
      <c r="Q186">
        <v>97</v>
      </c>
      <c r="R186">
        <v>100</v>
      </c>
      <c r="S186">
        <v>3144</v>
      </c>
      <c r="U186" t="s">
        <v>4258</v>
      </c>
      <c r="V186" t="s">
        <v>3684</v>
      </c>
      <c r="W186" t="s">
        <v>7806</v>
      </c>
      <c r="X186">
        <v>36.200000000000003</v>
      </c>
      <c r="Y186">
        <v>241</v>
      </c>
      <c r="Z186" s="47">
        <v>0.69</v>
      </c>
      <c r="AA186">
        <v>61</v>
      </c>
      <c r="AB186">
        <v>100</v>
      </c>
      <c r="AC186">
        <v>6966824</v>
      </c>
    </row>
    <row r="187" spans="1:29" x14ac:dyDescent="0.2">
      <c r="A187" t="s">
        <v>4259</v>
      </c>
      <c r="B187" t="s">
        <v>4260</v>
      </c>
      <c r="C187" t="s">
        <v>7807</v>
      </c>
      <c r="D187">
        <v>32.200000000000003</v>
      </c>
      <c r="E187">
        <v>32.200000000000003</v>
      </c>
      <c r="F187" s="47">
        <v>0.73</v>
      </c>
      <c r="G187">
        <v>384</v>
      </c>
      <c r="H187">
        <v>100</v>
      </c>
      <c r="I187">
        <v>3072807</v>
      </c>
      <c r="K187" t="s">
        <v>4261</v>
      </c>
      <c r="L187" t="s">
        <v>4081</v>
      </c>
      <c r="M187" t="s">
        <v>7808</v>
      </c>
      <c r="N187">
        <v>34.200000000000003</v>
      </c>
      <c r="O187">
        <v>34.200000000000003</v>
      </c>
      <c r="P187" s="47">
        <v>0.77</v>
      </c>
      <c r="Q187">
        <v>97</v>
      </c>
      <c r="R187">
        <v>100</v>
      </c>
      <c r="S187">
        <v>1813</v>
      </c>
      <c r="U187" t="s">
        <v>4262</v>
      </c>
      <c r="V187" t="s">
        <v>3892</v>
      </c>
      <c r="W187" t="s">
        <v>7809</v>
      </c>
      <c r="X187">
        <v>36.200000000000003</v>
      </c>
      <c r="Y187">
        <v>36.200000000000003</v>
      </c>
      <c r="Z187" s="47">
        <v>0.69</v>
      </c>
      <c r="AA187">
        <v>61</v>
      </c>
      <c r="AB187">
        <v>100</v>
      </c>
      <c r="AC187">
        <v>92789672</v>
      </c>
    </row>
    <row r="188" spans="1:29" x14ac:dyDescent="0.2">
      <c r="A188" t="s">
        <v>4263</v>
      </c>
      <c r="B188" t="s">
        <v>4264</v>
      </c>
      <c r="C188" t="s">
        <v>7810</v>
      </c>
      <c r="D188">
        <v>32.200000000000003</v>
      </c>
      <c r="E188">
        <v>32.200000000000003</v>
      </c>
      <c r="F188" s="47">
        <v>0.73</v>
      </c>
      <c r="G188">
        <v>384</v>
      </c>
      <c r="H188">
        <v>100</v>
      </c>
      <c r="I188">
        <v>27646282</v>
      </c>
      <c r="K188" t="s">
        <v>4265</v>
      </c>
      <c r="L188" t="s">
        <v>4266</v>
      </c>
      <c r="M188" t="s">
        <v>7811</v>
      </c>
      <c r="N188">
        <v>34.200000000000003</v>
      </c>
      <c r="O188">
        <v>34.200000000000003</v>
      </c>
      <c r="P188" s="47">
        <v>0.77</v>
      </c>
      <c r="Q188">
        <v>97</v>
      </c>
      <c r="R188">
        <v>100</v>
      </c>
      <c r="S188">
        <v>2920</v>
      </c>
      <c r="U188" t="s">
        <v>4267</v>
      </c>
      <c r="V188" t="s">
        <v>4083</v>
      </c>
      <c r="W188" t="s">
        <v>7812</v>
      </c>
      <c r="X188">
        <v>36.200000000000003</v>
      </c>
      <c r="Y188">
        <v>36.200000000000003</v>
      </c>
      <c r="Z188" s="47">
        <v>0.69</v>
      </c>
      <c r="AA188">
        <v>61</v>
      </c>
      <c r="AB188">
        <v>100</v>
      </c>
      <c r="AC188">
        <v>10956</v>
      </c>
    </row>
    <row r="189" spans="1:29" x14ac:dyDescent="0.2">
      <c r="A189" t="s">
        <v>4268</v>
      </c>
      <c r="B189" t="s">
        <v>4269</v>
      </c>
      <c r="C189" t="s">
        <v>7813</v>
      </c>
      <c r="D189">
        <v>32.200000000000003</v>
      </c>
      <c r="E189">
        <v>32.200000000000003</v>
      </c>
      <c r="F189" s="47">
        <v>0.91</v>
      </c>
      <c r="G189">
        <v>384</v>
      </c>
      <c r="H189">
        <v>95</v>
      </c>
      <c r="I189">
        <v>3548</v>
      </c>
      <c r="K189" t="s">
        <v>4270</v>
      </c>
      <c r="L189" t="s">
        <v>4201</v>
      </c>
      <c r="M189" t="s">
        <v>7814</v>
      </c>
      <c r="N189">
        <v>34.200000000000003</v>
      </c>
      <c r="O189">
        <v>34.200000000000003</v>
      </c>
      <c r="P189" s="47">
        <v>0.77</v>
      </c>
      <c r="Q189">
        <v>97</v>
      </c>
      <c r="R189">
        <v>100</v>
      </c>
      <c r="S189">
        <v>33826367</v>
      </c>
      <c r="U189" t="s">
        <v>4271</v>
      </c>
      <c r="V189" t="s">
        <v>3976</v>
      </c>
      <c r="W189" t="s">
        <v>7815</v>
      </c>
      <c r="X189">
        <v>36.200000000000003</v>
      </c>
      <c r="Y189">
        <v>36.200000000000003</v>
      </c>
      <c r="Z189" s="47">
        <v>0.69</v>
      </c>
      <c r="AA189">
        <v>61</v>
      </c>
      <c r="AB189">
        <v>100</v>
      </c>
      <c r="AC189">
        <v>16752</v>
      </c>
    </row>
    <row r="190" spans="1:29" x14ac:dyDescent="0.2">
      <c r="A190" t="s">
        <v>4272</v>
      </c>
      <c r="B190" t="s">
        <v>4057</v>
      </c>
      <c r="C190" t="s">
        <v>7816</v>
      </c>
      <c r="D190">
        <v>32.200000000000003</v>
      </c>
      <c r="E190">
        <v>32.200000000000003</v>
      </c>
      <c r="F190" s="47">
        <v>0.73</v>
      </c>
      <c r="G190">
        <v>384</v>
      </c>
      <c r="H190">
        <v>100</v>
      </c>
      <c r="I190">
        <v>5808</v>
      </c>
      <c r="K190" t="s">
        <v>4273</v>
      </c>
      <c r="L190" t="s">
        <v>4274</v>
      </c>
      <c r="M190" t="s">
        <v>7817</v>
      </c>
      <c r="N190">
        <v>34.200000000000003</v>
      </c>
      <c r="O190">
        <v>34.200000000000003</v>
      </c>
      <c r="P190" s="47">
        <v>0.77</v>
      </c>
      <c r="Q190">
        <v>97</v>
      </c>
      <c r="R190">
        <v>100</v>
      </c>
      <c r="S190">
        <v>2685</v>
      </c>
      <c r="U190" t="s">
        <v>4275</v>
      </c>
      <c r="V190" t="s">
        <v>4024</v>
      </c>
      <c r="W190" t="s">
        <v>7818</v>
      </c>
      <c r="X190">
        <v>36.200000000000003</v>
      </c>
      <c r="Y190">
        <v>136</v>
      </c>
      <c r="Z190" s="47">
        <v>0.69</v>
      </c>
      <c r="AA190">
        <v>61</v>
      </c>
      <c r="AB190">
        <v>100</v>
      </c>
      <c r="AC190">
        <v>9350868</v>
      </c>
    </row>
    <row r="191" spans="1:29" x14ac:dyDescent="0.2">
      <c r="A191" t="s">
        <v>4276</v>
      </c>
      <c r="B191" t="s">
        <v>4053</v>
      </c>
      <c r="C191" t="s">
        <v>7819</v>
      </c>
      <c r="D191">
        <v>32.200000000000003</v>
      </c>
      <c r="E191">
        <v>32.200000000000003</v>
      </c>
      <c r="F191" s="47">
        <v>0.73</v>
      </c>
      <c r="G191">
        <v>384</v>
      </c>
      <c r="H191">
        <v>100</v>
      </c>
      <c r="I191">
        <v>11211</v>
      </c>
      <c r="K191" t="s">
        <v>4277</v>
      </c>
      <c r="L191" t="s">
        <v>4278</v>
      </c>
      <c r="M191" t="s">
        <v>7820</v>
      </c>
      <c r="N191">
        <v>34.200000000000003</v>
      </c>
      <c r="O191">
        <v>34.200000000000003</v>
      </c>
      <c r="P191" s="47">
        <v>0.77</v>
      </c>
      <c r="Q191">
        <v>97</v>
      </c>
      <c r="R191">
        <v>100</v>
      </c>
      <c r="S191">
        <v>2944</v>
      </c>
      <c r="U191" t="s">
        <v>4279</v>
      </c>
      <c r="V191" t="s">
        <v>4280</v>
      </c>
      <c r="W191" t="s">
        <v>7821</v>
      </c>
      <c r="X191">
        <v>36.200000000000003</v>
      </c>
      <c r="Y191">
        <v>36.200000000000003</v>
      </c>
      <c r="Z191" s="47">
        <v>0.69</v>
      </c>
      <c r="AA191">
        <v>61</v>
      </c>
      <c r="AB191">
        <v>100</v>
      </c>
      <c r="AC191">
        <v>6721</v>
      </c>
    </row>
    <row r="192" spans="1:29" x14ac:dyDescent="0.2">
      <c r="A192" t="s">
        <v>4281</v>
      </c>
      <c r="B192" t="s">
        <v>4039</v>
      </c>
      <c r="C192" t="s">
        <v>7822</v>
      </c>
      <c r="D192">
        <v>32.200000000000003</v>
      </c>
      <c r="E192">
        <v>32.200000000000003</v>
      </c>
      <c r="F192" s="47">
        <v>0.73</v>
      </c>
      <c r="G192">
        <v>384</v>
      </c>
      <c r="H192">
        <v>100</v>
      </c>
      <c r="I192">
        <v>20901</v>
      </c>
      <c r="K192" t="s">
        <v>4282</v>
      </c>
      <c r="L192" t="s">
        <v>4283</v>
      </c>
      <c r="M192" t="s">
        <v>7823</v>
      </c>
      <c r="N192">
        <v>34.200000000000003</v>
      </c>
      <c r="O192">
        <v>34.200000000000003</v>
      </c>
      <c r="P192" s="47">
        <v>0.77</v>
      </c>
      <c r="Q192">
        <v>97</v>
      </c>
      <c r="R192">
        <v>100</v>
      </c>
      <c r="S192">
        <v>1521</v>
      </c>
      <c r="U192" t="s">
        <v>4284</v>
      </c>
      <c r="V192" t="s">
        <v>4285</v>
      </c>
      <c r="W192" t="s">
        <v>7824</v>
      </c>
      <c r="X192">
        <v>36.200000000000003</v>
      </c>
      <c r="Y192">
        <v>36.200000000000003</v>
      </c>
      <c r="Z192" s="47">
        <v>0.69</v>
      </c>
      <c r="AA192">
        <v>61</v>
      </c>
      <c r="AB192">
        <v>100</v>
      </c>
      <c r="AC192">
        <v>1851</v>
      </c>
    </row>
    <row r="193" spans="1:29" x14ac:dyDescent="0.2">
      <c r="A193" t="s">
        <v>4286</v>
      </c>
      <c r="B193" t="s">
        <v>4287</v>
      </c>
      <c r="C193" t="s">
        <v>7825</v>
      </c>
      <c r="D193">
        <v>32.200000000000003</v>
      </c>
      <c r="E193">
        <v>32.200000000000003</v>
      </c>
      <c r="F193" s="47">
        <v>0.73</v>
      </c>
      <c r="G193">
        <v>384</v>
      </c>
      <c r="H193">
        <v>100</v>
      </c>
      <c r="I193">
        <v>1947</v>
      </c>
      <c r="K193" t="s">
        <v>4288</v>
      </c>
      <c r="L193" t="s">
        <v>4289</v>
      </c>
      <c r="M193" t="s">
        <v>7826</v>
      </c>
      <c r="N193">
        <v>34.200000000000003</v>
      </c>
      <c r="O193">
        <v>34.200000000000003</v>
      </c>
      <c r="P193" s="47">
        <v>0.77</v>
      </c>
      <c r="Q193">
        <v>97</v>
      </c>
      <c r="R193">
        <v>100</v>
      </c>
      <c r="S193">
        <v>6727386</v>
      </c>
      <c r="U193" t="s">
        <v>4290</v>
      </c>
      <c r="V193" t="s">
        <v>3981</v>
      </c>
      <c r="W193" t="s">
        <v>7827</v>
      </c>
      <c r="X193">
        <v>36.200000000000003</v>
      </c>
      <c r="Y193">
        <v>36.200000000000003</v>
      </c>
      <c r="Z193" s="47">
        <v>0.69</v>
      </c>
      <c r="AA193">
        <v>61</v>
      </c>
      <c r="AB193">
        <v>100</v>
      </c>
      <c r="AC193">
        <v>3381482</v>
      </c>
    </row>
    <row r="194" spans="1:29" x14ac:dyDescent="0.2">
      <c r="A194" t="s">
        <v>4291</v>
      </c>
      <c r="B194" t="s">
        <v>4292</v>
      </c>
      <c r="C194" t="s">
        <v>7828</v>
      </c>
      <c r="D194">
        <v>32.200000000000003</v>
      </c>
      <c r="E194">
        <v>32.200000000000003</v>
      </c>
      <c r="F194" s="47">
        <v>0.73</v>
      </c>
      <c r="G194">
        <v>384</v>
      </c>
      <c r="H194">
        <v>100</v>
      </c>
      <c r="I194">
        <v>6176</v>
      </c>
      <c r="K194" t="s">
        <v>4293</v>
      </c>
      <c r="L194" t="s">
        <v>4294</v>
      </c>
      <c r="M194" t="s">
        <v>7829</v>
      </c>
      <c r="N194">
        <v>34.200000000000003</v>
      </c>
      <c r="O194">
        <v>34.200000000000003</v>
      </c>
      <c r="P194" s="47">
        <v>0.77</v>
      </c>
      <c r="Q194">
        <v>97</v>
      </c>
      <c r="R194">
        <v>100</v>
      </c>
      <c r="S194">
        <v>1967</v>
      </c>
      <c r="U194" t="s">
        <v>4295</v>
      </c>
      <c r="V194" t="s">
        <v>3981</v>
      </c>
      <c r="W194" t="s">
        <v>7830</v>
      </c>
      <c r="X194">
        <v>36.200000000000003</v>
      </c>
      <c r="Y194">
        <v>36.200000000000003</v>
      </c>
      <c r="Z194" s="47">
        <v>0.69</v>
      </c>
      <c r="AA194">
        <v>61</v>
      </c>
      <c r="AB194">
        <v>100</v>
      </c>
      <c r="AC194">
        <v>3379103</v>
      </c>
    </row>
    <row r="195" spans="1:29" x14ac:dyDescent="0.2">
      <c r="A195" t="s">
        <v>4104</v>
      </c>
      <c r="B195" t="s">
        <v>3742</v>
      </c>
      <c r="C195" t="s">
        <v>7831</v>
      </c>
      <c r="D195">
        <v>32.200000000000003</v>
      </c>
      <c r="E195">
        <v>32.200000000000003</v>
      </c>
      <c r="F195" s="47">
        <v>0.73</v>
      </c>
      <c r="G195">
        <v>384</v>
      </c>
      <c r="H195">
        <v>100</v>
      </c>
      <c r="I195">
        <v>22149723</v>
      </c>
      <c r="K195" t="s">
        <v>4296</v>
      </c>
      <c r="L195" t="s">
        <v>4046</v>
      </c>
      <c r="M195" t="s">
        <v>7832</v>
      </c>
      <c r="N195">
        <v>34.200000000000003</v>
      </c>
      <c r="O195">
        <v>34.200000000000003</v>
      </c>
      <c r="P195" s="47">
        <v>0.77</v>
      </c>
      <c r="Q195">
        <v>97</v>
      </c>
      <c r="R195">
        <v>100</v>
      </c>
      <c r="S195">
        <v>2656452</v>
      </c>
      <c r="U195" t="s">
        <v>4297</v>
      </c>
      <c r="V195" t="s">
        <v>4298</v>
      </c>
      <c r="W195" t="s">
        <v>7833</v>
      </c>
      <c r="X195">
        <v>36.200000000000003</v>
      </c>
      <c r="Y195">
        <v>36.200000000000003</v>
      </c>
      <c r="Z195" s="47">
        <v>0.69</v>
      </c>
      <c r="AA195">
        <v>61</v>
      </c>
      <c r="AB195">
        <v>100</v>
      </c>
      <c r="AC195">
        <v>7047</v>
      </c>
    </row>
    <row r="196" spans="1:29" x14ac:dyDescent="0.2">
      <c r="A196" t="s">
        <v>4299</v>
      </c>
      <c r="B196" t="s">
        <v>4300</v>
      </c>
      <c r="C196" t="s">
        <v>7834</v>
      </c>
      <c r="D196">
        <v>32.200000000000003</v>
      </c>
      <c r="E196">
        <v>32.200000000000003</v>
      </c>
      <c r="F196" s="47">
        <v>0.73</v>
      </c>
      <c r="G196">
        <v>384</v>
      </c>
      <c r="H196">
        <v>100</v>
      </c>
      <c r="I196">
        <v>16447</v>
      </c>
      <c r="K196" t="s">
        <v>4301</v>
      </c>
      <c r="L196" t="s">
        <v>4212</v>
      </c>
      <c r="M196" t="s">
        <v>7835</v>
      </c>
      <c r="N196">
        <v>34.200000000000003</v>
      </c>
      <c r="O196">
        <v>34.200000000000003</v>
      </c>
      <c r="P196" s="47">
        <v>0.77</v>
      </c>
      <c r="Q196">
        <v>97</v>
      </c>
      <c r="R196">
        <v>100</v>
      </c>
      <c r="S196">
        <v>1660</v>
      </c>
      <c r="U196" s="49" t="s">
        <v>3550</v>
      </c>
      <c r="V196" s="49" t="s">
        <v>26</v>
      </c>
      <c r="W196" t="s">
        <v>7836</v>
      </c>
      <c r="X196">
        <v>36.200000000000003</v>
      </c>
      <c r="Y196">
        <v>36.200000000000003</v>
      </c>
      <c r="Z196" s="47">
        <v>1</v>
      </c>
      <c r="AA196">
        <v>61</v>
      </c>
      <c r="AB196">
        <v>92.31</v>
      </c>
      <c r="AC196">
        <v>16631</v>
      </c>
    </row>
    <row r="197" spans="1:29" x14ac:dyDescent="0.2">
      <c r="A197" t="s">
        <v>4302</v>
      </c>
      <c r="B197" t="s">
        <v>3971</v>
      </c>
      <c r="C197" t="s">
        <v>7837</v>
      </c>
      <c r="D197">
        <v>32.200000000000003</v>
      </c>
      <c r="E197">
        <v>32.200000000000003</v>
      </c>
      <c r="F197" s="47">
        <v>0.73</v>
      </c>
      <c r="G197">
        <v>384</v>
      </c>
      <c r="H197">
        <v>100</v>
      </c>
      <c r="I197">
        <v>34436584</v>
      </c>
      <c r="K197" t="s">
        <v>4303</v>
      </c>
      <c r="L197" t="s">
        <v>4304</v>
      </c>
      <c r="M197" t="s">
        <v>7838</v>
      </c>
      <c r="N197">
        <v>34.200000000000003</v>
      </c>
      <c r="O197">
        <v>34.200000000000003</v>
      </c>
      <c r="P197" s="47">
        <v>0.77</v>
      </c>
      <c r="Q197">
        <v>97</v>
      </c>
      <c r="R197">
        <v>100</v>
      </c>
      <c r="S197">
        <v>2553</v>
      </c>
      <c r="U197" t="s">
        <v>4305</v>
      </c>
      <c r="V197" t="s">
        <v>4306</v>
      </c>
      <c r="W197" t="s">
        <v>7839</v>
      </c>
      <c r="X197">
        <v>36.200000000000003</v>
      </c>
      <c r="Y197">
        <v>36.200000000000003</v>
      </c>
      <c r="Z197" s="47">
        <v>0.69</v>
      </c>
      <c r="AA197">
        <v>61</v>
      </c>
      <c r="AB197">
        <v>100</v>
      </c>
      <c r="AC197">
        <v>2137</v>
      </c>
    </row>
    <row r="198" spans="1:29" x14ac:dyDescent="0.2">
      <c r="A198" t="s">
        <v>4307</v>
      </c>
      <c r="B198" t="s">
        <v>4039</v>
      </c>
      <c r="C198" t="s">
        <v>7840</v>
      </c>
      <c r="D198">
        <v>32.200000000000003</v>
      </c>
      <c r="E198">
        <v>32.200000000000003</v>
      </c>
      <c r="F198" s="47">
        <v>0.73</v>
      </c>
      <c r="G198">
        <v>384</v>
      </c>
      <c r="H198">
        <v>100</v>
      </c>
      <c r="I198">
        <v>21692</v>
      </c>
      <c r="K198" t="s">
        <v>4308</v>
      </c>
      <c r="L198" t="s">
        <v>4062</v>
      </c>
      <c r="M198" t="s">
        <v>7841</v>
      </c>
      <c r="N198">
        <v>34.200000000000003</v>
      </c>
      <c r="O198">
        <v>66.400000000000006</v>
      </c>
      <c r="P198" s="47">
        <v>0.77</v>
      </c>
      <c r="Q198">
        <v>97</v>
      </c>
      <c r="R198">
        <v>100</v>
      </c>
      <c r="S198">
        <v>45767126</v>
      </c>
      <c r="U198" t="s">
        <v>4309</v>
      </c>
      <c r="V198" t="s">
        <v>3833</v>
      </c>
      <c r="W198" t="s">
        <v>7842</v>
      </c>
      <c r="X198">
        <v>36.200000000000003</v>
      </c>
      <c r="Y198">
        <v>442</v>
      </c>
      <c r="Z198" s="47">
        <v>0.81</v>
      </c>
      <c r="AA198">
        <v>61</v>
      </c>
      <c r="AB198">
        <v>100</v>
      </c>
      <c r="AC198">
        <v>93074248</v>
      </c>
    </row>
    <row r="199" spans="1:29" x14ac:dyDescent="0.2">
      <c r="A199" t="s">
        <v>4140</v>
      </c>
      <c r="B199" t="s">
        <v>3787</v>
      </c>
      <c r="C199" t="s">
        <v>7843</v>
      </c>
      <c r="D199">
        <v>32.200000000000003</v>
      </c>
      <c r="E199">
        <v>32.200000000000003</v>
      </c>
      <c r="F199" s="47">
        <v>0.73</v>
      </c>
      <c r="G199">
        <v>384</v>
      </c>
      <c r="H199">
        <v>100</v>
      </c>
      <c r="I199">
        <v>86861732</v>
      </c>
      <c r="K199" t="s">
        <v>4310</v>
      </c>
      <c r="L199" t="s">
        <v>3813</v>
      </c>
      <c r="M199" t="s">
        <v>7844</v>
      </c>
      <c r="N199">
        <v>34.200000000000003</v>
      </c>
      <c r="O199">
        <v>34.200000000000003</v>
      </c>
      <c r="P199" s="47">
        <v>0.77</v>
      </c>
      <c r="Q199">
        <v>97</v>
      </c>
      <c r="R199">
        <v>100</v>
      </c>
      <c r="S199">
        <v>2302010</v>
      </c>
      <c r="U199" t="s">
        <v>4311</v>
      </c>
      <c r="V199" t="s">
        <v>3976</v>
      </c>
      <c r="W199" t="s">
        <v>7845</v>
      </c>
      <c r="X199">
        <v>36.200000000000003</v>
      </c>
      <c r="Y199">
        <v>36.200000000000003</v>
      </c>
      <c r="Z199" s="47">
        <v>0.69</v>
      </c>
      <c r="AA199">
        <v>61</v>
      </c>
      <c r="AB199">
        <v>100</v>
      </c>
      <c r="AC199">
        <v>16721</v>
      </c>
    </row>
    <row r="200" spans="1:29" x14ac:dyDescent="0.2">
      <c r="A200" t="s">
        <v>4312</v>
      </c>
      <c r="B200" t="s">
        <v>4313</v>
      </c>
      <c r="C200" t="s">
        <v>7846</v>
      </c>
      <c r="D200">
        <v>32.200000000000003</v>
      </c>
      <c r="E200">
        <v>32.200000000000003</v>
      </c>
      <c r="F200" s="47">
        <v>0.73</v>
      </c>
      <c r="G200">
        <v>384</v>
      </c>
      <c r="H200">
        <v>100</v>
      </c>
      <c r="I200">
        <v>5443</v>
      </c>
      <c r="K200" t="s">
        <v>4314</v>
      </c>
      <c r="L200" t="s">
        <v>4315</v>
      </c>
      <c r="M200" t="s">
        <v>7847</v>
      </c>
      <c r="N200">
        <v>34.200000000000003</v>
      </c>
      <c r="O200">
        <v>34.200000000000003</v>
      </c>
      <c r="P200" s="47">
        <v>0.77</v>
      </c>
      <c r="Q200">
        <v>97</v>
      </c>
      <c r="R200">
        <v>100</v>
      </c>
      <c r="S200">
        <v>2760</v>
      </c>
      <c r="U200" t="s">
        <v>4316</v>
      </c>
      <c r="V200" t="s">
        <v>4317</v>
      </c>
      <c r="W200" t="s">
        <v>7848</v>
      </c>
      <c r="X200">
        <v>36.200000000000003</v>
      </c>
      <c r="Y200">
        <v>36.200000000000003</v>
      </c>
      <c r="Z200" s="47">
        <v>0.69</v>
      </c>
      <c r="AA200">
        <v>61</v>
      </c>
      <c r="AB200">
        <v>100</v>
      </c>
      <c r="AC200">
        <v>1896</v>
      </c>
    </row>
    <row r="201" spans="1:29" x14ac:dyDescent="0.2">
      <c r="A201" t="s">
        <v>4318</v>
      </c>
      <c r="B201" t="s">
        <v>2545</v>
      </c>
      <c r="C201" t="s">
        <v>7849</v>
      </c>
      <c r="D201">
        <v>32.200000000000003</v>
      </c>
      <c r="E201">
        <v>32.200000000000003</v>
      </c>
      <c r="F201" s="47">
        <v>0.73</v>
      </c>
      <c r="G201">
        <v>384</v>
      </c>
      <c r="H201">
        <v>100</v>
      </c>
      <c r="I201">
        <v>2818</v>
      </c>
      <c r="K201" t="s">
        <v>4319</v>
      </c>
      <c r="L201" t="s">
        <v>4320</v>
      </c>
      <c r="M201" t="s">
        <v>7850</v>
      </c>
      <c r="N201">
        <v>34.200000000000003</v>
      </c>
      <c r="O201">
        <v>34.200000000000003</v>
      </c>
      <c r="P201" s="47">
        <v>0.77</v>
      </c>
      <c r="Q201">
        <v>97</v>
      </c>
      <c r="R201">
        <v>100</v>
      </c>
      <c r="S201">
        <v>4071977</v>
      </c>
      <c r="U201" t="s">
        <v>4321</v>
      </c>
      <c r="V201" t="s">
        <v>3684</v>
      </c>
      <c r="W201" t="s">
        <v>7851</v>
      </c>
      <c r="X201">
        <v>36.200000000000003</v>
      </c>
      <c r="Y201">
        <v>102</v>
      </c>
      <c r="Z201" s="47">
        <v>0.92</v>
      </c>
      <c r="AA201">
        <v>61</v>
      </c>
      <c r="AB201">
        <v>100</v>
      </c>
      <c r="AC201">
        <v>9504224</v>
      </c>
    </row>
    <row r="202" spans="1:29" x14ac:dyDescent="0.2">
      <c r="A202" t="s">
        <v>4322</v>
      </c>
      <c r="B202" t="s">
        <v>2272</v>
      </c>
      <c r="C202" t="s">
        <v>7852</v>
      </c>
      <c r="D202">
        <v>32.200000000000003</v>
      </c>
      <c r="E202">
        <v>32.200000000000003</v>
      </c>
      <c r="F202" s="47">
        <v>0.73</v>
      </c>
      <c r="G202">
        <v>384</v>
      </c>
      <c r="H202">
        <v>100</v>
      </c>
      <c r="I202">
        <v>3500</v>
      </c>
      <c r="K202" t="s">
        <v>4323</v>
      </c>
      <c r="L202" t="s">
        <v>4324</v>
      </c>
      <c r="M202" t="s">
        <v>7853</v>
      </c>
      <c r="N202">
        <v>34.200000000000003</v>
      </c>
      <c r="O202">
        <v>34.200000000000003</v>
      </c>
      <c r="P202" s="47">
        <v>0.77</v>
      </c>
      <c r="Q202">
        <v>97</v>
      </c>
      <c r="R202">
        <v>100</v>
      </c>
      <c r="S202">
        <v>2342</v>
      </c>
      <c r="U202" t="s">
        <v>4325</v>
      </c>
      <c r="V202" t="s">
        <v>4326</v>
      </c>
      <c r="W202" t="s">
        <v>7854</v>
      </c>
      <c r="X202">
        <v>36.200000000000003</v>
      </c>
      <c r="Y202">
        <v>36.200000000000003</v>
      </c>
      <c r="Z202" s="47">
        <v>0.69</v>
      </c>
      <c r="AA202">
        <v>61</v>
      </c>
      <c r="AB202">
        <v>100</v>
      </c>
      <c r="AC202">
        <v>545607</v>
      </c>
    </row>
    <row r="203" spans="1:29" x14ac:dyDescent="0.2">
      <c r="A203" t="s">
        <v>4327</v>
      </c>
      <c r="B203" t="s">
        <v>4328</v>
      </c>
      <c r="C203" t="s">
        <v>7855</v>
      </c>
      <c r="D203">
        <v>32.200000000000003</v>
      </c>
      <c r="E203">
        <v>32.200000000000003</v>
      </c>
      <c r="F203" s="47">
        <v>0.73</v>
      </c>
      <c r="G203">
        <v>384</v>
      </c>
      <c r="H203">
        <v>100</v>
      </c>
      <c r="I203">
        <v>2474</v>
      </c>
      <c r="K203" t="s">
        <v>4329</v>
      </c>
      <c r="L203" t="s">
        <v>4330</v>
      </c>
      <c r="M203" t="s">
        <v>7856</v>
      </c>
      <c r="N203">
        <v>34.200000000000003</v>
      </c>
      <c r="O203">
        <v>34.200000000000003</v>
      </c>
      <c r="P203" s="47">
        <v>0.77</v>
      </c>
      <c r="Q203">
        <v>97</v>
      </c>
      <c r="R203">
        <v>100</v>
      </c>
      <c r="S203">
        <v>3020</v>
      </c>
      <c r="U203" t="s">
        <v>4331</v>
      </c>
      <c r="V203" t="s">
        <v>4332</v>
      </c>
      <c r="W203" t="s">
        <v>7857</v>
      </c>
      <c r="X203">
        <v>36.200000000000003</v>
      </c>
      <c r="Y203">
        <v>36.200000000000003</v>
      </c>
      <c r="Z203" s="47">
        <v>0.69</v>
      </c>
      <c r="AA203">
        <v>61</v>
      </c>
      <c r="AB203">
        <v>100</v>
      </c>
      <c r="AC203">
        <v>4483</v>
      </c>
    </row>
    <row r="204" spans="1:29" x14ac:dyDescent="0.2">
      <c r="A204" t="s">
        <v>4333</v>
      </c>
      <c r="B204" t="s">
        <v>3336</v>
      </c>
      <c r="C204" t="s">
        <v>7858</v>
      </c>
      <c r="D204">
        <v>32.200000000000003</v>
      </c>
      <c r="E204">
        <v>32.200000000000003</v>
      </c>
      <c r="F204" s="47">
        <v>0.73</v>
      </c>
      <c r="G204">
        <v>384</v>
      </c>
      <c r="H204">
        <v>100</v>
      </c>
      <c r="I204">
        <v>16524</v>
      </c>
      <c r="K204" t="s">
        <v>4334</v>
      </c>
      <c r="L204" t="s">
        <v>4046</v>
      </c>
      <c r="M204" t="s">
        <v>7859</v>
      </c>
      <c r="N204">
        <v>34.200000000000003</v>
      </c>
      <c r="O204">
        <v>34.200000000000003</v>
      </c>
      <c r="P204" s="47">
        <v>0.77</v>
      </c>
      <c r="Q204">
        <v>97</v>
      </c>
      <c r="R204">
        <v>100</v>
      </c>
      <c r="S204">
        <v>2759957</v>
      </c>
      <c r="U204" t="s">
        <v>4335</v>
      </c>
      <c r="V204" t="s">
        <v>4336</v>
      </c>
      <c r="W204" t="s">
        <v>7860</v>
      </c>
      <c r="X204">
        <v>36.200000000000003</v>
      </c>
      <c r="Y204">
        <v>36.200000000000003</v>
      </c>
      <c r="Z204" s="47">
        <v>0.69</v>
      </c>
      <c r="AA204">
        <v>61</v>
      </c>
      <c r="AB204">
        <v>100</v>
      </c>
      <c r="AC204">
        <v>1360</v>
      </c>
    </row>
    <row r="205" spans="1:29" x14ac:dyDescent="0.2">
      <c r="A205" t="s">
        <v>4337</v>
      </c>
      <c r="B205" t="s">
        <v>4057</v>
      </c>
      <c r="C205" t="s">
        <v>7861</v>
      </c>
      <c r="D205">
        <v>32.200000000000003</v>
      </c>
      <c r="E205">
        <v>32.200000000000003</v>
      </c>
      <c r="F205" s="47">
        <v>0.73</v>
      </c>
      <c r="G205">
        <v>384</v>
      </c>
      <c r="H205">
        <v>100</v>
      </c>
      <c r="I205">
        <v>5710</v>
      </c>
      <c r="K205" t="s">
        <v>4338</v>
      </c>
      <c r="L205" t="s">
        <v>4339</v>
      </c>
      <c r="M205" t="s">
        <v>7862</v>
      </c>
      <c r="N205">
        <v>34.200000000000003</v>
      </c>
      <c r="O205">
        <v>34.200000000000003</v>
      </c>
      <c r="P205" s="47">
        <v>0.77</v>
      </c>
      <c r="Q205">
        <v>97</v>
      </c>
      <c r="R205">
        <v>100</v>
      </c>
      <c r="S205">
        <v>2758</v>
      </c>
      <c r="U205" t="s">
        <v>4340</v>
      </c>
      <c r="V205" t="s">
        <v>4042</v>
      </c>
      <c r="W205" t="s">
        <v>7863</v>
      </c>
      <c r="X205">
        <v>36.200000000000003</v>
      </c>
      <c r="Y205">
        <v>36.200000000000003</v>
      </c>
      <c r="Z205" s="47">
        <v>0.69</v>
      </c>
      <c r="AA205">
        <v>61</v>
      </c>
      <c r="AB205">
        <v>100</v>
      </c>
      <c r="AC205">
        <v>4426</v>
      </c>
    </row>
    <row r="206" spans="1:29" x14ac:dyDescent="0.2">
      <c r="A206" t="s">
        <v>4341</v>
      </c>
      <c r="B206" t="s">
        <v>4146</v>
      </c>
      <c r="C206" t="s">
        <v>7864</v>
      </c>
      <c r="D206">
        <v>32.200000000000003</v>
      </c>
      <c r="E206">
        <v>32.200000000000003</v>
      </c>
      <c r="F206" s="47">
        <v>0.73</v>
      </c>
      <c r="G206">
        <v>384</v>
      </c>
      <c r="H206">
        <v>100</v>
      </c>
      <c r="I206">
        <v>71364346</v>
      </c>
      <c r="K206" t="s">
        <v>4342</v>
      </c>
      <c r="L206" t="s">
        <v>3855</v>
      </c>
      <c r="M206" t="s">
        <v>7865</v>
      </c>
      <c r="N206">
        <v>34.200000000000003</v>
      </c>
      <c r="O206">
        <v>34.200000000000003</v>
      </c>
      <c r="P206" s="47">
        <v>0.77</v>
      </c>
      <c r="Q206">
        <v>97</v>
      </c>
      <c r="R206">
        <v>100</v>
      </c>
      <c r="S206">
        <v>3446583</v>
      </c>
      <c r="U206" t="s">
        <v>4343</v>
      </c>
      <c r="V206" t="s">
        <v>2045</v>
      </c>
      <c r="W206" t="s">
        <v>7866</v>
      </c>
      <c r="X206">
        <v>36.200000000000003</v>
      </c>
      <c r="Y206">
        <v>36.200000000000003</v>
      </c>
      <c r="Z206" s="47">
        <v>0.69</v>
      </c>
      <c r="AA206">
        <v>61</v>
      </c>
      <c r="AB206">
        <v>100</v>
      </c>
      <c r="AC206">
        <v>1539</v>
      </c>
    </row>
    <row r="207" spans="1:29" x14ac:dyDescent="0.2">
      <c r="A207" t="s">
        <v>4344</v>
      </c>
      <c r="B207" t="s">
        <v>4345</v>
      </c>
      <c r="C207" t="s">
        <v>7867</v>
      </c>
      <c r="D207">
        <v>32.200000000000003</v>
      </c>
      <c r="E207">
        <v>32.200000000000003</v>
      </c>
      <c r="F207" s="47">
        <v>0.73</v>
      </c>
      <c r="G207">
        <v>384</v>
      </c>
      <c r="H207">
        <v>100</v>
      </c>
      <c r="I207">
        <v>5131</v>
      </c>
      <c r="K207" t="s">
        <v>4346</v>
      </c>
      <c r="L207" t="s">
        <v>3826</v>
      </c>
      <c r="M207" t="s">
        <v>7868</v>
      </c>
      <c r="N207">
        <v>34.200000000000003</v>
      </c>
      <c r="O207">
        <v>66.400000000000006</v>
      </c>
      <c r="P207" s="47">
        <v>0.77</v>
      </c>
      <c r="Q207">
        <v>97</v>
      </c>
      <c r="R207">
        <v>100</v>
      </c>
      <c r="S207">
        <v>2689308</v>
      </c>
      <c r="U207" t="s">
        <v>4347</v>
      </c>
      <c r="V207" t="s">
        <v>4348</v>
      </c>
      <c r="W207" t="s">
        <v>7869</v>
      </c>
      <c r="X207">
        <v>36.200000000000003</v>
      </c>
      <c r="Y207">
        <v>36.200000000000003</v>
      </c>
      <c r="Z207" s="47">
        <v>0.69</v>
      </c>
      <c r="AA207">
        <v>61</v>
      </c>
      <c r="AB207">
        <v>100</v>
      </c>
      <c r="AC207">
        <v>1989</v>
      </c>
    </row>
    <row r="208" spans="1:29" x14ac:dyDescent="0.2">
      <c r="A208" t="s">
        <v>4349</v>
      </c>
      <c r="B208" t="s">
        <v>4207</v>
      </c>
      <c r="C208" t="s">
        <v>7870</v>
      </c>
      <c r="D208">
        <v>32.200000000000003</v>
      </c>
      <c r="E208">
        <v>32.200000000000003</v>
      </c>
      <c r="F208" s="47">
        <v>0.73</v>
      </c>
      <c r="G208">
        <v>384</v>
      </c>
      <c r="H208">
        <v>100</v>
      </c>
      <c r="I208">
        <v>87567566</v>
      </c>
      <c r="K208" t="s">
        <v>4350</v>
      </c>
      <c r="L208" t="s">
        <v>4266</v>
      </c>
      <c r="M208" t="s">
        <v>7871</v>
      </c>
      <c r="N208">
        <v>34.200000000000003</v>
      </c>
      <c r="O208">
        <v>34.200000000000003</v>
      </c>
      <c r="P208" s="47">
        <v>0.77</v>
      </c>
      <c r="Q208">
        <v>97</v>
      </c>
      <c r="R208">
        <v>100</v>
      </c>
      <c r="S208">
        <v>2554</v>
      </c>
      <c r="U208" t="s">
        <v>4351</v>
      </c>
      <c r="V208" t="s">
        <v>3815</v>
      </c>
      <c r="W208" t="s">
        <v>7872</v>
      </c>
      <c r="X208">
        <v>36.200000000000003</v>
      </c>
      <c r="Y208">
        <v>102</v>
      </c>
      <c r="Z208" s="47">
        <v>0.92</v>
      </c>
      <c r="AA208">
        <v>61</v>
      </c>
      <c r="AB208">
        <v>100</v>
      </c>
      <c r="AC208">
        <v>10190815</v>
      </c>
    </row>
    <row r="209" spans="1:29" x14ac:dyDescent="0.2">
      <c r="A209" t="s">
        <v>4352</v>
      </c>
      <c r="B209" t="s">
        <v>4353</v>
      </c>
      <c r="C209" t="s">
        <v>7873</v>
      </c>
      <c r="D209">
        <v>32.200000000000003</v>
      </c>
      <c r="E209">
        <v>32.200000000000003</v>
      </c>
      <c r="F209" s="47">
        <v>0.73</v>
      </c>
      <c r="G209">
        <v>384</v>
      </c>
      <c r="H209">
        <v>100</v>
      </c>
      <c r="I209">
        <v>2594</v>
      </c>
      <c r="K209" t="s">
        <v>4354</v>
      </c>
      <c r="L209" t="s">
        <v>3223</v>
      </c>
      <c r="M209" t="s">
        <v>7874</v>
      </c>
      <c r="N209">
        <v>34.200000000000003</v>
      </c>
      <c r="O209">
        <v>34.200000000000003</v>
      </c>
      <c r="P209" s="47">
        <v>0.77</v>
      </c>
      <c r="Q209">
        <v>97</v>
      </c>
      <c r="R209">
        <v>100</v>
      </c>
      <c r="S209">
        <v>29412213</v>
      </c>
      <c r="U209" t="s">
        <v>4355</v>
      </c>
      <c r="V209" t="s">
        <v>4356</v>
      </c>
      <c r="W209" t="s">
        <v>7875</v>
      </c>
      <c r="X209">
        <v>36.200000000000003</v>
      </c>
      <c r="Y209">
        <v>36.200000000000003</v>
      </c>
      <c r="Z209" s="47">
        <v>0.69</v>
      </c>
      <c r="AA209">
        <v>61</v>
      </c>
      <c r="AB209">
        <v>100</v>
      </c>
      <c r="AC209">
        <v>4537</v>
      </c>
    </row>
    <row r="210" spans="1:29" x14ac:dyDescent="0.2">
      <c r="A210" t="s">
        <v>4357</v>
      </c>
      <c r="B210" t="s">
        <v>4187</v>
      </c>
      <c r="C210" t="s">
        <v>7876</v>
      </c>
      <c r="D210">
        <v>32.200000000000003</v>
      </c>
      <c r="E210">
        <v>32.200000000000003</v>
      </c>
      <c r="F210" s="47">
        <v>0.73</v>
      </c>
      <c r="G210">
        <v>384</v>
      </c>
      <c r="H210">
        <v>100</v>
      </c>
      <c r="I210">
        <v>1017</v>
      </c>
      <c r="K210" t="s">
        <v>4358</v>
      </c>
      <c r="L210" t="s">
        <v>4359</v>
      </c>
      <c r="M210" t="s">
        <v>7877</v>
      </c>
      <c r="N210">
        <v>34.200000000000003</v>
      </c>
      <c r="O210">
        <v>34.200000000000003</v>
      </c>
      <c r="P210" s="47">
        <v>0.77</v>
      </c>
      <c r="Q210">
        <v>97</v>
      </c>
      <c r="R210">
        <v>100</v>
      </c>
      <c r="S210">
        <v>2314843</v>
      </c>
      <c r="U210" t="s">
        <v>4360</v>
      </c>
      <c r="V210" t="s">
        <v>4210</v>
      </c>
      <c r="W210" t="s">
        <v>7878</v>
      </c>
      <c r="X210">
        <v>36.200000000000003</v>
      </c>
      <c r="Y210">
        <v>36.200000000000003</v>
      </c>
      <c r="Z210" s="47">
        <v>0.69</v>
      </c>
      <c r="AA210">
        <v>61</v>
      </c>
      <c r="AB210">
        <v>100</v>
      </c>
      <c r="AC210">
        <v>15521</v>
      </c>
    </row>
    <row r="211" spans="1:29" x14ac:dyDescent="0.2">
      <c r="A211" t="s">
        <v>4361</v>
      </c>
      <c r="B211" t="s">
        <v>4362</v>
      </c>
      <c r="C211" t="s">
        <v>7879</v>
      </c>
      <c r="D211">
        <v>32.200000000000003</v>
      </c>
      <c r="E211">
        <v>32.200000000000003</v>
      </c>
      <c r="F211" s="47">
        <v>0.73</v>
      </c>
      <c r="G211">
        <v>384</v>
      </c>
      <c r="H211">
        <v>100</v>
      </c>
      <c r="I211">
        <v>1384</v>
      </c>
      <c r="K211" t="s">
        <v>4363</v>
      </c>
      <c r="L211" t="s">
        <v>4228</v>
      </c>
      <c r="M211" t="s">
        <v>7880</v>
      </c>
      <c r="N211">
        <v>34.200000000000003</v>
      </c>
      <c r="O211">
        <v>34.200000000000003</v>
      </c>
      <c r="P211" s="47">
        <v>0.77</v>
      </c>
      <c r="Q211">
        <v>97</v>
      </c>
      <c r="R211">
        <v>100</v>
      </c>
      <c r="S211">
        <v>2763</v>
      </c>
      <c r="U211" t="s">
        <v>4364</v>
      </c>
      <c r="V211" t="s">
        <v>4249</v>
      </c>
      <c r="W211" t="s">
        <v>7881</v>
      </c>
      <c r="X211">
        <v>36.200000000000003</v>
      </c>
      <c r="Y211">
        <v>36.200000000000003</v>
      </c>
      <c r="Z211" s="47">
        <v>0.69</v>
      </c>
      <c r="AA211">
        <v>61</v>
      </c>
      <c r="AB211">
        <v>100</v>
      </c>
      <c r="AC211">
        <v>5258</v>
      </c>
    </row>
    <row r="212" spans="1:29" x14ac:dyDescent="0.2">
      <c r="A212" t="s">
        <v>4365</v>
      </c>
      <c r="B212" t="s">
        <v>4345</v>
      </c>
      <c r="C212" t="s">
        <v>7882</v>
      </c>
      <c r="D212">
        <v>32.200000000000003</v>
      </c>
      <c r="E212">
        <v>32.200000000000003</v>
      </c>
      <c r="F212" s="47">
        <v>0.73</v>
      </c>
      <c r="G212">
        <v>384</v>
      </c>
      <c r="H212">
        <v>100</v>
      </c>
      <c r="I212">
        <v>5080</v>
      </c>
      <c r="K212" s="46" t="s">
        <v>3550</v>
      </c>
      <c r="L212" s="46" t="s">
        <v>26</v>
      </c>
      <c r="M212" t="s">
        <v>7836</v>
      </c>
      <c r="N212">
        <v>34.200000000000003</v>
      </c>
      <c r="O212">
        <v>34.200000000000003</v>
      </c>
      <c r="P212" s="47">
        <v>0.95</v>
      </c>
      <c r="Q212">
        <v>97</v>
      </c>
      <c r="R212">
        <v>95.24</v>
      </c>
      <c r="S212">
        <v>16631</v>
      </c>
      <c r="U212" t="s">
        <v>4366</v>
      </c>
      <c r="V212" t="s">
        <v>4367</v>
      </c>
      <c r="W212" t="s">
        <v>7883</v>
      </c>
      <c r="X212">
        <v>36.200000000000003</v>
      </c>
      <c r="Y212">
        <v>36.200000000000003</v>
      </c>
      <c r="Z212" s="47">
        <v>0.85</v>
      </c>
      <c r="AA212">
        <v>61</v>
      </c>
      <c r="AB212">
        <v>95.45</v>
      </c>
      <c r="AC212">
        <v>3792</v>
      </c>
    </row>
    <row r="213" spans="1:29" x14ac:dyDescent="0.2">
      <c r="A213" t="s">
        <v>4368</v>
      </c>
      <c r="B213" t="s">
        <v>4039</v>
      </c>
      <c r="C213" t="s">
        <v>7884</v>
      </c>
      <c r="D213">
        <v>32.200000000000003</v>
      </c>
      <c r="E213">
        <v>32.200000000000003</v>
      </c>
      <c r="F213" s="47">
        <v>0.73</v>
      </c>
      <c r="G213">
        <v>384</v>
      </c>
      <c r="H213">
        <v>100</v>
      </c>
      <c r="I213">
        <v>21338</v>
      </c>
      <c r="K213" t="s">
        <v>4369</v>
      </c>
      <c r="L213" t="s">
        <v>3855</v>
      </c>
      <c r="M213" t="s">
        <v>7885</v>
      </c>
      <c r="N213">
        <v>34.200000000000003</v>
      </c>
      <c r="O213">
        <v>34.200000000000003</v>
      </c>
      <c r="P213" s="47">
        <v>0.77</v>
      </c>
      <c r="Q213">
        <v>97</v>
      </c>
      <c r="R213">
        <v>100</v>
      </c>
      <c r="S213">
        <v>2880698</v>
      </c>
      <c r="U213" t="s">
        <v>4370</v>
      </c>
      <c r="V213" t="s">
        <v>4371</v>
      </c>
      <c r="W213" t="s">
        <v>7886</v>
      </c>
      <c r="X213">
        <v>36.200000000000003</v>
      </c>
      <c r="Y213">
        <v>36.200000000000003</v>
      </c>
      <c r="Z213" s="47">
        <v>0.69</v>
      </c>
      <c r="AA213">
        <v>61</v>
      </c>
      <c r="AB213">
        <v>100</v>
      </c>
      <c r="AC213">
        <v>2595</v>
      </c>
    </row>
    <row r="214" spans="1:29" x14ac:dyDescent="0.2">
      <c r="A214" t="s">
        <v>4372</v>
      </c>
      <c r="B214" t="s">
        <v>4373</v>
      </c>
      <c r="C214" t="s">
        <v>7887</v>
      </c>
      <c r="D214">
        <v>32.200000000000003</v>
      </c>
      <c r="E214">
        <v>32.200000000000003</v>
      </c>
      <c r="F214" s="47">
        <v>0.91</v>
      </c>
      <c r="G214">
        <v>384</v>
      </c>
      <c r="H214">
        <v>95</v>
      </c>
      <c r="I214">
        <v>4343646</v>
      </c>
      <c r="K214" t="s">
        <v>4374</v>
      </c>
      <c r="L214" t="s">
        <v>4375</v>
      </c>
      <c r="M214" t="s">
        <v>7888</v>
      </c>
      <c r="N214">
        <v>34.200000000000003</v>
      </c>
      <c r="O214">
        <v>34.200000000000003</v>
      </c>
      <c r="P214" s="47">
        <v>0.77</v>
      </c>
      <c r="Q214">
        <v>97</v>
      </c>
      <c r="R214">
        <v>100</v>
      </c>
      <c r="S214">
        <v>3038</v>
      </c>
      <c r="U214" t="s">
        <v>4376</v>
      </c>
      <c r="V214" t="s">
        <v>4377</v>
      </c>
      <c r="W214" t="s">
        <v>7889</v>
      </c>
      <c r="X214">
        <v>36.200000000000003</v>
      </c>
      <c r="Y214">
        <v>36.200000000000003</v>
      </c>
      <c r="Z214" s="47">
        <v>0.69</v>
      </c>
      <c r="AA214">
        <v>61</v>
      </c>
      <c r="AB214">
        <v>100</v>
      </c>
      <c r="AC214">
        <v>1641</v>
      </c>
    </row>
    <row r="215" spans="1:29" x14ac:dyDescent="0.2">
      <c r="A215" t="s">
        <v>4378</v>
      </c>
      <c r="B215" t="s">
        <v>1594</v>
      </c>
      <c r="C215" t="s">
        <v>7890</v>
      </c>
      <c r="D215">
        <v>32.200000000000003</v>
      </c>
      <c r="E215">
        <v>32.200000000000003</v>
      </c>
      <c r="F215" s="47">
        <v>0.91</v>
      </c>
      <c r="G215">
        <v>384</v>
      </c>
      <c r="H215">
        <v>95</v>
      </c>
      <c r="I215">
        <v>16771</v>
      </c>
      <c r="K215" t="s">
        <v>4379</v>
      </c>
      <c r="L215" t="s">
        <v>4081</v>
      </c>
      <c r="M215" t="s">
        <v>7891</v>
      </c>
      <c r="N215">
        <v>34.200000000000003</v>
      </c>
      <c r="O215">
        <v>34.200000000000003</v>
      </c>
      <c r="P215" s="47">
        <v>0.77</v>
      </c>
      <c r="Q215">
        <v>97</v>
      </c>
      <c r="R215">
        <v>100</v>
      </c>
      <c r="S215">
        <v>1568</v>
      </c>
      <c r="U215" t="s">
        <v>4380</v>
      </c>
      <c r="V215" t="s">
        <v>4381</v>
      </c>
      <c r="W215" t="s">
        <v>7892</v>
      </c>
      <c r="X215">
        <v>36.200000000000003</v>
      </c>
      <c r="Y215">
        <v>36.200000000000003</v>
      </c>
      <c r="Z215" s="47">
        <v>0.69</v>
      </c>
      <c r="AA215">
        <v>61</v>
      </c>
      <c r="AB215">
        <v>100</v>
      </c>
      <c r="AC215">
        <v>86158159</v>
      </c>
    </row>
    <row r="216" spans="1:29" x14ac:dyDescent="0.2">
      <c r="A216" t="s">
        <v>4382</v>
      </c>
      <c r="B216" t="s">
        <v>4187</v>
      </c>
      <c r="C216" t="s">
        <v>7893</v>
      </c>
      <c r="D216">
        <v>32.200000000000003</v>
      </c>
      <c r="E216">
        <v>32.200000000000003</v>
      </c>
      <c r="F216" s="47">
        <v>0.73</v>
      </c>
      <c r="G216">
        <v>384</v>
      </c>
      <c r="H216">
        <v>100</v>
      </c>
      <c r="I216">
        <v>1047</v>
      </c>
      <c r="K216" t="s">
        <v>4383</v>
      </c>
      <c r="L216" t="s">
        <v>2874</v>
      </c>
      <c r="M216" t="s">
        <v>7894</v>
      </c>
      <c r="N216">
        <v>34.200000000000003</v>
      </c>
      <c r="O216">
        <v>34.200000000000003</v>
      </c>
      <c r="P216" s="47">
        <v>0.95</v>
      </c>
      <c r="Q216">
        <v>97</v>
      </c>
      <c r="R216">
        <v>95.24</v>
      </c>
      <c r="S216">
        <v>16587</v>
      </c>
      <c r="U216" t="s">
        <v>4384</v>
      </c>
      <c r="V216" t="s">
        <v>3815</v>
      </c>
      <c r="W216" t="s">
        <v>7895</v>
      </c>
      <c r="X216">
        <v>36.200000000000003</v>
      </c>
      <c r="Y216">
        <v>36.200000000000003</v>
      </c>
      <c r="Z216" s="47">
        <v>0.69</v>
      </c>
      <c r="AA216">
        <v>61</v>
      </c>
      <c r="AB216">
        <v>100</v>
      </c>
      <c r="AC216">
        <v>3977594</v>
      </c>
    </row>
    <row r="217" spans="1:29" x14ac:dyDescent="0.2">
      <c r="A217" t="s">
        <v>4385</v>
      </c>
      <c r="B217" t="s">
        <v>4070</v>
      </c>
      <c r="C217" t="s">
        <v>7896</v>
      </c>
      <c r="D217">
        <v>32.200000000000003</v>
      </c>
      <c r="E217">
        <v>32.200000000000003</v>
      </c>
      <c r="F217" s="47">
        <v>0.73</v>
      </c>
      <c r="G217">
        <v>384</v>
      </c>
      <c r="H217">
        <v>100</v>
      </c>
      <c r="I217">
        <v>2538</v>
      </c>
      <c r="K217" t="s">
        <v>4386</v>
      </c>
      <c r="L217" t="s">
        <v>3821</v>
      </c>
      <c r="M217" t="s">
        <v>7897</v>
      </c>
      <c r="N217">
        <v>34.200000000000003</v>
      </c>
      <c r="O217">
        <v>66.400000000000006</v>
      </c>
      <c r="P217" s="47">
        <v>0.77</v>
      </c>
      <c r="Q217">
        <v>97</v>
      </c>
      <c r="R217">
        <v>100</v>
      </c>
      <c r="S217">
        <v>2283939</v>
      </c>
      <c r="U217" t="s">
        <v>4387</v>
      </c>
      <c r="V217" t="s">
        <v>4388</v>
      </c>
      <c r="W217" t="s">
        <v>7898</v>
      </c>
      <c r="X217">
        <v>36.200000000000003</v>
      </c>
      <c r="Y217">
        <v>36.200000000000003</v>
      </c>
      <c r="Z217" s="47">
        <v>0.69</v>
      </c>
      <c r="AA217">
        <v>61</v>
      </c>
      <c r="AB217">
        <v>100</v>
      </c>
      <c r="AC217">
        <v>2133</v>
      </c>
    </row>
    <row r="218" spans="1:29" x14ac:dyDescent="0.2">
      <c r="A218" t="s">
        <v>4389</v>
      </c>
      <c r="B218" t="s">
        <v>3833</v>
      </c>
      <c r="C218" t="s">
        <v>7899</v>
      </c>
      <c r="D218">
        <v>32.200000000000003</v>
      </c>
      <c r="E218">
        <v>32.200000000000003</v>
      </c>
      <c r="F218" s="47">
        <v>0.73</v>
      </c>
      <c r="G218">
        <v>384</v>
      </c>
      <c r="H218">
        <v>100</v>
      </c>
      <c r="I218">
        <v>40822896</v>
      </c>
      <c r="K218" t="s">
        <v>4390</v>
      </c>
      <c r="L218" t="s">
        <v>4294</v>
      </c>
      <c r="M218" t="s">
        <v>7900</v>
      </c>
      <c r="N218">
        <v>34.200000000000003</v>
      </c>
      <c r="O218">
        <v>34.200000000000003</v>
      </c>
      <c r="P218" s="47">
        <v>0.77</v>
      </c>
      <c r="Q218">
        <v>97</v>
      </c>
      <c r="R218">
        <v>100</v>
      </c>
      <c r="S218">
        <v>1955</v>
      </c>
      <c r="U218" t="s">
        <v>4391</v>
      </c>
      <c r="V218" t="s">
        <v>4392</v>
      </c>
      <c r="W218" t="s">
        <v>7901</v>
      </c>
      <c r="X218">
        <v>36.200000000000003</v>
      </c>
      <c r="Y218">
        <v>68.400000000000006</v>
      </c>
      <c r="Z218" s="47">
        <v>0.69</v>
      </c>
      <c r="AA218">
        <v>61</v>
      </c>
      <c r="AB218">
        <v>100</v>
      </c>
      <c r="AC218">
        <v>5518467</v>
      </c>
    </row>
    <row r="219" spans="1:29" x14ac:dyDescent="0.2">
      <c r="A219" t="s">
        <v>4393</v>
      </c>
      <c r="B219" t="s">
        <v>4394</v>
      </c>
      <c r="C219" t="s">
        <v>7902</v>
      </c>
      <c r="D219">
        <v>32.200000000000003</v>
      </c>
      <c r="E219">
        <v>32.200000000000003</v>
      </c>
      <c r="F219" s="47">
        <v>0.73</v>
      </c>
      <c r="G219">
        <v>384</v>
      </c>
      <c r="H219">
        <v>100</v>
      </c>
      <c r="I219">
        <v>5313</v>
      </c>
      <c r="K219" t="s">
        <v>3961</v>
      </c>
      <c r="L219" t="s">
        <v>3962</v>
      </c>
      <c r="M219" t="s">
        <v>7903</v>
      </c>
      <c r="N219">
        <v>34.200000000000003</v>
      </c>
      <c r="O219">
        <v>34.200000000000003</v>
      </c>
      <c r="P219" s="47">
        <v>0.77</v>
      </c>
      <c r="Q219">
        <v>97</v>
      </c>
      <c r="R219">
        <v>100</v>
      </c>
      <c r="S219">
        <v>174597</v>
      </c>
      <c r="U219" t="s">
        <v>4395</v>
      </c>
      <c r="V219" t="s">
        <v>4396</v>
      </c>
      <c r="W219" t="s">
        <v>7904</v>
      </c>
      <c r="X219">
        <v>36.200000000000003</v>
      </c>
      <c r="Y219">
        <v>36.200000000000003</v>
      </c>
      <c r="Z219" s="47">
        <v>0.69</v>
      </c>
      <c r="AA219">
        <v>61</v>
      </c>
      <c r="AB219">
        <v>100</v>
      </c>
      <c r="AC219">
        <v>771</v>
      </c>
    </row>
    <row r="220" spans="1:29" x14ac:dyDescent="0.2">
      <c r="A220" t="s">
        <v>4397</v>
      </c>
      <c r="B220" t="s">
        <v>4398</v>
      </c>
      <c r="C220" t="s">
        <v>7905</v>
      </c>
      <c r="D220">
        <v>32.200000000000003</v>
      </c>
      <c r="E220">
        <v>32.200000000000003</v>
      </c>
      <c r="F220" s="47">
        <v>0.91</v>
      </c>
      <c r="G220">
        <v>384</v>
      </c>
      <c r="H220">
        <v>95</v>
      </c>
      <c r="I220">
        <v>63295100</v>
      </c>
      <c r="K220" t="s">
        <v>4399</v>
      </c>
      <c r="L220" t="s">
        <v>4046</v>
      </c>
      <c r="M220" t="s">
        <v>7906</v>
      </c>
      <c r="N220">
        <v>34.200000000000003</v>
      </c>
      <c r="O220">
        <v>34.200000000000003</v>
      </c>
      <c r="P220" s="47">
        <v>0.77</v>
      </c>
      <c r="Q220">
        <v>97</v>
      </c>
      <c r="R220">
        <v>100</v>
      </c>
      <c r="S220">
        <v>2791411</v>
      </c>
      <c r="U220" t="s">
        <v>4400</v>
      </c>
      <c r="V220" t="s">
        <v>4401</v>
      </c>
      <c r="W220" t="s">
        <v>7907</v>
      </c>
      <c r="X220">
        <v>36.200000000000003</v>
      </c>
      <c r="Y220">
        <v>36.200000000000003</v>
      </c>
      <c r="Z220" s="47">
        <v>0.69</v>
      </c>
      <c r="AA220">
        <v>61</v>
      </c>
      <c r="AB220">
        <v>100</v>
      </c>
      <c r="AC220">
        <v>5798</v>
      </c>
    </row>
    <row r="221" spans="1:29" x14ac:dyDescent="0.2">
      <c r="A221" t="s">
        <v>4402</v>
      </c>
      <c r="B221" t="s">
        <v>4039</v>
      </c>
      <c r="C221" t="s">
        <v>7908</v>
      </c>
      <c r="D221">
        <v>32.200000000000003</v>
      </c>
      <c r="E221">
        <v>32.200000000000003</v>
      </c>
      <c r="F221" s="47">
        <v>0.73</v>
      </c>
      <c r="G221">
        <v>384</v>
      </c>
      <c r="H221">
        <v>100</v>
      </c>
      <c r="I221">
        <v>21677</v>
      </c>
      <c r="K221" t="s">
        <v>4403</v>
      </c>
      <c r="L221" t="s">
        <v>4404</v>
      </c>
      <c r="M221" t="s">
        <v>7909</v>
      </c>
      <c r="N221">
        <v>34.200000000000003</v>
      </c>
      <c r="O221">
        <v>34.200000000000003</v>
      </c>
      <c r="P221" s="47">
        <v>0.77</v>
      </c>
      <c r="Q221">
        <v>97</v>
      </c>
      <c r="R221">
        <v>100</v>
      </c>
      <c r="S221">
        <v>4005617</v>
      </c>
      <c r="U221" t="s">
        <v>4047</v>
      </c>
      <c r="V221" t="s">
        <v>4048</v>
      </c>
      <c r="W221" t="s">
        <v>7910</v>
      </c>
      <c r="X221">
        <v>36.200000000000003</v>
      </c>
      <c r="Y221">
        <v>72.400000000000006</v>
      </c>
      <c r="Z221" s="47">
        <v>0.69</v>
      </c>
      <c r="AA221">
        <v>61</v>
      </c>
      <c r="AB221">
        <v>100</v>
      </c>
      <c r="AC221">
        <v>10993372</v>
      </c>
    </row>
    <row r="222" spans="1:29" x14ac:dyDescent="0.2">
      <c r="A222" t="s">
        <v>4405</v>
      </c>
      <c r="B222" t="s">
        <v>4057</v>
      </c>
      <c r="C222" t="s">
        <v>7911</v>
      </c>
      <c r="D222">
        <v>32.200000000000003</v>
      </c>
      <c r="E222">
        <v>32.200000000000003</v>
      </c>
      <c r="F222" s="47">
        <v>0.73</v>
      </c>
      <c r="G222">
        <v>384</v>
      </c>
      <c r="H222">
        <v>100</v>
      </c>
      <c r="I222">
        <v>5812</v>
      </c>
      <c r="K222" t="s">
        <v>4406</v>
      </c>
      <c r="L222" t="s">
        <v>4081</v>
      </c>
      <c r="M222" t="s">
        <v>7912</v>
      </c>
      <c r="N222">
        <v>34.200000000000003</v>
      </c>
      <c r="O222">
        <v>34.200000000000003</v>
      </c>
      <c r="P222" s="47">
        <v>0.77</v>
      </c>
      <c r="Q222">
        <v>97</v>
      </c>
      <c r="R222">
        <v>100</v>
      </c>
      <c r="S222">
        <v>1801</v>
      </c>
      <c r="U222" t="s">
        <v>4407</v>
      </c>
      <c r="V222" t="s">
        <v>4408</v>
      </c>
      <c r="W222" t="s">
        <v>6939</v>
      </c>
      <c r="X222">
        <v>36.200000000000003</v>
      </c>
      <c r="Y222">
        <v>36.200000000000003</v>
      </c>
      <c r="Z222" s="47">
        <v>0.85</v>
      </c>
      <c r="AA222">
        <v>61</v>
      </c>
      <c r="AB222">
        <v>95.45</v>
      </c>
      <c r="AC222">
        <v>16556</v>
      </c>
    </row>
    <row r="223" spans="1:29" x14ac:dyDescent="0.2">
      <c r="A223" t="s">
        <v>4409</v>
      </c>
      <c r="B223" t="s">
        <v>4410</v>
      </c>
      <c r="C223" t="s">
        <v>7913</v>
      </c>
      <c r="D223">
        <v>32.200000000000003</v>
      </c>
      <c r="E223">
        <v>32.200000000000003</v>
      </c>
      <c r="F223" s="47">
        <v>0.73</v>
      </c>
      <c r="G223">
        <v>384</v>
      </c>
      <c r="H223">
        <v>100</v>
      </c>
      <c r="I223">
        <v>92661278</v>
      </c>
      <c r="K223" t="s">
        <v>3961</v>
      </c>
      <c r="L223" t="s">
        <v>3962</v>
      </c>
      <c r="M223" t="s">
        <v>7914</v>
      </c>
      <c r="N223">
        <v>34.200000000000003</v>
      </c>
      <c r="O223">
        <v>34.200000000000003</v>
      </c>
      <c r="P223" s="47">
        <v>0.77</v>
      </c>
      <c r="Q223">
        <v>97</v>
      </c>
      <c r="R223">
        <v>100</v>
      </c>
      <c r="S223">
        <v>68103</v>
      </c>
      <c r="U223" t="s">
        <v>4411</v>
      </c>
      <c r="V223" t="s">
        <v>4412</v>
      </c>
      <c r="W223" t="s">
        <v>7915</v>
      </c>
      <c r="X223">
        <v>36.200000000000003</v>
      </c>
      <c r="Y223">
        <v>36.200000000000003</v>
      </c>
      <c r="Z223" s="47">
        <v>0.69</v>
      </c>
      <c r="AA223">
        <v>61</v>
      </c>
      <c r="AB223">
        <v>100</v>
      </c>
      <c r="AC223">
        <v>1279098</v>
      </c>
    </row>
    <row r="224" spans="1:29" x14ac:dyDescent="0.2">
      <c r="A224" t="s">
        <v>3996</v>
      </c>
      <c r="B224" t="s">
        <v>3997</v>
      </c>
      <c r="C224" t="s">
        <v>7641</v>
      </c>
      <c r="D224">
        <v>32.200000000000003</v>
      </c>
      <c r="E224">
        <v>32.200000000000003</v>
      </c>
      <c r="F224" s="47">
        <v>0.73</v>
      </c>
      <c r="G224">
        <v>384</v>
      </c>
      <c r="H224">
        <v>100</v>
      </c>
      <c r="I224">
        <v>3681188</v>
      </c>
      <c r="K224" t="s">
        <v>4413</v>
      </c>
      <c r="L224" t="s">
        <v>4414</v>
      </c>
      <c r="M224" t="s">
        <v>7916</v>
      </c>
      <c r="N224">
        <v>34.200000000000003</v>
      </c>
      <c r="O224">
        <v>34.200000000000003</v>
      </c>
      <c r="P224" s="47">
        <v>0.77</v>
      </c>
      <c r="Q224">
        <v>97</v>
      </c>
      <c r="R224">
        <v>100</v>
      </c>
      <c r="S224">
        <v>3560455</v>
      </c>
      <c r="U224" t="s">
        <v>4180</v>
      </c>
      <c r="V224" t="s">
        <v>4181</v>
      </c>
      <c r="W224" t="s">
        <v>7917</v>
      </c>
      <c r="X224">
        <v>36.200000000000003</v>
      </c>
      <c r="Y224">
        <v>36.200000000000003</v>
      </c>
      <c r="Z224" s="47">
        <v>0.69</v>
      </c>
      <c r="AA224">
        <v>61</v>
      </c>
      <c r="AB224">
        <v>100</v>
      </c>
      <c r="AC224">
        <v>77890538</v>
      </c>
    </row>
    <row r="225" spans="1:29" x14ac:dyDescent="0.2">
      <c r="A225" t="s">
        <v>4415</v>
      </c>
      <c r="B225" t="s">
        <v>4416</v>
      </c>
      <c r="C225" t="s">
        <v>7918</v>
      </c>
      <c r="D225">
        <v>32.200000000000003</v>
      </c>
      <c r="E225">
        <v>32.200000000000003</v>
      </c>
      <c r="F225" s="47">
        <v>0.73</v>
      </c>
      <c r="G225">
        <v>384</v>
      </c>
      <c r="H225">
        <v>100</v>
      </c>
      <c r="I225">
        <v>15752</v>
      </c>
      <c r="K225" t="s">
        <v>4417</v>
      </c>
      <c r="L225" t="s">
        <v>4115</v>
      </c>
      <c r="M225" t="s">
        <v>7919</v>
      </c>
      <c r="N225">
        <v>34.200000000000003</v>
      </c>
      <c r="O225">
        <v>34.200000000000003</v>
      </c>
      <c r="P225" s="47">
        <v>0.77</v>
      </c>
      <c r="Q225">
        <v>97</v>
      </c>
      <c r="R225">
        <v>100</v>
      </c>
      <c r="S225">
        <v>21946221</v>
      </c>
      <c r="U225" t="s">
        <v>4418</v>
      </c>
      <c r="V225" t="s">
        <v>4419</v>
      </c>
      <c r="W225" t="s">
        <v>7920</v>
      </c>
      <c r="X225">
        <v>36.200000000000003</v>
      </c>
      <c r="Y225">
        <v>36.200000000000003</v>
      </c>
      <c r="Z225" s="47">
        <v>0.69</v>
      </c>
      <c r="AA225">
        <v>61</v>
      </c>
      <c r="AB225">
        <v>100</v>
      </c>
      <c r="AC225">
        <v>1036854</v>
      </c>
    </row>
    <row r="226" spans="1:29" x14ac:dyDescent="0.2">
      <c r="A226" t="s">
        <v>4176</v>
      </c>
      <c r="B226" t="s">
        <v>4177</v>
      </c>
      <c r="C226" t="s">
        <v>7921</v>
      </c>
      <c r="D226">
        <v>32.200000000000003</v>
      </c>
      <c r="E226">
        <v>32.200000000000003</v>
      </c>
      <c r="F226" s="47">
        <v>0.73</v>
      </c>
      <c r="G226">
        <v>384</v>
      </c>
      <c r="H226">
        <v>100</v>
      </c>
      <c r="I226">
        <v>7151467</v>
      </c>
      <c r="K226" t="s">
        <v>4420</v>
      </c>
      <c r="L226" t="s">
        <v>4294</v>
      </c>
      <c r="M226" t="s">
        <v>7922</v>
      </c>
      <c r="N226">
        <v>34.200000000000003</v>
      </c>
      <c r="O226">
        <v>34.200000000000003</v>
      </c>
      <c r="P226" s="47">
        <v>0.77</v>
      </c>
      <c r="Q226">
        <v>97</v>
      </c>
      <c r="R226">
        <v>100</v>
      </c>
      <c r="S226">
        <v>1767</v>
      </c>
      <c r="U226" t="s">
        <v>4421</v>
      </c>
      <c r="V226" t="s">
        <v>4422</v>
      </c>
      <c r="W226" t="s">
        <v>7923</v>
      </c>
      <c r="X226">
        <v>36.200000000000003</v>
      </c>
      <c r="Y226">
        <v>36.200000000000003</v>
      </c>
      <c r="Z226" s="47">
        <v>0.85</v>
      </c>
      <c r="AA226">
        <v>61</v>
      </c>
      <c r="AB226">
        <v>95.45</v>
      </c>
      <c r="AC226">
        <v>519</v>
      </c>
    </row>
    <row r="227" spans="1:29" x14ac:dyDescent="0.2">
      <c r="A227" t="s">
        <v>4423</v>
      </c>
      <c r="B227" t="s">
        <v>4053</v>
      </c>
      <c r="C227" t="s">
        <v>7924</v>
      </c>
      <c r="D227">
        <v>32.200000000000003</v>
      </c>
      <c r="E227">
        <v>32.200000000000003</v>
      </c>
      <c r="F227" s="47">
        <v>0.73</v>
      </c>
      <c r="G227">
        <v>384</v>
      </c>
      <c r="H227">
        <v>100</v>
      </c>
      <c r="I227">
        <v>11247</v>
      </c>
      <c r="K227" t="s">
        <v>4424</v>
      </c>
      <c r="L227" t="s">
        <v>2199</v>
      </c>
      <c r="M227" t="s">
        <v>7925</v>
      </c>
      <c r="N227">
        <v>34.200000000000003</v>
      </c>
      <c r="O227">
        <v>34.200000000000003</v>
      </c>
      <c r="P227" s="47">
        <v>0.95</v>
      </c>
      <c r="Q227">
        <v>97</v>
      </c>
      <c r="R227">
        <v>95.24</v>
      </c>
      <c r="S227">
        <v>16626</v>
      </c>
      <c r="U227" t="s">
        <v>4425</v>
      </c>
      <c r="V227" t="s">
        <v>4426</v>
      </c>
      <c r="W227" t="s">
        <v>7926</v>
      </c>
      <c r="X227">
        <v>36.200000000000003</v>
      </c>
      <c r="Y227">
        <v>36.200000000000003</v>
      </c>
      <c r="Z227" s="47">
        <v>0.85</v>
      </c>
      <c r="AA227">
        <v>61</v>
      </c>
      <c r="AB227">
        <v>95.45</v>
      </c>
      <c r="AC227">
        <v>3346</v>
      </c>
    </row>
    <row r="228" spans="1:29" x14ac:dyDescent="0.2">
      <c r="A228" t="s">
        <v>4427</v>
      </c>
      <c r="B228" t="s">
        <v>4428</v>
      </c>
      <c r="C228" t="s">
        <v>7927</v>
      </c>
      <c r="D228">
        <v>32.200000000000003</v>
      </c>
      <c r="E228">
        <v>32.200000000000003</v>
      </c>
      <c r="F228" s="47">
        <v>0.73</v>
      </c>
      <c r="G228">
        <v>384</v>
      </c>
      <c r="H228">
        <v>100</v>
      </c>
      <c r="I228">
        <v>45987170</v>
      </c>
      <c r="K228" t="s">
        <v>3599</v>
      </c>
      <c r="L228" t="s">
        <v>3600</v>
      </c>
      <c r="M228" t="s">
        <v>7928</v>
      </c>
      <c r="N228">
        <v>34.200000000000003</v>
      </c>
      <c r="O228">
        <v>34.200000000000003</v>
      </c>
      <c r="P228" s="47">
        <v>0.77</v>
      </c>
      <c r="Q228">
        <v>97</v>
      </c>
      <c r="R228">
        <v>100</v>
      </c>
      <c r="S228">
        <v>187073</v>
      </c>
      <c r="U228" t="s">
        <v>4429</v>
      </c>
      <c r="V228" t="s">
        <v>4422</v>
      </c>
      <c r="W228" t="s">
        <v>7929</v>
      </c>
      <c r="X228">
        <v>36.200000000000003</v>
      </c>
      <c r="Y228">
        <v>36.200000000000003</v>
      </c>
      <c r="Z228" s="47">
        <v>0.85</v>
      </c>
      <c r="AA228">
        <v>61</v>
      </c>
      <c r="AB228">
        <v>95.45</v>
      </c>
      <c r="AC228">
        <v>519</v>
      </c>
    </row>
    <row r="229" spans="1:29" x14ac:dyDescent="0.2">
      <c r="A229" t="s">
        <v>4430</v>
      </c>
      <c r="B229" t="s">
        <v>4431</v>
      </c>
      <c r="C229" t="s">
        <v>7930</v>
      </c>
      <c r="D229">
        <v>32.200000000000003</v>
      </c>
      <c r="E229">
        <v>32.200000000000003</v>
      </c>
      <c r="F229" s="47">
        <v>0.73</v>
      </c>
      <c r="G229">
        <v>384</v>
      </c>
      <c r="H229">
        <v>100</v>
      </c>
      <c r="I229">
        <v>2602</v>
      </c>
      <c r="K229" t="s">
        <v>4432</v>
      </c>
      <c r="L229" t="s">
        <v>4433</v>
      </c>
      <c r="M229" t="s">
        <v>7931</v>
      </c>
      <c r="N229">
        <v>34.200000000000003</v>
      </c>
      <c r="O229">
        <v>34.200000000000003</v>
      </c>
      <c r="P229" s="47">
        <v>0.77</v>
      </c>
      <c r="Q229">
        <v>97</v>
      </c>
      <c r="R229">
        <v>100</v>
      </c>
      <c r="S229">
        <v>75808604</v>
      </c>
      <c r="U229" t="s">
        <v>4434</v>
      </c>
      <c r="V229" t="s">
        <v>4435</v>
      </c>
      <c r="W229" t="s">
        <v>7932</v>
      </c>
      <c r="X229">
        <v>36.200000000000003</v>
      </c>
      <c r="Y229">
        <v>36.200000000000003</v>
      </c>
      <c r="Z229" s="47">
        <v>0.69</v>
      </c>
      <c r="AA229">
        <v>61</v>
      </c>
      <c r="AB229">
        <v>100</v>
      </c>
      <c r="AC229">
        <v>2404</v>
      </c>
    </row>
    <row r="230" spans="1:29" x14ac:dyDescent="0.2">
      <c r="A230" t="s">
        <v>4436</v>
      </c>
      <c r="B230" t="s">
        <v>4437</v>
      </c>
      <c r="C230" t="s">
        <v>7933</v>
      </c>
      <c r="D230">
        <v>32.200000000000003</v>
      </c>
      <c r="E230">
        <v>32.200000000000003</v>
      </c>
      <c r="F230" s="47">
        <v>0.73</v>
      </c>
      <c r="G230">
        <v>384</v>
      </c>
      <c r="H230">
        <v>100</v>
      </c>
      <c r="I230">
        <v>1182</v>
      </c>
      <c r="K230" t="s">
        <v>4438</v>
      </c>
      <c r="L230" t="s">
        <v>4081</v>
      </c>
      <c r="M230" t="s">
        <v>7934</v>
      </c>
      <c r="N230">
        <v>34.200000000000003</v>
      </c>
      <c r="O230">
        <v>34.200000000000003</v>
      </c>
      <c r="P230" s="47">
        <v>0.77</v>
      </c>
      <c r="Q230">
        <v>97</v>
      </c>
      <c r="R230">
        <v>100</v>
      </c>
      <c r="S230">
        <v>1606</v>
      </c>
      <c r="U230" t="s">
        <v>4439</v>
      </c>
      <c r="V230" t="s">
        <v>3981</v>
      </c>
      <c r="W230" t="s">
        <v>7935</v>
      </c>
      <c r="X230">
        <v>36.200000000000003</v>
      </c>
      <c r="Y230">
        <v>36.200000000000003</v>
      </c>
      <c r="Z230" s="47">
        <v>0.69</v>
      </c>
      <c r="AA230">
        <v>61</v>
      </c>
      <c r="AB230">
        <v>100</v>
      </c>
      <c r="AC230">
        <v>3123602</v>
      </c>
    </row>
    <row r="231" spans="1:29" x14ac:dyDescent="0.2">
      <c r="A231" t="s">
        <v>4440</v>
      </c>
      <c r="B231" t="s">
        <v>2293</v>
      </c>
      <c r="C231" t="s">
        <v>6681</v>
      </c>
      <c r="D231">
        <v>32.200000000000003</v>
      </c>
      <c r="E231">
        <v>32.200000000000003</v>
      </c>
      <c r="F231" s="47">
        <v>0.91</v>
      </c>
      <c r="G231">
        <v>384</v>
      </c>
      <c r="H231">
        <v>95</v>
      </c>
      <c r="I231">
        <v>16582</v>
      </c>
      <c r="K231" t="s">
        <v>4441</v>
      </c>
      <c r="L231" t="s">
        <v>4375</v>
      </c>
      <c r="M231" t="s">
        <v>7936</v>
      </c>
      <c r="N231">
        <v>34.200000000000003</v>
      </c>
      <c r="O231">
        <v>34.200000000000003</v>
      </c>
      <c r="P231" s="47">
        <v>0.77</v>
      </c>
      <c r="Q231">
        <v>97</v>
      </c>
      <c r="R231">
        <v>100</v>
      </c>
      <c r="S231">
        <v>3191</v>
      </c>
      <c r="U231" t="s">
        <v>4442</v>
      </c>
      <c r="V231" t="s">
        <v>3981</v>
      </c>
      <c r="W231" t="s">
        <v>7937</v>
      </c>
      <c r="X231">
        <v>36.200000000000003</v>
      </c>
      <c r="Y231">
        <v>36.200000000000003</v>
      </c>
      <c r="Z231" s="47">
        <v>0.69</v>
      </c>
      <c r="AA231">
        <v>61</v>
      </c>
      <c r="AB231">
        <v>100</v>
      </c>
      <c r="AC231">
        <v>3302765</v>
      </c>
    </row>
    <row r="232" spans="1:29" x14ac:dyDescent="0.2">
      <c r="A232" t="s">
        <v>4171</v>
      </c>
      <c r="B232" t="s">
        <v>4172</v>
      </c>
      <c r="C232" t="s">
        <v>7938</v>
      </c>
      <c r="D232">
        <v>32.200000000000003</v>
      </c>
      <c r="E232">
        <v>32.200000000000003</v>
      </c>
      <c r="F232" s="47">
        <v>0.73</v>
      </c>
      <c r="G232">
        <v>384</v>
      </c>
      <c r="H232">
        <v>100</v>
      </c>
      <c r="I232">
        <v>60017000</v>
      </c>
      <c r="K232" t="s">
        <v>4443</v>
      </c>
      <c r="L232" t="s">
        <v>4444</v>
      </c>
      <c r="M232" t="s">
        <v>7939</v>
      </c>
      <c r="N232">
        <v>34.200000000000003</v>
      </c>
      <c r="O232">
        <v>66.400000000000006</v>
      </c>
      <c r="P232" s="47">
        <v>0.77</v>
      </c>
      <c r="Q232">
        <v>97</v>
      </c>
      <c r="R232">
        <v>100</v>
      </c>
      <c r="S232">
        <v>2864419</v>
      </c>
      <c r="U232" t="s">
        <v>4445</v>
      </c>
      <c r="V232" t="s">
        <v>4446</v>
      </c>
      <c r="W232" t="s">
        <v>7940</v>
      </c>
      <c r="X232">
        <v>36.200000000000003</v>
      </c>
      <c r="Y232">
        <v>36.200000000000003</v>
      </c>
      <c r="Z232" s="47">
        <v>0.85</v>
      </c>
      <c r="AA232">
        <v>61</v>
      </c>
      <c r="AB232">
        <v>95.45</v>
      </c>
      <c r="AC232">
        <v>1724</v>
      </c>
    </row>
    <row r="233" spans="1:29" x14ac:dyDescent="0.2">
      <c r="A233" t="s">
        <v>4447</v>
      </c>
      <c r="B233" t="s">
        <v>4448</v>
      </c>
      <c r="C233" t="s">
        <v>7941</v>
      </c>
      <c r="D233">
        <v>32.200000000000003</v>
      </c>
      <c r="E233">
        <v>32.200000000000003</v>
      </c>
      <c r="F233" s="47">
        <v>0.73</v>
      </c>
      <c r="G233">
        <v>384</v>
      </c>
      <c r="H233">
        <v>100</v>
      </c>
      <c r="I233">
        <v>293072</v>
      </c>
      <c r="K233" t="s">
        <v>4449</v>
      </c>
      <c r="L233" t="s">
        <v>3855</v>
      </c>
      <c r="M233" t="s">
        <v>7942</v>
      </c>
      <c r="N233">
        <v>34.200000000000003</v>
      </c>
      <c r="O233">
        <v>34.200000000000003</v>
      </c>
      <c r="P233" s="47">
        <v>0.77</v>
      </c>
      <c r="Q233">
        <v>97</v>
      </c>
      <c r="R233">
        <v>100</v>
      </c>
      <c r="S233">
        <v>3436741</v>
      </c>
      <c r="U233" t="s">
        <v>4450</v>
      </c>
      <c r="V233" t="s">
        <v>4451</v>
      </c>
      <c r="W233" t="s">
        <v>7943</v>
      </c>
      <c r="X233">
        <v>36.200000000000003</v>
      </c>
      <c r="Y233">
        <v>36.200000000000003</v>
      </c>
      <c r="Z233" s="47">
        <v>0.69</v>
      </c>
      <c r="AA233">
        <v>61</v>
      </c>
      <c r="AB233">
        <v>100</v>
      </c>
      <c r="AC233">
        <v>3417782</v>
      </c>
    </row>
    <row r="234" spans="1:29" x14ac:dyDescent="0.2">
      <c r="A234" t="s">
        <v>4452</v>
      </c>
      <c r="B234" t="s">
        <v>4453</v>
      </c>
      <c r="C234" t="s">
        <v>7944</v>
      </c>
      <c r="D234">
        <v>32.200000000000003</v>
      </c>
      <c r="E234">
        <v>32.200000000000003</v>
      </c>
      <c r="F234" s="47">
        <v>0.73</v>
      </c>
      <c r="G234">
        <v>384</v>
      </c>
      <c r="H234">
        <v>100</v>
      </c>
      <c r="I234">
        <v>2689</v>
      </c>
      <c r="K234" t="s">
        <v>4454</v>
      </c>
      <c r="L234" t="s">
        <v>2203</v>
      </c>
      <c r="M234" t="s">
        <v>7945</v>
      </c>
      <c r="N234">
        <v>34.200000000000003</v>
      </c>
      <c r="O234">
        <v>34.200000000000003</v>
      </c>
      <c r="P234" s="47">
        <v>0.95</v>
      </c>
      <c r="Q234">
        <v>97</v>
      </c>
      <c r="R234">
        <v>95.24</v>
      </c>
      <c r="S234">
        <v>16634</v>
      </c>
      <c r="U234" t="s">
        <v>4455</v>
      </c>
      <c r="V234" t="s">
        <v>3981</v>
      </c>
      <c r="W234" t="s">
        <v>7946</v>
      </c>
      <c r="X234">
        <v>36.200000000000003</v>
      </c>
      <c r="Y234">
        <v>36.200000000000003</v>
      </c>
      <c r="Z234" s="47">
        <v>0.69</v>
      </c>
      <c r="AA234">
        <v>61</v>
      </c>
      <c r="AB234">
        <v>100</v>
      </c>
      <c r="AC234">
        <v>3266502</v>
      </c>
    </row>
    <row r="235" spans="1:29" x14ac:dyDescent="0.2">
      <c r="A235" t="s">
        <v>4456</v>
      </c>
      <c r="B235" t="s">
        <v>4457</v>
      </c>
      <c r="C235" t="s">
        <v>7947</v>
      </c>
      <c r="D235">
        <v>32.200000000000003</v>
      </c>
      <c r="E235">
        <v>32.200000000000003</v>
      </c>
      <c r="F235" s="47">
        <v>0.73</v>
      </c>
      <c r="G235">
        <v>384</v>
      </c>
      <c r="H235">
        <v>100</v>
      </c>
      <c r="I235">
        <v>2735</v>
      </c>
      <c r="K235" t="s">
        <v>4458</v>
      </c>
      <c r="L235" t="s">
        <v>4459</v>
      </c>
      <c r="M235" t="s">
        <v>7948</v>
      </c>
      <c r="N235">
        <v>34.200000000000003</v>
      </c>
      <c r="O235">
        <v>66.400000000000006</v>
      </c>
      <c r="P235" s="47">
        <v>0.77</v>
      </c>
      <c r="Q235">
        <v>97</v>
      </c>
      <c r="R235">
        <v>100</v>
      </c>
      <c r="S235">
        <v>2801968</v>
      </c>
      <c r="U235" t="s">
        <v>4460</v>
      </c>
      <c r="V235" t="s">
        <v>3815</v>
      </c>
      <c r="W235" t="s">
        <v>7949</v>
      </c>
      <c r="X235">
        <v>36.200000000000003</v>
      </c>
      <c r="Y235">
        <v>70.400000000000006</v>
      </c>
      <c r="Z235" s="47">
        <v>0.69</v>
      </c>
      <c r="AA235">
        <v>61</v>
      </c>
      <c r="AB235">
        <v>100</v>
      </c>
      <c r="AC235">
        <v>8190356</v>
      </c>
    </row>
    <row r="236" spans="1:29" x14ac:dyDescent="0.2">
      <c r="A236" t="s">
        <v>4461</v>
      </c>
      <c r="B236" t="s">
        <v>3898</v>
      </c>
      <c r="C236" t="s">
        <v>7950</v>
      </c>
      <c r="D236">
        <v>32.200000000000003</v>
      </c>
      <c r="E236">
        <v>32.200000000000003</v>
      </c>
      <c r="F236" s="47">
        <v>0.73</v>
      </c>
      <c r="G236">
        <v>384</v>
      </c>
      <c r="H236">
        <v>100</v>
      </c>
      <c r="I236">
        <v>34517495</v>
      </c>
      <c r="K236" t="s">
        <v>3635</v>
      </c>
      <c r="L236" t="s">
        <v>3636</v>
      </c>
      <c r="M236" t="s">
        <v>7951</v>
      </c>
      <c r="N236">
        <v>34.200000000000003</v>
      </c>
      <c r="O236">
        <v>34.200000000000003</v>
      </c>
      <c r="P236" s="47">
        <v>0.77</v>
      </c>
      <c r="Q236">
        <v>97</v>
      </c>
      <c r="R236">
        <v>100</v>
      </c>
      <c r="S236">
        <v>398</v>
      </c>
      <c r="U236" t="s">
        <v>4462</v>
      </c>
      <c r="V236" t="s">
        <v>4463</v>
      </c>
      <c r="W236" t="s">
        <v>7952</v>
      </c>
      <c r="X236">
        <v>36.200000000000003</v>
      </c>
      <c r="Y236">
        <v>36.200000000000003</v>
      </c>
      <c r="Z236" s="47">
        <v>0.69</v>
      </c>
      <c r="AA236">
        <v>61</v>
      </c>
      <c r="AB236">
        <v>100</v>
      </c>
      <c r="AC236">
        <v>1739</v>
      </c>
    </row>
    <row r="237" spans="1:29" x14ac:dyDescent="0.2">
      <c r="A237" t="s">
        <v>4464</v>
      </c>
      <c r="B237" t="s">
        <v>4465</v>
      </c>
      <c r="C237" t="s">
        <v>7953</v>
      </c>
      <c r="D237">
        <v>32.200000000000003</v>
      </c>
      <c r="E237">
        <v>32.200000000000003</v>
      </c>
      <c r="F237" s="47">
        <v>0.73</v>
      </c>
      <c r="G237">
        <v>384</v>
      </c>
      <c r="H237">
        <v>100</v>
      </c>
      <c r="I237">
        <v>4243755</v>
      </c>
      <c r="K237" t="s">
        <v>4466</v>
      </c>
      <c r="L237" t="s">
        <v>4266</v>
      </c>
      <c r="M237" t="s">
        <v>7954</v>
      </c>
      <c r="N237">
        <v>34.200000000000003</v>
      </c>
      <c r="O237">
        <v>34.200000000000003</v>
      </c>
      <c r="P237" s="47">
        <v>0.77</v>
      </c>
      <c r="Q237">
        <v>97</v>
      </c>
      <c r="R237">
        <v>100</v>
      </c>
      <c r="S237">
        <v>4176</v>
      </c>
      <c r="U237" t="s">
        <v>4467</v>
      </c>
      <c r="V237" t="s">
        <v>4468</v>
      </c>
      <c r="W237" t="s">
        <v>7955</v>
      </c>
      <c r="X237">
        <v>36.200000000000003</v>
      </c>
      <c r="Y237">
        <v>36.200000000000003</v>
      </c>
      <c r="Z237" s="47">
        <v>1</v>
      </c>
      <c r="AA237">
        <v>61</v>
      </c>
      <c r="AB237">
        <v>92.31</v>
      </c>
      <c r="AC237">
        <v>7540844</v>
      </c>
    </row>
    <row r="238" spans="1:29" x14ac:dyDescent="0.2">
      <c r="A238" t="s">
        <v>4469</v>
      </c>
      <c r="B238" t="s">
        <v>4062</v>
      </c>
      <c r="C238" t="s">
        <v>7956</v>
      </c>
      <c r="D238">
        <v>32.200000000000003</v>
      </c>
      <c r="E238">
        <v>32.200000000000003</v>
      </c>
      <c r="F238" s="47">
        <v>0.73</v>
      </c>
      <c r="G238">
        <v>384</v>
      </c>
      <c r="H238">
        <v>100</v>
      </c>
      <c r="I238">
        <v>2751</v>
      </c>
      <c r="K238" t="s">
        <v>4417</v>
      </c>
      <c r="L238" t="s">
        <v>4115</v>
      </c>
      <c r="M238" t="s">
        <v>7957</v>
      </c>
      <c r="N238">
        <v>34.200000000000003</v>
      </c>
      <c r="O238">
        <v>34.200000000000003</v>
      </c>
      <c r="P238" s="47">
        <v>0.77</v>
      </c>
      <c r="Q238">
        <v>97</v>
      </c>
      <c r="R238">
        <v>100</v>
      </c>
      <c r="S238">
        <v>21848453</v>
      </c>
      <c r="U238" t="s">
        <v>4470</v>
      </c>
      <c r="V238" t="s">
        <v>4235</v>
      </c>
      <c r="W238" t="s">
        <v>7958</v>
      </c>
      <c r="X238">
        <v>36.200000000000003</v>
      </c>
      <c r="Y238">
        <v>36.200000000000003</v>
      </c>
      <c r="Z238" s="47">
        <v>0.69</v>
      </c>
      <c r="AA238">
        <v>61</v>
      </c>
      <c r="AB238">
        <v>100</v>
      </c>
      <c r="AC238">
        <v>3298698</v>
      </c>
    </row>
    <row r="239" spans="1:29" x14ac:dyDescent="0.2">
      <c r="A239" t="s">
        <v>4114</v>
      </c>
      <c r="B239" t="s">
        <v>4115</v>
      </c>
      <c r="C239" t="s">
        <v>7959</v>
      </c>
      <c r="D239">
        <v>32.200000000000003</v>
      </c>
      <c r="E239">
        <v>32.200000000000003</v>
      </c>
      <c r="F239" s="47">
        <v>0.73</v>
      </c>
      <c r="G239">
        <v>384</v>
      </c>
      <c r="H239">
        <v>100</v>
      </c>
      <c r="I239">
        <v>19459734</v>
      </c>
      <c r="K239" t="s">
        <v>4471</v>
      </c>
      <c r="L239" t="s">
        <v>4148</v>
      </c>
      <c r="M239" t="s">
        <v>7960</v>
      </c>
      <c r="N239">
        <v>34.200000000000003</v>
      </c>
      <c r="O239">
        <v>34.200000000000003</v>
      </c>
      <c r="P239" s="47">
        <v>0.77</v>
      </c>
      <c r="Q239">
        <v>97</v>
      </c>
      <c r="R239">
        <v>100</v>
      </c>
      <c r="S239">
        <v>4014</v>
      </c>
      <c r="U239" t="s">
        <v>4472</v>
      </c>
      <c r="V239" t="s">
        <v>3696</v>
      </c>
      <c r="W239" t="s">
        <v>7961</v>
      </c>
      <c r="X239">
        <v>36.200000000000003</v>
      </c>
      <c r="Y239">
        <v>68.400000000000006</v>
      </c>
      <c r="Z239" s="47">
        <v>0.77</v>
      </c>
      <c r="AA239">
        <v>61</v>
      </c>
      <c r="AB239">
        <v>100</v>
      </c>
      <c r="AC239">
        <v>33007198</v>
      </c>
    </row>
    <row r="240" spans="1:29" x14ac:dyDescent="0.2">
      <c r="A240" t="s">
        <v>4473</v>
      </c>
      <c r="B240" t="s">
        <v>4474</v>
      </c>
      <c r="C240" t="s">
        <v>7962</v>
      </c>
      <c r="D240">
        <v>32.200000000000003</v>
      </c>
      <c r="E240">
        <v>32.200000000000003</v>
      </c>
      <c r="F240" s="47">
        <v>0.73</v>
      </c>
      <c r="G240">
        <v>384</v>
      </c>
      <c r="H240">
        <v>100</v>
      </c>
      <c r="I240">
        <v>2627</v>
      </c>
      <c r="K240" t="s">
        <v>4432</v>
      </c>
      <c r="L240" t="s">
        <v>4433</v>
      </c>
      <c r="M240" t="s">
        <v>7963</v>
      </c>
      <c r="N240">
        <v>34.200000000000003</v>
      </c>
      <c r="O240">
        <v>34.200000000000003</v>
      </c>
      <c r="P240" s="47">
        <v>0.77</v>
      </c>
      <c r="Q240">
        <v>97</v>
      </c>
      <c r="R240">
        <v>100</v>
      </c>
      <c r="S240">
        <v>74762347</v>
      </c>
      <c r="U240" t="s">
        <v>4475</v>
      </c>
      <c r="V240" t="s">
        <v>4476</v>
      </c>
      <c r="W240" t="s">
        <v>7964</v>
      </c>
      <c r="X240">
        <v>36.200000000000003</v>
      </c>
      <c r="Y240">
        <v>36.200000000000003</v>
      </c>
      <c r="Z240" s="47">
        <v>0.69</v>
      </c>
      <c r="AA240">
        <v>61</v>
      </c>
      <c r="AB240">
        <v>100</v>
      </c>
      <c r="AC240">
        <v>492034</v>
      </c>
    </row>
    <row r="241" spans="1:29" x14ac:dyDescent="0.2">
      <c r="A241" t="s">
        <v>4477</v>
      </c>
      <c r="B241" t="s">
        <v>4039</v>
      </c>
      <c r="C241" t="s">
        <v>7965</v>
      </c>
      <c r="D241">
        <v>32.200000000000003</v>
      </c>
      <c r="E241">
        <v>32.200000000000003</v>
      </c>
      <c r="F241" s="47">
        <v>0.73</v>
      </c>
      <c r="G241">
        <v>384</v>
      </c>
      <c r="H241">
        <v>100</v>
      </c>
      <c r="I241">
        <v>21611</v>
      </c>
      <c r="K241" t="s">
        <v>4478</v>
      </c>
      <c r="L241" t="s">
        <v>4479</v>
      </c>
      <c r="M241" t="s">
        <v>7966</v>
      </c>
      <c r="N241">
        <v>34.200000000000003</v>
      </c>
      <c r="O241">
        <v>34.200000000000003</v>
      </c>
      <c r="P241" s="47">
        <v>0.77</v>
      </c>
      <c r="Q241">
        <v>97</v>
      </c>
      <c r="R241">
        <v>100</v>
      </c>
      <c r="S241">
        <v>17539563</v>
      </c>
      <c r="U241" t="s">
        <v>4480</v>
      </c>
      <c r="V241" t="s">
        <v>4463</v>
      </c>
      <c r="W241" t="s">
        <v>7967</v>
      </c>
      <c r="X241">
        <v>36.200000000000003</v>
      </c>
      <c r="Y241">
        <v>36.200000000000003</v>
      </c>
      <c r="Z241" s="47">
        <v>0.69</v>
      </c>
      <c r="AA241">
        <v>61</v>
      </c>
      <c r="AB241">
        <v>100</v>
      </c>
      <c r="AC241">
        <v>1736</v>
      </c>
    </row>
    <row r="242" spans="1:29" x14ac:dyDescent="0.2">
      <c r="A242" t="s">
        <v>4481</v>
      </c>
      <c r="B242" t="s">
        <v>4207</v>
      </c>
      <c r="C242" t="s">
        <v>7968</v>
      </c>
      <c r="D242">
        <v>32.200000000000003</v>
      </c>
      <c r="E242">
        <v>32.200000000000003</v>
      </c>
      <c r="F242" s="47">
        <v>0.73</v>
      </c>
      <c r="G242">
        <v>384</v>
      </c>
      <c r="H242">
        <v>100</v>
      </c>
      <c r="I242">
        <v>65831516</v>
      </c>
      <c r="K242" t="s">
        <v>4482</v>
      </c>
      <c r="L242" t="s">
        <v>4359</v>
      </c>
      <c r="M242" t="s">
        <v>7969</v>
      </c>
      <c r="N242">
        <v>34.200000000000003</v>
      </c>
      <c r="O242">
        <v>34.200000000000003</v>
      </c>
      <c r="P242" s="47">
        <v>0.77</v>
      </c>
      <c r="Q242">
        <v>97</v>
      </c>
      <c r="R242">
        <v>100</v>
      </c>
      <c r="S242">
        <v>2148366</v>
      </c>
      <c r="U242" t="s">
        <v>4483</v>
      </c>
      <c r="V242" t="s">
        <v>4426</v>
      </c>
      <c r="W242" t="s">
        <v>7970</v>
      </c>
      <c r="X242">
        <v>36.200000000000003</v>
      </c>
      <c r="Y242">
        <v>36.200000000000003</v>
      </c>
      <c r="Z242" s="47">
        <v>0.85</v>
      </c>
      <c r="AA242">
        <v>61</v>
      </c>
      <c r="AB242">
        <v>95.45</v>
      </c>
      <c r="AC242">
        <v>3530</v>
      </c>
    </row>
    <row r="243" spans="1:29" x14ac:dyDescent="0.2">
      <c r="A243" t="s">
        <v>4484</v>
      </c>
      <c r="B243" t="s">
        <v>4485</v>
      </c>
      <c r="C243" t="s">
        <v>7971</v>
      </c>
      <c r="D243">
        <v>32.200000000000003</v>
      </c>
      <c r="E243">
        <v>32.200000000000003</v>
      </c>
      <c r="F243" s="47">
        <v>0.73</v>
      </c>
      <c r="G243">
        <v>384</v>
      </c>
      <c r="H243">
        <v>100</v>
      </c>
      <c r="I243">
        <v>2715</v>
      </c>
      <c r="K243" t="s">
        <v>4486</v>
      </c>
      <c r="L243" t="s">
        <v>3883</v>
      </c>
      <c r="M243" t="s">
        <v>7972</v>
      </c>
      <c r="N243">
        <v>34.200000000000003</v>
      </c>
      <c r="O243">
        <v>34.200000000000003</v>
      </c>
      <c r="P243" s="47">
        <v>0.77</v>
      </c>
      <c r="Q243">
        <v>97</v>
      </c>
      <c r="R243">
        <v>100</v>
      </c>
      <c r="S243">
        <v>2751004</v>
      </c>
      <c r="U243" t="s">
        <v>4487</v>
      </c>
      <c r="V243" t="s">
        <v>4199</v>
      </c>
      <c r="W243" t="s">
        <v>7973</v>
      </c>
      <c r="X243">
        <v>36.200000000000003</v>
      </c>
      <c r="Y243">
        <v>68.400000000000006</v>
      </c>
      <c r="Z243" s="47">
        <v>0.77</v>
      </c>
      <c r="AA243">
        <v>61</v>
      </c>
      <c r="AB243">
        <v>100</v>
      </c>
      <c r="AC243">
        <v>3201171</v>
      </c>
    </row>
    <row r="244" spans="1:29" x14ac:dyDescent="0.2">
      <c r="A244" t="s">
        <v>4488</v>
      </c>
      <c r="B244" t="s">
        <v>4039</v>
      </c>
      <c r="C244" t="s">
        <v>7974</v>
      </c>
      <c r="D244">
        <v>32.200000000000003</v>
      </c>
      <c r="E244">
        <v>32.200000000000003</v>
      </c>
      <c r="F244" s="47">
        <v>0.73</v>
      </c>
      <c r="G244">
        <v>384</v>
      </c>
      <c r="H244">
        <v>100</v>
      </c>
      <c r="I244">
        <v>11622</v>
      </c>
      <c r="K244" t="s">
        <v>4489</v>
      </c>
      <c r="L244" t="s">
        <v>4102</v>
      </c>
      <c r="M244" t="s">
        <v>7975</v>
      </c>
      <c r="N244">
        <v>34.200000000000003</v>
      </c>
      <c r="O244">
        <v>34.200000000000003</v>
      </c>
      <c r="P244" s="47">
        <v>0.77</v>
      </c>
      <c r="Q244">
        <v>97</v>
      </c>
      <c r="R244">
        <v>100</v>
      </c>
      <c r="S244">
        <v>3079</v>
      </c>
      <c r="U244" t="s">
        <v>4490</v>
      </c>
      <c r="V244" t="s">
        <v>4422</v>
      </c>
      <c r="W244" t="s">
        <v>7976</v>
      </c>
      <c r="X244">
        <v>36.200000000000003</v>
      </c>
      <c r="Y244">
        <v>36.200000000000003</v>
      </c>
      <c r="Z244" s="47">
        <v>0.85</v>
      </c>
      <c r="AA244">
        <v>61</v>
      </c>
      <c r="AB244">
        <v>95.45</v>
      </c>
      <c r="AC244">
        <v>519</v>
      </c>
    </row>
    <row r="245" spans="1:29" x14ac:dyDescent="0.2">
      <c r="A245" t="s">
        <v>4491</v>
      </c>
      <c r="B245" t="s">
        <v>4057</v>
      </c>
      <c r="C245" t="s">
        <v>7977</v>
      </c>
      <c r="D245">
        <v>32.200000000000003</v>
      </c>
      <c r="E245">
        <v>32.200000000000003</v>
      </c>
      <c r="F245" s="47">
        <v>0.73</v>
      </c>
      <c r="G245">
        <v>384</v>
      </c>
      <c r="H245">
        <v>100</v>
      </c>
      <c r="I245">
        <v>5820</v>
      </c>
      <c r="K245" t="s">
        <v>3635</v>
      </c>
      <c r="L245" t="s">
        <v>3636</v>
      </c>
      <c r="M245" t="s">
        <v>7978</v>
      </c>
      <c r="N245">
        <v>34.200000000000003</v>
      </c>
      <c r="O245">
        <v>34.200000000000003</v>
      </c>
      <c r="P245" s="47">
        <v>0.77</v>
      </c>
      <c r="Q245">
        <v>97</v>
      </c>
      <c r="R245">
        <v>100</v>
      </c>
      <c r="S245">
        <v>40781</v>
      </c>
      <c r="U245" t="s">
        <v>4492</v>
      </c>
      <c r="V245" t="s">
        <v>4426</v>
      </c>
      <c r="W245" t="s">
        <v>7979</v>
      </c>
      <c r="X245">
        <v>36.200000000000003</v>
      </c>
      <c r="Y245">
        <v>36.200000000000003</v>
      </c>
      <c r="Z245" s="47">
        <v>0.85</v>
      </c>
      <c r="AA245">
        <v>61</v>
      </c>
      <c r="AB245">
        <v>95.45</v>
      </c>
      <c r="AC245">
        <v>3259</v>
      </c>
    </row>
    <row r="246" spans="1:29" x14ac:dyDescent="0.2">
      <c r="A246" t="s">
        <v>4493</v>
      </c>
      <c r="B246" t="s">
        <v>4057</v>
      </c>
      <c r="C246" t="s">
        <v>7980</v>
      </c>
      <c r="D246">
        <v>32.200000000000003</v>
      </c>
      <c r="E246">
        <v>32.200000000000003</v>
      </c>
      <c r="F246" s="47">
        <v>0.73</v>
      </c>
      <c r="G246">
        <v>384</v>
      </c>
      <c r="H246">
        <v>100</v>
      </c>
      <c r="I246">
        <v>5584</v>
      </c>
      <c r="K246" t="s">
        <v>4494</v>
      </c>
      <c r="L246" t="s">
        <v>4359</v>
      </c>
      <c r="M246" t="s">
        <v>7981</v>
      </c>
      <c r="N246">
        <v>34.200000000000003</v>
      </c>
      <c r="O246">
        <v>34.200000000000003</v>
      </c>
      <c r="P246" s="47">
        <v>0.77</v>
      </c>
      <c r="Q246">
        <v>97</v>
      </c>
      <c r="R246">
        <v>100</v>
      </c>
      <c r="S246">
        <v>2682528</v>
      </c>
      <c r="U246" t="s">
        <v>4495</v>
      </c>
      <c r="V246" t="s">
        <v>3981</v>
      </c>
      <c r="W246" t="s">
        <v>7982</v>
      </c>
      <c r="X246">
        <v>36.200000000000003</v>
      </c>
      <c r="Y246">
        <v>36.200000000000003</v>
      </c>
      <c r="Z246" s="47">
        <v>0.69</v>
      </c>
      <c r="AA246">
        <v>61</v>
      </c>
      <c r="AB246">
        <v>100</v>
      </c>
      <c r="AC246">
        <v>3606067</v>
      </c>
    </row>
    <row r="247" spans="1:29" x14ac:dyDescent="0.2">
      <c r="A247" t="s">
        <v>4496</v>
      </c>
      <c r="B247" t="s">
        <v>4497</v>
      </c>
      <c r="C247" t="s">
        <v>7983</v>
      </c>
      <c r="D247">
        <v>32.200000000000003</v>
      </c>
      <c r="E247">
        <v>32.200000000000003</v>
      </c>
      <c r="F247" s="47">
        <v>0.73</v>
      </c>
      <c r="G247">
        <v>384</v>
      </c>
      <c r="H247">
        <v>100</v>
      </c>
      <c r="I247">
        <v>16516</v>
      </c>
      <c r="K247" t="s">
        <v>4498</v>
      </c>
      <c r="L247" t="s">
        <v>4148</v>
      </c>
      <c r="M247" t="s">
        <v>7984</v>
      </c>
      <c r="N247">
        <v>34.200000000000003</v>
      </c>
      <c r="O247">
        <v>34.200000000000003</v>
      </c>
      <c r="P247" s="47">
        <v>0.77</v>
      </c>
      <c r="Q247">
        <v>97</v>
      </c>
      <c r="R247">
        <v>100</v>
      </c>
      <c r="S247">
        <v>2862</v>
      </c>
      <c r="U247" t="s">
        <v>4499</v>
      </c>
      <c r="V247" t="s">
        <v>4500</v>
      </c>
      <c r="W247" t="s">
        <v>7985</v>
      </c>
      <c r="X247">
        <v>36.200000000000003</v>
      </c>
      <c r="Y247">
        <v>36.200000000000003</v>
      </c>
      <c r="Z247" s="47">
        <v>0.85</v>
      </c>
      <c r="AA247">
        <v>61</v>
      </c>
      <c r="AB247">
        <v>95.45</v>
      </c>
      <c r="AC247">
        <v>8153</v>
      </c>
    </row>
    <row r="248" spans="1:29" x14ac:dyDescent="0.2">
      <c r="A248" t="s">
        <v>4501</v>
      </c>
      <c r="B248" t="s">
        <v>4106</v>
      </c>
      <c r="C248" t="s">
        <v>7986</v>
      </c>
      <c r="D248">
        <v>32.200000000000003</v>
      </c>
      <c r="E248">
        <v>32.200000000000003</v>
      </c>
      <c r="F248" s="47">
        <v>0.73</v>
      </c>
      <c r="G248">
        <v>384</v>
      </c>
      <c r="H248">
        <v>100</v>
      </c>
      <c r="I248">
        <v>25637</v>
      </c>
      <c r="K248" t="s">
        <v>3741</v>
      </c>
      <c r="L248" t="s">
        <v>3742</v>
      </c>
      <c r="M248" t="s">
        <v>7543</v>
      </c>
      <c r="N248">
        <v>34.200000000000003</v>
      </c>
      <c r="O248">
        <v>34.200000000000003</v>
      </c>
      <c r="P248" s="47">
        <v>0.77</v>
      </c>
      <c r="Q248">
        <v>97</v>
      </c>
      <c r="R248">
        <v>100</v>
      </c>
      <c r="S248">
        <v>34770958</v>
      </c>
      <c r="U248" t="s">
        <v>4502</v>
      </c>
      <c r="V248" t="s">
        <v>4235</v>
      </c>
      <c r="W248" t="s">
        <v>7987</v>
      </c>
      <c r="X248">
        <v>36.200000000000003</v>
      </c>
      <c r="Y248">
        <v>36.200000000000003</v>
      </c>
      <c r="Z248" s="47">
        <v>0.69</v>
      </c>
      <c r="AA248">
        <v>61</v>
      </c>
      <c r="AB248">
        <v>100</v>
      </c>
      <c r="AC248">
        <v>3228907</v>
      </c>
    </row>
    <row r="249" spans="1:29" x14ac:dyDescent="0.2">
      <c r="A249" t="s">
        <v>4503</v>
      </c>
      <c r="B249" t="s">
        <v>3710</v>
      </c>
      <c r="C249" t="s">
        <v>7988</v>
      </c>
      <c r="D249">
        <v>32.200000000000003</v>
      </c>
      <c r="E249">
        <v>32.200000000000003</v>
      </c>
      <c r="F249" s="47">
        <v>0.73</v>
      </c>
      <c r="G249">
        <v>384</v>
      </c>
      <c r="H249">
        <v>100</v>
      </c>
      <c r="I249">
        <v>16513</v>
      </c>
      <c r="K249" t="s">
        <v>4504</v>
      </c>
      <c r="L249" t="s">
        <v>4505</v>
      </c>
      <c r="M249" t="s">
        <v>7989</v>
      </c>
      <c r="N249">
        <v>34.200000000000003</v>
      </c>
      <c r="O249">
        <v>34.200000000000003</v>
      </c>
      <c r="P249" s="47">
        <v>0.77</v>
      </c>
      <c r="Q249">
        <v>97</v>
      </c>
      <c r="R249">
        <v>100</v>
      </c>
      <c r="S249">
        <v>4355824</v>
      </c>
      <c r="U249" t="s">
        <v>4506</v>
      </c>
      <c r="V249" t="s">
        <v>4507</v>
      </c>
      <c r="W249" t="s">
        <v>7990</v>
      </c>
      <c r="X249">
        <v>36.200000000000003</v>
      </c>
      <c r="Y249">
        <v>36.200000000000003</v>
      </c>
      <c r="Z249" s="47">
        <v>0.69</v>
      </c>
      <c r="AA249">
        <v>61</v>
      </c>
      <c r="AB249">
        <v>100</v>
      </c>
      <c r="AC249">
        <v>708384</v>
      </c>
    </row>
    <row r="250" spans="1:29" x14ac:dyDescent="0.2">
      <c r="A250" t="s">
        <v>4508</v>
      </c>
      <c r="B250" t="s">
        <v>4509</v>
      </c>
      <c r="C250" t="s">
        <v>7991</v>
      </c>
      <c r="D250">
        <v>32.200000000000003</v>
      </c>
      <c r="E250">
        <v>32.200000000000003</v>
      </c>
      <c r="F250" s="47">
        <v>0.73</v>
      </c>
      <c r="G250">
        <v>384</v>
      </c>
      <c r="H250">
        <v>100</v>
      </c>
      <c r="I250">
        <v>28305344</v>
      </c>
      <c r="K250" t="s">
        <v>4010</v>
      </c>
      <c r="L250" t="s">
        <v>2398</v>
      </c>
      <c r="M250" t="s">
        <v>7992</v>
      </c>
      <c r="N250">
        <v>34.200000000000003</v>
      </c>
      <c r="O250">
        <v>34.200000000000003</v>
      </c>
      <c r="P250" s="47">
        <v>0.95</v>
      </c>
      <c r="Q250">
        <v>97</v>
      </c>
      <c r="R250">
        <v>95.24</v>
      </c>
      <c r="S250">
        <v>16630</v>
      </c>
      <c r="U250" t="s">
        <v>4510</v>
      </c>
      <c r="V250" t="s">
        <v>4511</v>
      </c>
      <c r="W250" t="s">
        <v>7993</v>
      </c>
      <c r="X250">
        <v>36.200000000000003</v>
      </c>
      <c r="Y250">
        <v>100</v>
      </c>
      <c r="Z250" s="47">
        <v>0.69</v>
      </c>
      <c r="AA250">
        <v>61</v>
      </c>
      <c r="AB250">
        <v>100</v>
      </c>
      <c r="AC250">
        <v>10324489</v>
      </c>
    </row>
    <row r="251" spans="1:29" x14ac:dyDescent="0.2">
      <c r="A251" t="s">
        <v>4016</v>
      </c>
      <c r="B251" t="s">
        <v>3742</v>
      </c>
      <c r="C251" t="s">
        <v>7679</v>
      </c>
      <c r="D251">
        <v>32.200000000000003</v>
      </c>
      <c r="E251">
        <v>32.200000000000003</v>
      </c>
      <c r="F251" s="47">
        <v>0.73</v>
      </c>
      <c r="G251">
        <v>384</v>
      </c>
      <c r="H251">
        <v>100</v>
      </c>
      <c r="I251">
        <v>60682853</v>
      </c>
      <c r="K251" t="s">
        <v>4512</v>
      </c>
      <c r="L251" t="s">
        <v>4513</v>
      </c>
      <c r="M251" t="s">
        <v>7994</v>
      </c>
      <c r="N251">
        <v>34.200000000000003</v>
      </c>
      <c r="O251">
        <v>34.200000000000003</v>
      </c>
      <c r="P251" s="47">
        <v>0.77</v>
      </c>
      <c r="Q251">
        <v>97</v>
      </c>
      <c r="R251">
        <v>100</v>
      </c>
      <c r="S251">
        <v>2903</v>
      </c>
      <c r="U251" t="s">
        <v>4514</v>
      </c>
      <c r="V251" t="s">
        <v>4422</v>
      </c>
      <c r="W251" t="s">
        <v>7995</v>
      </c>
      <c r="X251">
        <v>36.200000000000003</v>
      </c>
      <c r="Y251">
        <v>36.200000000000003</v>
      </c>
      <c r="Z251" s="47">
        <v>0.85</v>
      </c>
      <c r="AA251">
        <v>61</v>
      </c>
      <c r="AB251">
        <v>95.45</v>
      </c>
      <c r="AC251">
        <v>519</v>
      </c>
    </row>
    <row r="252" spans="1:29" x14ac:dyDescent="0.2">
      <c r="A252" t="s">
        <v>4515</v>
      </c>
      <c r="B252" t="s">
        <v>4292</v>
      </c>
      <c r="C252" t="s">
        <v>7996</v>
      </c>
      <c r="D252">
        <v>32.200000000000003</v>
      </c>
      <c r="E252">
        <v>32.200000000000003</v>
      </c>
      <c r="F252" s="47">
        <v>0.73</v>
      </c>
      <c r="G252">
        <v>384</v>
      </c>
      <c r="H252">
        <v>100</v>
      </c>
      <c r="I252">
        <v>6179</v>
      </c>
      <c r="K252" t="s">
        <v>4516</v>
      </c>
      <c r="L252" t="s">
        <v>2436</v>
      </c>
      <c r="M252" t="s">
        <v>7997</v>
      </c>
      <c r="N252">
        <v>34.200000000000003</v>
      </c>
      <c r="O252">
        <v>34.200000000000003</v>
      </c>
      <c r="P252" s="47">
        <v>0.95</v>
      </c>
      <c r="Q252">
        <v>97</v>
      </c>
      <c r="R252">
        <v>95.24</v>
      </c>
      <c r="S252">
        <v>16618</v>
      </c>
      <c r="U252" t="s">
        <v>4517</v>
      </c>
      <c r="V252" t="s">
        <v>4518</v>
      </c>
      <c r="W252" t="s">
        <v>7998</v>
      </c>
      <c r="X252">
        <v>36.200000000000003</v>
      </c>
      <c r="Y252">
        <v>36.200000000000003</v>
      </c>
      <c r="Z252" s="47">
        <v>0.85</v>
      </c>
      <c r="AA252">
        <v>61</v>
      </c>
      <c r="AB252">
        <v>95.45</v>
      </c>
      <c r="AC252">
        <v>519</v>
      </c>
    </row>
    <row r="253" spans="1:29" x14ac:dyDescent="0.2">
      <c r="A253" t="s">
        <v>4519</v>
      </c>
      <c r="B253" t="s">
        <v>4053</v>
      </c>
      <c r="C253" t="s">
        <v>7999</v>
      </c>
      <c r="D253">
        <v>32.200000000000003</v>
      </c>
      <c r="E253">
        <v>32.200000000000003</v>
      </c>
      <c r="F253" s="47">
        <v>0.73</v>
      </c>
      <c r="G253">
        <v>384</v>
      </c>
      <c r="H253">
        <v>100</v>
      </c>
      <c r="I253">
        <v>11274</v>
      </c>
      <c r="K253" t="s">
        <v>4520</v>
      </c>
      <c r="L253" t="s">
        <v>4521</v>
      </c>
      <c r="M253" t="s">
        <v>8000</v>
      </c>
      <c r="N253">
        <v>34.200000000000003</v>
      </c>
      <c r="O253">
        <v>34.200000000000003</v>
      </c>
      <c r="P253" s="47">
        <v>0.77</v>
      </c>
      <c r="Q253">
        <v>97</v>
      </c>
      <c r="R253">
        <v>100</v>
      </c>
      <c r="S253">
        <v>6797</v>
      </c>
      <c r="U253" t="s">
        <v>4522</v>
      </c>
      <c r="V253" t="s">
        <v>4523</v>
      </c>
      <c r="W253" t="s">
        <v>8001</v>
      </c>
      <c r="X253">
        <v>36.200000000000003</v>
      </c>
      <c r="Y253">
        <v>36.200000000000003</v>
      </c>
      <c r="Z253" s="47">
        <v>0.69</v>
      </c>
      <c r="AA253">
        <v>61</v>
      </c>
      <c r="AB253">
        <v>100</v>
      </c>
      <c r="AC253">
        <v>4805203</v>
      </c>
    </row>
    <row r="254" spans="1:29" x14ac:dyDescent="0.2">
      <c r="A254" t="s">
        <v>4524</v>
      </c>
      <c r="B254" t="s">
        <v>4525</v>
      </c>
      <c r="C254" t="s">
        <v>8002</v>
      </c>
      <c r="D254">
        <v>32.200000000000003</v>
      </c>
      <c r="E254">
        <v>32.200000000000003</v>
      </c>
      <c r="F254" s="47">
        <v>0.73</v>
      </c>
      <c r="G254">
        <v>384</v>
      </c>
      <c r="H254">
        <v>100</v>
      </c>
      <c r="I254">
        <v>1047</v>
      </c>
      <c r="K254" t="s">
        <v>4526</v>
      </c>
      <c r="L254" t="s">
        <v>4527</v>
      </c>
      <c r="M254" t="s">
        <v>8003</v>
      </c>
      <c r="N254">
        <v>34.200000000000003</v>
      </c>
      <c r="O254">
        <v>34.200000000000003</v>
      </c>
      <c r="P254" s="47">
        <v>0.77</v>
      </c>
      <c r="Q254">
        <v>97</v>
      </c>
      <c r="R254">
        <v>100</v>
      </c>
      <c r="S254">
        <v>2584604</v>
      </c>
      <c r="U254" t="s">
        <v>4528</v>
      </c>
      <c r="V254" t="s">
        <v>4529</v>
      </c>
      <c r="W254" t="s">
        <v>8004</v>
      </c>
      <c r="X254">
        <v>36.200000000000003</v>
      </c>
      <c r="Y254">
        <v>100</v>
      </c>
      <c r="Z254" s="47">
        <v>0.69</v>
      </c>
      <c r="AA254">
        <v>61</v>
      </c>
      <c r="AB254">
        <v>100</v>
      </c>
      <c r="AC254">
        <v>10245735</v>
      </c>
    </row>
    <row r="255" spans="1:29" x14ac:dyDescent="0.2">
      <c r="A255" t="s">
        <v>4530</v>
      </c>
      <c r="B255" t="s">
        <v>4431</v>
      </c>
      <c r="C255" t="s">
        <v>8005</v>
      </c>
      <c r="D255">
        <v>32.200000000000003</v>
      </c>
      <c r="E255">
        <v>32.200000000000003</v>
      </c>
      <c r="F255" s="47">
        <v>0.73</v>
      </c>
      <c r="G255">
        <v>384</v>
      </c>
      <c r="H255">
        <v>100</v>
      </c>
      <c r="I255">
        <v>2107</v>
      </c>
      <c r="K255" t="s">
        <v>4531</v>
      </c>
      <c r="L255" t="s">
        <v>2201</v>
      </c>
      <c r="M255" t="s">
        <v>8006</v>
      </c>
      <c r="N255">
        <v>34.200000000000003</v>
      </c>
      <c r="O255">
        <v>34.200000000000003</v>
      </c>
      <c r="P255" s="47">
        <v>0.95</v>
      </c>
      <c r="Q255">
        <v>97</v>
      </c>
      <c r="R255">
        <v>95.24</v>
      </c>
      <c r="S255">
        <v>16565</v>
      </c>
      <c r="U255" t="s">
        <v>4532</v>
      </c>
      <c r="V255" t="s">
        <v>4533</v>
      </c>
      <c r="W255" t="s">
        <v>8007</v>
      </c>
      <c r="X255">
        <v>36.200000000000003</v>
      </c>
      <c r="Y255">
        <v>36.200000000000003</v>
      </c>
      <c r="Z255" s="47">
        <v>0.69</v>
      </c>
      <c r="AA255">
        <v>61</v>
      </c>
      <c r="AB255">
        <v>100</v>
      </c>
      <c r="AC255">
        <v>2234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0B3D-6E92-4403-80AC-0B539BD6CED9}">
  <dimension ref="A1:J1055"/>
  <sheetViews>
    <sheetView zoomScale="80" zoomScaleNormal="80" workbookViewId="0"/>
  </sheetViews>
  <sheetFormatPr baseColWidth="10" defaultColWidth="8.83203125" defaultRowHeight="16" x14ac:dyDescent="0.2"/>
  <cols>
    <col min="1" max="1" width="10.6640625" customWidth="1"/>
    <col min="2" max="2" width="23.6640625" bestFit="1" customWidth="1"/>
    <col min="3" max="3" width="9.5" customWidth="1"/>
    <col min="4" max="4" width="10.83203125" customWidth="1"/>
    <col min="5" max="5" width="16.33203125" customWidth="1"/>
    <col min="6" max="6" width="18.1640625" customWidth="1"/>
    <col min="7" max="7" width="38.5" customWidth="1"/>
    <col min="8" max="8" width="14.5" bestFit="1" customWidth="1"/>
    <col min="9" max="9" width="13.6640625" bestFit="1" customWidth="1"/>
    <col min="10" max="10" width="14" bestFit="1" customWidth="1"/>
  </cols>
  <sheetData>
    <row r="1" spans="1:10" s="59" customFormat="1" x14ac:dyDescent="0.2">
      <c r="A1" s="59" t="s">
        <v>8021</v>
      </c>
    </row>
    <row r="3" spans="1:10" x14ac:dyDescent="0.2">
      <c r="A3" s="44" t="s">
        <v>717</v>
      </c>
      <c r="B3" s="44" t="s">
        <v>1497</v>
      </c>
      <c r="C3" s="44" t="s">
        <v>1498</v>
      </c>
      <c r="D3" s="44" t="s">
        <v>1499</v>
      </c>
      <c r="E3" s="44" t="s">
        <v>1500</v>
      </c>
      <c r="F3" s="44" t="s">
        <v>1501</v>
      </c>
      <c r="G3" s="44" t="s">
        <v>1502</v>
      </c>
      <c r="H3" s="44" t="s">
        <v>1503</v>
      </c>
      <c r="I3" s="44" t="s">
        <v>1504</v>
      </c>
      <c r="J3" s="44" t="s">
        <v>1505</v>
      </c>
    </row>
    <row r="4" spans="1:10" x14ac:dyDescent="0.2">
      <c r="A4" s="45" t="s">
        <v>638</v>
      </c>
      <c r="B4" s="45" t="s">
        <v>64</v>
      </c>
      <c r="C4" s="45" t="s">
        <v>1506</v>
      </c>
      <c r="D4" s="45" t="s">
        <v>1507</v>
      </c>
      <c r="E4" s="45" t="s">
        <v>1508</v>
      </c>
      <c r="F4" s="45" t="s">
        <v>1509</v>
      </c>
      <c r="G4" s="45" t="s">
        <v>26</v>
      </c>
      <c r="H4" s="45">
        <v>0.98399999999999999</v>
      </c>
      <c r="I4" s="45">
        <v>1</v>
      </c>
      <c r="J4" s="45">
        <v>127</v>
      </c>
    </row>
    <row r="5" spans="1:10" x14ac:dyDescent="0.2">
      <c r="A5" s="45" t="s">
        <v>638</v>
      </c>
      <c r="B5" s="45" t="s">
        <v>58</v>
      </c>
      <c r="C5" s="45" t="s">
        <v>1506</v>
      </c>
      <c r="D5" s="45" t="s">
        <v>1507</v>
      </c>
      <c r="E5" s="45" t="s">
        <v>1508</v>
      </c>
      <c r="F5" s="45" t="s">
        <v>1509</v>
      </c>
      <c r="G5" s="45" t="s">
        <v>26</v>
      </c>
      <c r="H5" s="45">
        <v>0.98399999999999999</v>
      </c>
      <c r="I5" s="45">
        <v>1</v>
      </c>
      <c r="J5" s="45">
        <v>127</v>
      </c>
    </row>
    <row r="6" spans="1:10" x14ac:dyDescent="0.2">
      <c r="A6" s="45" t="s">
        <v>638</v>
      </c>
      <c r="B6" s="45" t="s">
        <v>62</v>
      </c>
      <c r="C6" s="45" t="s">
        <v>1506</v>
      </c>
      <c r="D6" s="45" t="s">
        <v>1507</v>
      </c>
      <c r="E6" s="45" t="s">
        <v>1508</v>
      </c>
      <c r="F6" s="45" t="s">
        <v>1509</v>
      </c>
      <c r="G6" s="45" t="s">
        <v>63</v>
      </c>
      <c r="H6" s="45">
        <v>0.98399999999999999</v>
      </c>
      <c r="I6" s="45">
        <v>1</v>
      </c>
      <c r="J6" s="45">
        <v>127</v>
      </c>
    </row>
    <row r="7" spans="1:10" x14ac:dyDescent="0.2">
      <c r="A7" s="45" t="s">
        <v>638</v>
      </c>
      <c r="B7" s="45" t="s">
        <v>59</v>
      </c>
      <c r="C7" s="45" t="s">
        <v>1506</v>
      </c>
      <c r="D7" s="45" t="s">
        <v>1507</v>
      </c>
      <c r="E7" s="45" t="s">
        <v>1508</v>
      </c>
      <c r="F7" s="45" t="s">
        <v>1509</v>
      </c>
      <c r="G7" s="45" t="s">
        <v>57</v>
      </c>
      <c r="H7" s="45">
        <v>0.98399999999999999</v>
      </c>
      <c r="I7" s="45">
        <v>1</v>
      </c>
      <c r="J7" s="45">
        <v>127</v>
      </c>
    </row>
    <row r="8" spans="1:10" x14ac:dyDescent="0.2">
      <c r="A8" t="s">
        <v>638</v>
      </c>
      <c r="B8" t="s">
        <v>1510</v>
      </c>
      <c r="C8" t="s">
        <v>1506</v>
      </c>
      <c r="D8" t="s">
        <v>1507</v>
      </c>
      <c r="E8" t="s">
        <v>1511</v>
      </c>
      <c r="F8" t="s">
        <v>1512</v>
      </c>
      <c r="G8" t="s">
        <v>1513</v>
      </c>
      <c r="H8">
        <v>0.189</v>
      </c>
      <c r="I8">
        <v>0</v>
      </c>
      <c r="J8">
        <v>127</v>
      </c>
    </row>
    <row r="9" spans="1:10" x14ac:dyDescent="0.2">
      <c r="A9" t="s">
        <v>638</v>
      </c>
      <c r="B9" t="s">
        <v>1514</v>
      </c>
      <c r="C9" t="s">
        <v>1506</v>
      </c>
      <c r="D9" t="s">
        <v>1507</v>
      </c>
      <c r="E9" t="s">
        <v>1515</v>
      </c>
      <c r="F9" t="s">
        <v>1516</v>
      </c>
      <c r="G9" t="s">
        <v>1517</v>
      </c>
      <c r="H9">
        <v>0.122</v>
      </c>
      <c r="I9">
        <v>0</v>
      </c>
      <c r="J9">
        <v>127</v>
      </c>
    </row>
    <row r="10" spans="1:10" x14ac:dyDescent="0.2">
      <c r="A10" t="s">
        <v>638</v>
      </c>
      <c r="B10" t="s">
        <v>1518</v>
      </c>
      <c r="C10" t="s">
        <v>1506</v>
      </c>
      <c r="D10" t="s">
        <v>1507</v>
      </c>
      <c r="E10" t="s">
        <v>1519</v>
      </c>
      <c r="F10" t="s">
        <v>1520</v>
      </c>
      <c r="G10" t="s">
        <v>1521</v>
      </c>
      <c r="H10">
        <v>6.6000000000000003E-2</v>
      </c>
      <c r="I10">
        <v>0</v>
      </c>
      <c r="J10">
        <v>127</v>
      </c>
    </row>
    <row r="11" spans="1:10" x14ac:dyDescent="0.2">
      <c r="A11" t="s">
        <v>638</v>
      </c>
      <c r="B11" t="s">
        <v>1522</v>
      </c>
      <c r="C11" t="s">
        <v>1506</v>
      </c>
      <c r="D11" t="s">
        <v>1507</v>
      </c>
      <c r="E11" t="s">
        <v>1523</v>
      </c>
      <c r="F11" t="s">
        <v>1524</v>
      </c>
      <c r="G11" t="s">
        <v>1525</v>
      </c>
      <c r="H11">
        <v>6.4000000000000001E-2</v>
      </c>
      <c r="I11">
        <v>0</v>
      </c>
      <c r="J11">
        <v>127</v>
      </c>
    </row>
    <row r="12" spans="1:10" x14ac:dyDescent="0.2">
      <c r="A12" t="s">
        <v>638</v>
      </c>
      <c r="B12" t="s">
        <v>1526</v>
      </c>
      <c r="C12" t="s">
        <v>1506</v>
      </c>
      <c r="D12" t="s">
        <v>1507</v>
      </c>
      <c r="E12" t="s">
        <v>1523</v>
      </c>
      <c r="F12" t="s">
        <v>1524</v>
      </c>
      <c r="G12" t="s">
        <v>1527</v>
      </c>
      <c r="H12">
        <v>6.4000000000000001E-2</v>
      </c>
      <c r="I12">
        <v>0</v>
      </c>
      <c r="J12">
        <v>127</v>
      </c>
    </row>
    <row r="13" spans="1:10" x14ac:dyDescent="0.2">
      <c r="A13" t="s">
        <v>638</v>
      </c>
      <c r="B13" t="s">
        <v>1528</v>
      </c>
      <c r="C13" t="s">
        <v>1506</v>
      </c>
      <c r="D13" t="s">
        <v>1507</v>
      </c>
      <c r="E13" t="s">
        <v>1523</v>
      </c>
      <c r="F13" t="s">
        <v>1524</v>
      </c>
      <c r="G13" t="s">
        <v>1529</v>
      </c>
      <c r="H13">
        <v>6.4000000000000001E-2</v>
      </c>
      <c r="I13">
        <v>0</v>
      </c>
      <c r="J13">
        <v>127</v>
      </c>
    </row>
    <row r="14" spans="1:10" x14ac:dyDescent="0.2">
      <c r="A14" t="s">
        <v>638</v>
      </c>
      <c r="B14" t="s">
        <v>1530</v>
      </c>
      <c r="C14" t="s">
        <v>1506</v>
      </c>
      <c r="D14" t="s">
        <v>1507</v>
      </c>
      <c r="E14" t="s">
        <v>1531</v>
      </c>
      <c r="F14" t="s">
        <v>1532</v>
      </c>
      <c r="G14" t="s">
        <v>1533</v>
      </c>
      <c r="H14">
        <v>4.1000000000000002E-2</v>
      </c>
      <c r="I14">
        <v>0</v>
      </c>
      <c r="J14">
        <v>127</v>
      </c>
    </row>
    <row r="15" spans="1:10" x14ac:dyDescent="0.2">
      <c r="A15" t="s">
        <v>638</v>
      </c>
      <c r="B15" t="s">
        <v>1534</v>
      </c>
      <c r="C15" t="s">
        <v>1506</v>
      </c>
      <c r="D15" t="s">
        <v>1507</v>
      </c>
      <c r="E15" t="s">
        <v>1519</v>
      </c>
      <c r="F15" t="s">
        <v>1520</v>
      </c>
      <c r="G15" t="s">
        <v>1535</v>
      </c>
      <c r="H15">
        <v>3.4000000000000002E-2</v>
      </c>
      <c r="I15">
        <v>0</v>
      </c>
      <c r="J15">
        <v>127</v>
      </c>
    </row>
    <row r="16" spans="1:10" x14ac:dyDescent="0.2">
      <c r="A16" t="s">
        <v>638</v>
      </c>
      <c r="B16" t="s">
        <v>1536</v>
      </c>
      <c r="C16" t="s">
        <v>1506</v>
      </c>
      <c r="D16" t="s">
        <v>1507</v>
      </c>
      <c r="E16" t="s">
        <v>1537</v>
      </c>
      <c r="F16" t="s">
        <v>1538</v>
      </c>
      <c r="G16" t="s">
        <v>1539</v>
      </c>
      <c r="H16">
        <v>2.5999999999999999E-2</v>
      </c>
      <c r="I16">
        <v>1E-3</v>
      </c>
      <c r="J16">
        <v>127</v>
      </c>
    </row>
    <row r="17" spans="1:10" x14ac:dyDescent="0.2">
      <c r="A17" t="s">
        <v>638</v>
      </c>
      <c r="B17" t="s">
        <v>1540</v>
      </c>
      <c r="C17" t="s">
        <v>1506</v>
      </c>
      <c r="D17" t="s">
        <v>1507</v>
      </c>
      <c r="E17" t="s">
        <v>1537</v>
      </c>
      <c r="F17" t="s">
        <v>1538</v>
      </c>
      <c r="G17" t="s">
        <v>1539</v>
      </c>
      <c r="H17">
        <v>2.5999999999999999E-2</v>
      </c>
      <c r="I17">
        <v>1E-3</v>
      </c>
      <c r="J17">
        <v>127</v>
      </c>
    </row>
    <row r="18" spans="1:10" x14ac:dyDescent="0.2">
      <c r="A18" t="s">
        <v>638</v>
      </c>
      <c r="B18" t="s">
        <v>1541</v>
      </c>
      <c r="C18" t="s">
        <v>1506</v>
      </c>
      <c r="D18" t="s">
        <v>1507</v>
      </c>
      <c r="E18" t="s">
        <v>1523</v>
      </c>
      <c r="F18" t="s">
        <v>1524</v>
      </c>
      <c r="G18" t="s">
        <v>1542</v>
      </c>
      <c r="H18">
        <v>2.5999999999999999E-2</v>
      </c>
      <c r="I18">
        <v>0</v>
      </c>
      <c r="J18">
        <v>127</v>
      </c>
    </row>
    <row r="19" spans="1:10" x14ac:dyDescent="0.2">
      <c r="A19" t="s">
        <v>638</v>
      </c>
      <c r="B19" t="s">
        <v>1543</v>
      </c>
      <c r="C19" t="s">
        <v>1506</v>
      </c>
      <c r="D19" t="s">
        <v>1507</v>
      </c>
      <c r="E19" t="s">
        <v>1544</v>
      </c>
      <c r="F19" t="s">
        <v>1545</v>
      </c>
      <c r="G19" t="s">
        <v>1546</v>
      </c>
      <c r="H19">
        <v>2.5999999999999999E-2</v>
      </c>
      <c r="I19">
        <v>0</v>
      </c>
      <c r="J19">
        <v>127</v>
      </c>
    </row>
    <row r="20" spans="1:10" x14ac:dyDescent="0.2">
      <c r="A20" t="s">
        <v>638</v>
      </c>
      <c r="B20" t="s">
        <v>1547</v>
      </c>
      <c r="C20" t="s">
        <v>1506</v>
      </c>
      <c r="D20" t="s">
        <v>1507</v>
      </c>
      <c r="E20" t="s">
        <v>1544</v>
      </c>
      <c r="F20" t="s">
        <v>1545</v>
      </c>
      <c r="G20" t="s">
        <v>1546</v>
      </c>
      <c r="H20">
        <v>2.5999999999999999E-2</v>
      </c>
      <c r="I20">
        <v>0</v>
      </c>
      <c r="J20">
        <v>127</v>
      </c>
    </row>
    <row r="21" spans="1:10" x14ac:dyDescent="0.2">
      <c r="A21" t="s">
        <v>638</v>
      </c>
      <c r="B21" t="s">
        <v>1548</v>
      </c>
      <c r="C21" t="s">
        <v>1506</v>
      </c>
      <c r="D21" t="s">
        <v>1507</v>
      </c>
      <c r="E21" t="s">
        <v>1523</v>
      </c>
      <c r="F21" t="s">
        <v>1524</v>
      </c>
      <c r="G21" t="s">
        <v>1549</v>
      </c>
      <c r="H21">
        <v>2.4E-2</v>
      </c>
      <c r="I21">
        <v>0</v>
      </c>
      <c r="J21">
        <v>127</v>
      </c>
    </row>
    <row r="22" spans="1:10" x14ac:dyDescent="0.2">
      <c r="A22" t="s">
        <v>638</v>
      </c>
      <c r="B22" t="s">
        <v>1550</v>
      </c>
      <c r="C22" t="s">
        <v>1506</v>
      </c>
      <c r="D22" t="s">
        <v>1507</v>
      </c>
      <c r="E22" t="s">
        <v>1523</v>
      </c>
      <c r="F22" t="s">
        <v>1524</v>
      </c>
      <c r="G22" t="s">
        <v>1551</v>
      </c>
      <c r="H22">
        <v>2.3E-2</v>
      </c>
      <c r="I22">
        <v>0</v>
      </c>
      <c r="J22">
        <v>127</v>
      </c>
    </row>
    <row r="23" spans="1:10" x14ac:dyDescent="0.2">
      <c r="A23" t="s">
        <v>638</v>
      </c>
      <c r="B23" t="s">
        <v>1552</v>
      </c>
      <c r="C23" t="s">
        <v>1506</v>
      </c>
      <c r="D23" t="s">
        <v>1507</v>
      </c>
      <c r="E23" t="s">
        <v>1523</v>
      </c>
      <c r="F23" t="s">
        <v>1553</v>
      </c>
      <c r="G23" t="s">
        <v>1554</v>
      </c>
      <c r="H23">
        <v>2.3E-2</v>
      </c>
      <c r="I23">
        <v>0</v>
      </c>
      <c r="J23">
        <v>127</v>
      </c>
    </row>
    <row r="24" spans="1:10" x14ac:dyDescent="0.2">
      <c r="A24" t="s">
        <v>638</v>
      </c>
      <c r="B24" t="s">
        <v>1555</v>
      </c>
      <c r="C24" t="s">
        <v>1506</v>
      </c>
      <c r="D24" t="s">
        <v>1507</v>
      </c>
      <c r="E24" t="s">
        <v>1556</v>
      </c>
      <c r="F24" t="s">
        <v>1557</v>
      </c>
      <c r="G24" t="s">
        <v>1558</v>
      </c>
      <c r="H24">
        <v>2.1999999999999999E-2</v>
      </c>
      <c r="I24">
        <v>0</v>
      </c>
      <c r="J24">
        <v>127</v>
      </c>
    </row>
    <row r="25" spans="1:10" x14ac:dyDescent="0.2">
      <c r="A25" t="s">
        <v>638</v>
      </c>
      <c r="B25" t="s">
        <v>1559</v>
      </c>
      <c r="C25" t="s">
        <v>1506</v>
      </c>
      <c r="D25" t="s">
        <v>1507</v>
      </c>
      <c r="E25" t="s">
        <v>1556</v>
      </c>
      <c r="F25" t="s">
        <v>1560</v>
      </c>
      <c r="G25" t="s">
        <v>1561</v>
      </c>
      <c r="H25">
        <v>0.02</v>
      </c>
      <c r="I25">
        <v>0</v>
      </c>
      <c r="J25">
        <v>127</v>
      </c>
    </row>
    <row r="26" spans="1:10" x14ac:dyDescent="0.2">
      <c r="A26" t="s">
        <v>638</v>
      </c>
      <c r="B26" t="s">
        <v>1562</v>
      </c>
      <c r="C26" t="s">
        <v>1506</v>
      </c>
      <c r="D26" t="s">
        <v>1507</v>
      </c>
      <c r="E26" t="s">
        <v>1511</v>
      </c>
      <c r="F26" t="s">
        <v>1512</v>
      </c>
      <c r="G26" t="s">
        <v>1563</v>
      </c>
      <c r="H26">
        <v>1.9E-2</v>
      </c>
      <c r="I26">
        <v>0</v>
      </c>
      <c r="J26">
        <v>127</v>
      </c>
    </row>
    <row r="27" spans="1:10" x14ac:dyDescent="0.2">
      <c r="A27" t="s">
        <v>638</v>
      </c>
      <c r="B27" t="s">
        <v>1564</v>
      </c>
      <c r="C27" t="s">
        <v>1506</v>
      </c>
      <c r="D27" t="s">
        <v>1507</v>
      </c>
      <c r="E27" t="s">
        <v>1531</v>
      </c>
      <c r="F27" t="s">
        <v>1565</v>
      </c>
      <c r="G27" t="s">
        <v>1566</v>
      </c>
      <c r="H27">
        <v>1.9E-2</v>
      </c>
      <c r="I27">
        <v>0</v>
      </c>
      <c r="J27">
        <v>127</v>
      </c>
    </row>
    <row r="28" spans="1:10" x14ac:dyDescent="0.2">
      <c r="A28" t="s">
        <v>638</v>
      </c>
      <c r="B28" t="s">
        <v>1567</v>
      </c>
      <c r="C28" t="s">
        <v>1506</v>
      </c>
      <c r="D28" t="s">
        <v>1507</v>
      </c>
      <c r="E28" t="s">
        <v>1531</v>
      </c>
      <c r="F28" t="s">
        <v>1568</v>
      </c>
      <c r="G28" t="s">
        <v>1569</v>
      </c>
      <c r="H28">
        <v>1.9E-2</v>
      </c>
      <c r="I28">
        <v>0</v>
      </c>
      <c r="J28">
        <v>127</v>
      </c>
    </row>
    <row r="29" spans="1:10" x14ac:dyDescent="0.2">
      <c r="A29" t="s">
        <v>638</v>
      </c>
      <c r="B29" t="s">
        <v>1570</v>
      </c>
      <c r="C29" t="s">
        <v>1506</v>
      </c>
      <c r="D29" t="s">
        <v>1507</v>
      </c>
      <c r="E29" t="s">
        <v>1571</v>
      </c>
      <c r="F29" t="s">
        <v>1572</v>
      </c>
      <c r="G29" t="s">
        <v>1573</v>
      </c>
      <c r="H29">
        <v>1.7999999999999999E-2</v>
      </c>
      <c r="I29">
        <v>0</v>
      </c>
      <c r="J29">
        <v>127</v>
      </c>
    </row>
    <row r="30" spans="1:10" x14ac:dyDescent="0.2">
      <c r="A30" t="s">
        <v>638</v>
      </c>
      <c r="B30" t="s">
        <v>1574</v>
      </c>
      <c r="C30" t="s">
        <v>1506</v>
      </c>
      <c r="D30" t="s">
        <v>1507</v>
      </c>
      <c r="E30" t="s">
        <v>8</v>
      </c>
      <c r="F30" t="s">
        <v>1575</v>
      </c>
      <c r="G30" t="s">
        <v>1576</v>
      </c>
      <c r="H30">
        <v>1.7000000000000001E-2</v>
      </c>
      <c r="I30">
        <v>0</v>
      </c>
      <c r="J30">
        <v>127</v>
      </c>
    </row>
    <row r="31" spans="1:10" x14ac:dyDescent="0.2">
      <c r="A31" t="s">
        <v>638</v>
      </c>
      <c r="B31" t="s">
        <v>1577</v>
      </c>
      <c r="C31" t="s">
        <v>1506</v>
      </c>
      <c r="D31" t="s">
        <v>1507</v>
      </c>
      <c r="E31" t="s">
        <v>8</v>
      </c>
      <c r="F31" t="s">
        <v>1578</v>
      </c>
      <c r="G31" t="s">
        <v>1579</v>
      </c>
      <c r="H31">
        <v>1.4999999999999999E-2</v>
      </c>
      <c r="I31">
        <v>0</v>
      </c>
      <c r="J31">
        <v>127</v>
      </c>
    </row>
    <row r="32" spans="1:10" x14ac:dyDescent="0.2">
      <c r="A32" t="s">
        <v>638</v>
      </c>
      <c r="B32" t="s">
        <v>1580</v>
      </c>
      <c r="C32" t="s">
        <v>1506</v>
      </c>
      <c r="D32" t="s">
        <v>1507</v>
      </c>
      <c r="E32" t="s">
        <v>1556</v>
      </c>
      <c r="F32" t="s">
        <v>1581</v>
      </c>
      <c r="G32" t="s">
        <v>1582</v>
      </c>
      <c r="H32">
        <v>1.4999999999999999E-2</v>
      </c>
      <c r="I32">
        <v>0</v>
      </c>
      <c r="J32">
        <v>127</v>
      </c>
    </row>
    <row r="33" spans="1:10" x14ac:dyDescent="0.2">
      <c r="A33" t="s">
        <v>638</v>
      </c>
      <c r="B33" t="s">
        <v>1583</v>
      </c>
      <c r="C33" t="s">
        <v>1506</v>
      </c>
      <c r="D33" t="s">
        <v>1507</v>
      </c>
      <c r="E33" t="s">
        <v>1523</v>
      </c>
      <c r="F33" t="s">
        <v>1524</v>
      </c>
      <c r="G33" t="s">
        <v>1584</v>
      </c>
      <c r="H33">
        <v>1.2999999999999999E-2</v>
      </c>
      <c r="I33">
        <v>0</v>
      </c>
      <c r="J33">
        <v>127</v>
      </c>
    </row>
    <row r="34" spans="1:10" x14ac:dyDescent="0.2">
      <c r="A34" t="s">
        <v>638</v>
      </c>
      <c r="B34" t="s">
        <v>1585</v>
      </c>
      <c r="C34" t="s">
        <v>1506</v>
      </c>
      <c r="D34" t="s">
        <v>1507</v>
      </c>
      <c r="E34" t="s">
        <v>1586</v>
      </c>
      <c r="F34" t="s">
        <v>1587</v>
      </c>
      <c r="G34" t="s">
        <v>1588</v>
      </c>
      <c r="H34">
        <v>1.2999999999999999E-2</v>
      </c>
      <c r="I34">
        <v>0</v>
      </c>
      <c r="J34">
        <v>127</v>
      </c>
    </row>
    <row r="35" spans="1:10" x14ac:dyDescent="0.2">
      <c r="A35" t="s">
        <v>638</v>
      </c>
      <c r="B35" t="s">
        <v>1589</v>
      </c>
      <c r="C35" t="s">
        <v>1506</v>
      </c>
      <c r="D35" t="s">
        <v>1507</v>
      </c>
      <c r="E35" t="s">
        <v>1523</v>
      </c>
      <c r="F35" t="s">
        <v>1524</v>
      </c>
      <c r="G35" t="s">
        <v>1590</v>
      </c>
      <c r="H35">
        <v>1.2999999999999999E-2</v>
      </c>
      <c r="I35">
        <v>0</v>
      </c>
      <c r="J35">
        <v>127</v>
      </c>
    </row>
    <row r="36" spans="1:10" x14ac:dyDescent="0.2">
      <c r="A36" t="s">
        <v>638</v>
      </c>
      <c r="B36" t="s">
        <v>1591</v>
      </c>
      <c r="C36" t="s">
        <v>1506</v>
      </c>
      <c r="D36" t="s">
        <v>1507</v>
      </c>
      <c r="E36" t="s">
        <v>1511</v>
      </c>
      <c r="F36" t="s">
        <v>1512</v>
      </c>
      <c r="G36" t="s">
        <v>1592</v>
      </c>
      <c r="H36">
        <v>1.2E-2</v>
      </c>
      <c r="I36">
        <v>0</v>
      </c>
      <c r="J36">
        <v>127</v>
      </c>
    </row>
    <row r="37" spans="1:10" x14ac:dyDescent="0.2">
      <c r="A37" t="s">
        <v>638</v>
      </c>
      <c r="B37" t="s">
        <v>1593</v>
      </c>
      <c r="C37" t="s">
        <v>1506</v>
      </c>
      <c r="D37" t="s">
        <v>1507</v>
      </c>
      <c r="E37" t="s">
        <v>8</v>
      </c>
      <c r="F37" t="s">
        <v>1575</v>
      </c>
      <c r="G37" t="s">
        <v>1594</v>
      </c>
      <c r="H37">
        <v>8.9999999999999993E-3</v>
      </c>
      <c r="I37">
        <v>0</v>
      </c>
      <c r="J37">
        <v>127</v>
      </c>
    </row>
    <row r="38" spans="1:10" x14ac:dyDescent="0.2">
      <c r="A38" t="s">
        <v>638</v>
      </c>
      <c r="B38" t="s">
        <v>1595</v>
      </c>
      <c r="C38" t="s">
        <v>1506</v>
      </c>
      <c r="D38" t="s">
        <v>1507</v>
      </c>
      <c r="E38" t="s">
        <v>1596</v>
      </c>
      <c r="F38" t="s">
        <v>1597</v>
      </c>
      <c r="G38" t="s">
        <v>1598</v>
      </c>
      <c r="H38">
        <v>8.9999999999999993E-3</v>
      </c>
      <c r="I38">
        <v>0</v>
      </c>
      <c r="J38">
        <v>300</v>
      </c>
    </row>
    <row r="39" spans="1:10" x14ac:dyDescent="0.2">
      <c r="A39" t="s">
        <v>638</v>
      </c>
      <c r="B39" t="s">
        <v>1599</v>
      </c>
      <c r="C39" t="s">
        <v>1506</v>
      </c>
      <c r="D39" t="s">
        <v>1507</v>
      </c>
      <c r="E39" t="s">
        <v>1523</v>
      </c>
      <c r="F39" t="s">
        <v>1600</v>
      </c>
      <c r="G39" t="s">
        <v>1601</v>
      </c>
      <c r="H39">
        <v>8.0000000000000002E-3</v>
      </c>
      <c r="I39">
        <v>0</v>
      </c>
      <c r="J39">
        <v>127</v>
      </c>
    </row>
    <row r="40" spans="1:10" x14ac:dyDescent="0.2">
      <c r="A40" t="s">
        <v>638</v>
      </c>
      <c r="B40" t="s">
        <v>1602</v>
      </c>
      <c r="C40" t="s">
        <v>1506</v>
      </c>
      <c r="D40" t="s">
        <v>1507</v>
      </c>
      <c r="E40" t="s">
        <v>1523</v>
      </c>
      <c r="F40" t="s">
        <v>1524</v>
      </c>
      <c r="G40" t="s">
        <v>1527</v>
      </c>
      <c r="H40">
        <v>8.0000000000000002E-3</v>
      </c>
      <c r="I40">
        <v>0</v>
      </c>
      <c r="J40">
        <v>127</v>
      </c>
    </row>
    <row r="41" spans="1:10" x14ac:dyDescent="0.2">
      <c r="A41" t="s">
        <v>638</v>
      </c>
      <c r="B41" t="s">
        <v>1603</v>
      </c>
      <c r="C41" t="s">
        <v>1506</v>
      </c>
      <c r="D41" t="s">
        <v>1507</v>
      </c>
      <c r="E41" t="s">
        <v>1523</v>
      </c>
      <c r="F41" t="s">
        <v>1524</v>
      </c>
      <c r="G41" t="s">
        <v>1604</v>
      </c>
      <c r="H41">
        <v>8.0000000000000002E-3</v>
      </c>
      <c r="I41">
        <v>0</v>
      </c>
      <c r="J41">
        <v>127</v>
      </c>
    </row>
    <row r="42" spans="1:10" x14ac:dyDescent="0.2">
      <c r="A42" t="s">
        <v>638</v>
      </c>
      <c r="B42" t="s">
        <v>1605</v>
      </c>
      <c r="C42" t="s">
        <v>1506</v>
      </c>
      <c r="D42" t="s">
        <v>1507</v>
      </c>
      <c r="E42" t="s">
        <v>1523</v>
      </c>
      <c r="F42" t="s">
        <v>1524</v>
      </c>
      <c r="G42" t="s">
        <v>1604</v>
      </c>
      <c r="H42">
        <v>8.0000000000000002E-3</v>
      </c>
      <c r="I42">
        <v>0</v>
      </c>
      <c r="J42">
        <v>127</v>
      </c>
    </row>
    <row r="43" spans="1:10" x14ac:dyDescent="0.2">
      <c r="A43" t="s">
        <v>638</v>
      </c>
      <c r="B43" t="s">
        <v>1606</v>
      </c>
      <c r="C43" t="s">
        <v>1506</v>
      </c>
      <c r="D43" t="s">
        <v>1507</v>
      </c>
      <c r="E43" t="s">
        <v>1523</v>
      </c>
      <c r="F43" t="s">
        <v>1524</v>
      </c>
      <c r="G43" t="s">
        <v>1607</v>
      </c>
      <c r="H43">
        <v>8.0000000000000002E-3</v>
      </c>
      <c r="I43">
        <v>0</v>
      </c>
      <c r="J43">
        <v>127</v>
      </c>
    </row>
    <row r="44" spans="1:10" x14ac:dyDescent="0.2">
      <c r="A44" t="s">
        <v>638</v>
      </c>
      <c r="B44" t="s">
        <v>1608</v>
      </c>
      <c r="C44" t="s">
        <v>1506</v>
      </c>
      <c r="D44" t="s">
        <v>1507</v>
      </c>
      <c r="E44" t="s">
        <v>1523</v>
      </c>
      <c r="F44" t="s">
        <v>1524</v>
      </c>
      <c r="G44" t="s">
        <v>1609</v>
      </c>
      <c r="H44">
        <v>8.0000000000000002E-3</v>
      </c>
      <c r="I44">
        <v>0</v>
      </c>
      <c r="J44">
        <v>127</v>
      </c>
    </row>
    <row r="45" spans="1:10" x14ac:dyDescent="0.2">
      <c r="A45" t="s">
        <v>638</v>
      </c>
      <c r="B45" t="s">
        <v>1610</v>
      </c>
      <c r="C45" t="s">
        <v>1506</v>
      </c>
      <c r="D45" t="s">
        <v>1507</v>
      </c>
      <c r="E45" t="s">
        <v>1523</v>
      </c>
      <c r="F45" t="s">
        <v>1524</v>
      </c>
      <c r="G45" t="s">
        <v>1611</v>
      </c>
      <c r="H45">
        <v>8.0000000000000002E-3</v>
      </c>
      <c r="I45">
        <v>0</v>
      </c>
      <c r="J45">
        <v>127</v>
      </c>
    </row>
    <row r="46" spans="1:10" x14ac:dyDescent="0.2">
      <c r="A46" t="s">
        <v>638</v>
      </c>
      <c r="B46" t="s">
        <v>1612</v>
      </c>
      <c r="C46" t="s">
        <v>1506</v>
      </c>
      <c r="D46" t="s">
        <v>1507</v>
      </c>
      <c r="E46" t="s">
        <v>1544</v>
      </c>
      <c r="F46" t="s">
        <v>1545</v>
      </c>
      <c r="G46" t="s">
        <v>1613</v>
      </c>
      <c r="H46">
        <v>8.0000000000000002E-3</v>
      </c>
      <c r="I46">
        <v>0</v>
      </c>
      <c r="J46">
        <v>127</v>
      </c>
    </row>
    <row r="47" spans="1:10" x14ac:dyDescent="0.2">
      <c r="A47" t="s">
        <v>638</v>
      </c>
      <c r="B47" t="s">
        <v>1614</v>
      </c>
      <c r="C47" t="s">
        <v>1506</v>
      </c>
      <c r="D47" t="s">
        <v>1507</v>
      </c>
      <c r="E47" t="s">
        <v>8</v>
      </c>
      <c r="F47" t="s">
        <v>1615</v>
      </c>
      <c r="G47" t="s">
        <v>1616</v>
      </c>
      <c r="H47">
        <v>8.0000000000000002E-3</v>
      </c>
      <c r="I47">
        <v>0</v>
      </c>
      <c r="J47">
        <v>127</v>
      </c>
    </row>
    <row r="48" spans="1:10" x14ac:dyDescent="0.2">
      <c r="A48" t="s">
        <v>638</v>
      </c>
      <c r="B48" t="s">
        <v>1617</v>
      </c>
      <c r="C48" t="s">
        <v>1506</v>
      </c>
      <c r="D48" t="s">
        <v>1507</v>
      </c>
      <c r="E48" t="s">
        <v>8</v>
      </c>
      <c r="F48" t="s">
        <v>1578</v>
      </c>
      <c r="G48" t="s">
        <v>1618</v>
      </c>
      <c r="H48">
        <v>7.0000000000000001E-3</v>
      </c>
      <c r="I48">
        <v>0</v>
      </c>
      <c r="J48">
        <v>127</v>
      </c>
    </row>
    <row r="49" spans="1:10" x14ac:dyDescent="0.2">
      <c r="A49" t="s">
        <v>638</v>
      </c>
      <c r="B49" t="s">
        <v>1619</v>
      </c>
      <c r="C49" t="s">
        <v>1506</v>
      </c>
      <c r="D49" t="s">
        <v>1507</v>
      </c>
      <c r="E49" t="s">
        <v>1544</v>
      </c>
      <c r="F49" t="s">
        <v>1545</v>
      </c>
      <c r="G49" t="s">
        <v>1620</v>
      </c>
      <c r="H49">
        <v>7.0000000000000001E-3</v>
      </c>
      <c r="I49">
        <v>0</v>
      </c>
      <c r="J49">
        <v>127</v>
      </c>
    </row>
    <row r="50" spans="1:10" x14ac:dyDescent="0.2">
      <c r="A50" t="s">
        <v>638</v>
      </c>
      <c r="B50" t="s">
        <v>1621</v>
      </c>
      <c r="C50" t="s">
        <v>1506</v>
      </c>
      <c r="D50" t="s">
        <v>1507</v>
      </c>
      <c r="E50" t="s">
        <v>1586</v>
      </c>
      <c r="F50" t="s">
        <v>1622</v>
      </c>
      <c r="G50" t="s">
        <v>1623</v>
      </c>
      <c r="H50">
        <v>7.0000000000000001E-3</v>
      </c>
      <c r="I50">
        <v>0</v>
      </c>
      <c r="J50">
        <v>127</v>
      </c>
    </row>
    <row r="51" spans="1:10" x14ac:dyDescent="0.2">
      <c r="A51" t="s">
        <v>638</v>
      </c>
      <c r="B51" t="s">
        <v>1624</v>
      </c>
      <c r="C51" t="s">
        <v>1506</v>
      </c>
      <c r="D51" t="s">
        <v>1507</v>
      </c>
      <c r="E51" t="s">
        <v>1625</v>
      </c>
      <c r="F51" t="s">
        <v>1626</v>
      </c>
      <c r="G51" t="s">
        <v>1627</v>
      </c>
      <c r="H51">
        <v>6.0000000000000001E-3</v>
      </c>
      <c r="I51">
        <v>0</v>
      </c>
      <c r="J51">
        <v>127</v>
      </c>
    </row>
    <row r="52" spans="1:10" x14ac:dyDescent="0.2">
      <c r="A52" t="s">
        <v>638</v>
      </c>
      <c r="B52" t="s">
        <v>1628</v>
      </c>
      <c r="C52" t="s">
        <v>1506</v>
      </c>
      <c r="D52" t="s">
        <v>1507</v>
      </c>
      <c r="E52" t="s">
        <v>1523</v>
      </c>
      <c r="F52" t="s">
        <v>1524</v>
      </c>
      <c r="G52" t="s">
        <v>1629</v>
      </c>
      <c r="H52">
        <v>6.0000000000000001E-3</v>
      </c>
      <c r="I52">
        <v>0</v>
      </c>
      <c r="J52">
        <v>127</v>
      </c>
    </row>
    <row r="53" spans="1:10" x14ac:dyDescent="0.2">
      <c r="A53" t="s">
        <v>638</v>
      </c>
      <c r="B53" t="s">
        <v>1630</v>
      </c>
      <c r="C53" t="s">
        <v>1506</v>
      </c>
      <c r="D53" t="s">
        <v>1507</v>
      </c>
      <c r="E53" t="s">
        <v>1531</v>
      </c>
      <c r="F53" t="s">
        <v>1532</v>
      </c>
      <c r="G53" t="s">
        <v>1631</v>
      </c>
      <c r="H53">
        <v>6.0000000000000001E-3</v>
      </c>
      <c r="I53">
        <v>0</v>
      </c>
      <c r="J53">
        <v>127</v>
      </c>
    </row>
    <row r="54" spans="1:10" x14ac:dyDescent="0.2">
      <c r="A54" t="s">
        <v>638</v>
      </c>
      <c r="B54" t="s">
        <v>1632</v>
      </c>
      <c r="C54" t="s">
        <v>1506</v>
      </c>
      <c r="D54" t="s">
        <v>1507</v>
      </c>
      <c r="E54" t="s">
        <v>1633</v>
      </c>
      <c r="F54" t="s">
        <v>1634</v>
      </c>
      <c r="G54" t="s">
        <v>1635</v>
      </c>
      <c r="H54">
        <v>5.0000000000000001E-3</v>
      </c>
      <c r="I54">
        <v>0</v>
      </c>
      <c r="J54">
        <v>127</v>
      </c>
    </row>
    <row r="55" spans="1:10" x14ac:dyDescent="0.2">
      <c r="A55" t="s">
        <v>638</v>
      </c>
      <c r="B55" t="s">
        <v>1636</v>
      </c>
      <c r="C55" t="s">
        <v>1506</v>
      </c>
      <c r="D55" t="s">
        <v>1507</v>
      </c>
      <c r="E55" t="s">
        <v>8</v>
      </c>
      <c r="F55" t="s">
        <v>1575</v>
      </c>
      <c r="G55" t="s">
        <v>1637</v>
      </c>
      <c r="H55">
        <v>5.0000000000000001E-3</v>
      </c>
      <c r="I55">
        <v>0</v>
      </c>
      <c r="J55">
        <v>127</v>
      </c>
    </row>
    <row r="56" spans="1:10" x14ac:dyDescent="0.2">
      <c r="A56" t="s">
        <v>638</v>
      </c>
      <c r="B56" t="s">
        <v>1638</v>
      </c>
      <c r="C56" t="s">
        <v>1506</v>
      </c>
      <c r="D56" t="s">
        <v>1507</v>
      </c>
      <c r="E56" t="s">
        <v>8</v>
      </c>
      <c r="F56" t="s">
        <v>1575</v>
      </c>
      <c r="G56" t="s">
        <v>1639</v>
      </c>
      <c r="H56">
        <v>5.0000000000000001E-3</v>
      </c>
      <c r="I56">
        <v>0</v>
      </c>
      <c r="J56">
        <v>127</v>
      </c>
    </row>
    <row r="57" spans="1:10" x14ac:dyDescent="0.2">
      <c r="A57" t="s">
        <v>638</v>
      </c>
      <c r="B57" t="s">
        <v>1640</v>
      </c>
      <c r="C57" t="s">
        <v>1506</v>
      </c>
      <c r="D57" t="s">
        <v>1507</v>
      </c>
      <c r="E57" t="s">
        <v>1523</v>
      </c>
      <c r="F57" t="s">
        <v>1524</v>
      </c>
      <c r="G57" t="s">
        <v>1641</v>
      </c>
      <c r="H57">
        <v>5.0000000000000001E-3</v>
      </c>
      <c r="I57">
        <v>0</v>
      </c>
      <c r="J57">
        <v>127</v>
      </c>
    </row>
    <row r="58" spans="1:10" x14ac:dyDescent="0.2">
      <c r="A58" t="s">
        <v>638</v>
      </c>
      <c r="B58" t="s">
        <v>1642</v>
      </c>
      <c r="C58" t="s">
        <v>1506</v>
      </c>
      <c r="D58" t="s">
        <v>1507</v>
      </c>
      <c r="E58" t="s">
        <v>1523</v>
      </c>
      <c r="F58" t="s">
        <v>1524</v>
      </c>
      <c r="G58" t="s">
        <v>1641</v>
      </c>
      <c r="H58">
        <v>5.0000000000000001E-3</v>
      </c>
      <c r="I58">
        <v>0</v>
      </c>
      <c r="J58">
        <v>127</v>
      </c>
    </row>
    <row r="59" spans="1:10" x14ac:dyDescent="0.2">
      <c r="A59" t="s">
        <v>638</v>
      </c>
      <c r="B59" t="s">
        <v>1643</v>
      </c>
      <c r="C59" t="s">
        <v>1506</v>
      </c>
      <c r="D59" t="s">
        <v>1507</v>
      </c>
      <c r="E59" t="s">
        <v>1523</v>
      </c>
      <c r="F59" t="s">
        <v>1524</v>
      </c>
      <c r="G59" t="s">
        <v>1644</v>
      </c>
      <c r="H59">
        <v>5.0000000000000001E-3</v>
      </c>
      <c r="I59">
        <v>0</v>
      </c>
      <c r="J59">
        <v>127</v>
      </c>
    </row>
    <row r="60" spans="1:10" x14ac:dyDescent="0.2">
      <c r="A60" t="s">
        <v>638</v>
      </c>
      <c r="B60" t="s">
        <v>1645</v>
      </c>
      <c r="C60" t="s">
        <v>1506</v>
      </c>
      <c r="D60" t="s">
        <v>1507</v>
      </c>
      <c r="E60" t="s">
        <v>1523</v>
      </c>
      <c r="F60" t="s">
        <v>1524</v>
      </c>
      <c r="G60" t="s">
        <v>1646</v>
      </c>
      <c r="H60">
        <v>5.0000000000000001E-3</v>
      </c>
      <c r="I60">
        <v>0</v>
      </c>
      <c r="J60">
        <v>127</v>
      </c>
    </row>
    <row r="61" spans="1:10" x14ac:dyDescent="0.2">
      <c r="A61" t="s">
        <v>638</v>
      </c>
      <c r="B61" t="s">
        <v>1647</v>
      </c>
      <c r="C61" t="s">
        <v>1506</v>
      </c>
      <c r="D61" t="s">
        <v>1507</v>
      </c>
      <c r="E61" t="s">
        <v>1523</v>
      </c>
      <c r="F61" t="s">
        <v>1524</v>
      </c>
      <c r="G61" t="s">
        <v>1609</v>
      </c>
      <c r="H61">
        <v>5.0000000000000001E-3</v>
      </c>
      <c r="I61">
        <v>0</v>
      </c>
      <c r="J61">
        <v>127</v>
      </c>
    </row>
    <row r="62" spans="1:10" x14ac:dyDescent="0.2">
      <c r="A62" t="s">
        <v>638</v>
      </c>
      <c r="B62" t="s">
        <v>1648</v>
      </c>
      <c r="C62" t="s">
        <v>1506</v>
      </c>
      <c r="D62" t="s">
        <v>1507</v>
      </c>
      <c r="E62" t="s">
        <v>1523</v>
      </c>
      <c r="F62" t="s">
        <v>1524</v>
      </c>
      <c r="G62" t="s">
        <v>1609</v>
      </c>
      <c r="H62">
        <v>5.0000000000000001E-3</v>
      </c>
      <c r="I62">
        <v>0</v>
      </c>
      <c r="J62">
        <v>127</v>
      </c>
    </row>
    <row r="63" spans="1:10" x14ac:dyDescent="0.2">
      <c r="A63" t="s">
        <v>638</v>
      </c>
      <c r="B63" t="s">
        <v>1649</v>
      </c>
      <c r="C63" t="s">
        <v>1506</v>
      </c>
      <c r="D63" t="s">
        <v>1507</v>
      </c>
      <c r="E63" t="s">
        <v>1523</v>
      </c>
      <c r="F63" t="s">
        <v>1524</v>
      </c>
      <c r="G63" t="s">
        <v>1650</v>
      </c>
      <c r="H63">
        <v>5.0000000000000001E-3</v>
      </c>
      <c r="I63">
        <v>0</v>
      </c>
      <c r="J63">
        <v>127</v>
      </c>
    </row>
    <row r="64" spans="1:10" x14ac:dyDescent="0.2">
      <c r="A64" t="s">
        <v>638</v>
      </c>
      <c r="B64" t="s">
        <v>1651</v>
      </c>
      <c r="C64" t="s">
        <v>1506</v>
      </c>
      <c r="D64" t="s">
        <v>1507</v>
      </c>
      <c r="E64" t="s">
        <v>1523</v>
      </c>
      <c r="F64" t="s">
        <v>1524</v>
      </c>
      <c r="G64" t="s">
        <v>1652</v>
      </c>
      <c r="H64">
        <v>5.0000000000000001E-3</v>
      </c>
      <c r="I64">
        <v>0</v>
      </c>
      <c r="J64">
        <v>127</v>
      </c>
    </row>
    <row r="65" spans="1:10" x14ac:dyDescent="0.2">
      <c r="A65" t="s">
        <v>638</v>
      </c>
      <c r="B65" t="s">
        <v>1653</v>
      </c>
      <c r="C65" t="s">
        <v>1506</v>
      </c>
      <c r="D65" t="s">
        <v>1507</v>
      </c>
      <c r="E65" t="s">
        <v>1523</v>
      </c>
      <c r="F65" t="s">
        <v>1524</v>
      </c>
      <c r="G65" t="s">
        <v>1654</v>
      </c>
      <c r="H65">
        <v>5.0000000000000001E-3</v>
      </c>
      <c r="I65">
        <v>0</v>
      </c>
      <c r="J65">
        <v>127</v>
      </c>
    </row>
    <row r="66" spans="1:10" x14ac:dyDescent="0.2">
      <c r="A66" t="s">
        <v>638</v>
      </c>
      <c r="B66" t="s">
        <v>1655</v>
      </c>
      <c r="C66" t="s">
        <v>1506</v>
      </c>
      <c r="D66" t="s">
        <v>1507</v>
      </c>
      <c r="E66" t="s">
        <v>1511</v>
      </c>
      <c r="F66" t="s">
        <v>1512</v>
      </c>
      <c r="G66" t="s">
        <v>1656</v>
      </c>
      <c r="H66">
        <v>5.0000000000000001E-3</v>
      </c>
      <c r="I66">
        <v>0</v>
      </c>
      <c r="J66">
        <v>127</v>
      </c>
    </row>
    <row r="67" spans="1:10" x14ac:dyDescent="0.2">
      <c r="A67" t="s">
        <v>638</v>
      </c>
      <c r="B67" t="s">
        <v>1657</v>
      </c>
      <c r="C67" t="s">
        <v>1506</v>
      </c>
      <c r="D67" t="s">
        <v>1507</v>
      </c>
      <c r="E67" t="s">
        <v>1658</v>
      </c>
      <c r="F67" t="s">
        <v>1659</v>
      </c>
      <c r="G67" t="s">
        <v>1660</v>
      </c>
      <c r="H67">
        <v>4.0000000000000001E-3</v>
      </c>
      <c r="I67">
        <v>0</v>
      </c>
      <c r="J67">
        <v>127</v>
      </c>
    </row>
    <row r="68" spans="1:10" x14ac:dyDescent="0.2">
      <c r="A68" t="s">
        <v>638</v>
      </c>
      <c r="B68" t="s">
        <v>1661</v>
      </c>
      <c r="C68" t="s">
        <v>1506</v>
      </c>
      <c r="D68" t="s">
        <v>1507</v>
      </c>
      <c r="E68" t="s">
        <v>8</v>
      </c>
      <c r="F68" t="s">
        <v>1575</v>
      </c>
      <c r="G68" t="s">
        <v>1662</v>
      </c>
      <c r="H68">
        <v>4.0000000000000001E-3</v>
      </c>
      <c r="I68">
        <v>0</v>
      </c>
      <c r="J68">
        <v>127</v>
      </c>
    </row>
    <row r="69" spans="1:10" x14ac:dyDescent="0.2">
      <c r="A69" t="s">
        <v>638</v>
      </c>
      <c r="B69" t="s">
        <v>1663</v>
      </c>
      <c r="C69" t="s">
        <v>1506</v>
      </c>
      <c r="D69" t="s">
        <v>1507</v>
      </c>
      <c r="E69" t="s">
        <v>1523</v>
      </c>
      <c r="F69" t="s">
        <v>1524</v>
      </c>
      <c r="G69" t="s">
        <v>1664</v>
      </c>
      <c r="H69">
        <v>4.0000000000000001E-3</v>
      </c>
      <c r="I69">
        <v>0</v>
      </c>
      <c r="J69">
        <v>127</v>
      </c>
    </row>
    <row r="70" spans="1:10" x14ac:dyDescent="0.2">
      <c r="A70" t="s">
        <v>638</v>
      </c>
      <c r="B70" t="s">
        <v>1665</v>
      </c>
      <c r="C70" t="s">
        <v>1506</v>
      </c>
      <c r="D70" t="s">
        <v>1507</v>
      </c>
      <c r="E70" t="s">
        <v>1523</v>
      </c>
      <c r="F70" t="s">
        <v>1524</v>
      </c>
      <c r="G70" t="s">
        <v>1666</v>
      </c>
      <c r="H70">
        <v>4.0000000000000001E-3</v>
      </c>
      <c r="I70">
        <v>0</v>
      </c>
      <c r="J70">
        <v>127</v>
      </c>
    </row>
    <row r="71" spans="1:10" x14ac:dyDescent="0.2">
      <c r="A71" t="s">
        <v>638</v>
      </c>
      <c r="B71" t="s">
        <v>1667</v>
      </c>
      <c r="C71" t="s">
        <v>1506</v>
      </c>
      <c r="D71" t="s">
        <v>1507</v>
      </c>
      <c r="E71" t="s">
        <v>1523</v>
      </c>
      <c r="F71" t="s">
        <v>1524</v>
      </c>
      <c r="G71" t="s">
        <v>1668</v>
      </c>
      <c r="H71">
        <v>4.0000000000000001E-3</v>
      </c>
      <c r="I71">
        <v>0</v>
      </c>
      <c r="J71">
        <v>127</v>
      </c>
    </row>
    <row r="72" spans="1:10" x14ac:dyDescent="0.2">
      <c r="A72" t="s">
        <v>638</v>
      </c>
      <c r="B72" t="s">
        <v>1669</v>
      </c>
      <c r="C72" t="s">
        <v>1506</v>
      </c>
      <c r="D72" t="s">
        <v>1670</v>
      </c>
      <c r="E72" t="s">
        <v>1671</v>
      </c>
      <c r="F72" t="s">
        <v>1672</v>
      </c>
      <c r="G72" t="s">
        <v>1673</v>
      </c>
      <c r="H72">
        <v>4.0000000000000001E-3</v>
      </c>
      <c r="I72">
        <v>0</v>
      </c>
      <c r="J72">
        <v>127</v>
      </c>
    </row>
    <row r="73" spans="1:10" x14ac:dyDescent="0.2">
      <c r="A73" t="s">
        <v>638</v>
      </c>
      <c r="B73" t="s">
        <v>1674</v>
      </c>
      <c r="C73" t="s">
        <v>1506</v>
      </c>
      <c r="D73" t="s">
        <v>1507</v>
      </c>
      <c r="E73" t="s">
        <v>1531</v>
      </c>
      <c r="F73" t="s">
        <v>1565</v>
      </c>
      <c r="G73" t="s">
        <v>1675</v>
      </c>
      <c r="H73">
        <v>4.0000000000000001E-3</v>
      </c>
      <c r="I73">
        <v>0</v>
      </c>
      <c r="J73">
        <v>127</v>
      </c>
    </row>
    <row r="74" spans="1:10" x14ac:dyDescent="0.2">
      <c r="A74" t="s">
        <v>638</v>
      </c>
      <c r="B74" t="s">
        <v>1676</v>
      </c>
      <c r="C74" t="s">
        <v>1506</v>
      </c>
      <c r="D74" t="s">
        <v>1507</v>
      </c>
      <c r="E74" t="s">
        <v>1531</v>
      </c>
      <c r="F74" t="s">
        <v>1565</v>
      </c>
      <c r="G74" t="s">
        <v>1677</v>
      </c>
      <c r="H74">
        <v>4.0000000000000001E-3</v>
      </c>
      <c r="I74">
        <v>0</v>
      </c>
      <c r="J74">
        <v>127</v>
      </c>
    </row>
    <row r="75" spans="1:10" x14ac:dyDescent="0.2">
      <c r="A75" t="s">
        <v>638</v>
      </c>
      <c r="B75" t="s">
        <v>1678</v>
      </c>
      <c r="C75" t="s">
        <v>1506</v>
      </c>
      <c r="D75" t="s">
        <v>1507</v>
      </c>
      <c r="E75" t="s">
        <v>1679</v>
      </c>
      <c r="F75" t="s">
        <v>1680</v>
      </c>
      <c r="G75" t="s">
        <v>1681</v>
      </c>
      <c r="H75">
        <v>4.0000000000000001E-3</v>
      </c>
      <c r="I75">
        <v>0</v>
      </c>
      <c r="J75">
        <v>127</v>
      </c>
    </row>
    <row r="76" spans="1:10" x14ac:dyDescent="0.2">
      <c r="A76" t="s">
        <v>638</v>
      </c>
      <c r="B76" t="s">
        <v>1682</v>
      </c>
      <c r="C76" t="s">
        <v>1506</v>
      </c>
      <c r="D76" t="s">
        <v>1507</v>
      </c>
      <c r="E76" t="s">
        <v>1544</v>
      </c>
      <c r="F76" t="s">
        <v>1545</v>
      </c>
      <c r="G76" t="s">
        <v>1546</v>
      </c>
      <c r="H76">
        <v>4.0000000000000001E-3</v>
      </c>
      <c r="I76">
        <v>0</v>
      </c>
      <c r="J76">
        <v>127</v>
      </c>
    </row>
    <row r="77" spans="1:10" x14ac:dyDescent="0.2">
      <c r="A77" t="s">
        <v>638</v>
      </c>
      <c r="B77" t="s">
        <v>1683</v>
      </c>
      <c r="C77" t="s">
        <v>1506</v>
      </c>
      <c r="D77" t="s">
        <v>1507</v>
      </c>
      <c r="E77" t="s">
        <v>1684</v>
      </c>
      <c r="F77" t="s">
        <v>1685</v>
      </c>
      <c r="G77" t="s">
        <v>1686</v>
      </c>
      <c r="H77">
        <v>4.0000000000000001E-3</v>
      </c>
      <c r="I77">
        <v>0</v>
      </c>
      <c r="J77">
        <v>127</v>
      </c>
    </row>
    <row r="78" spans="1:10" x14ac:dyDescent="0.2">
      <c r="A78" t="s">
        <v>638</v>
      </c>
      <c r="B78" t="s">
        <v>1687</v>
      </c>
      <c r="C78" t="s">
        <v>1506</v>
      </c>
      <c r="D78" t="s">
        <v>1507</v>
      </c>
      <c r="E78" t="s">
        <v>1523</v>
      </c>
      <c r="F78" t="s">
        <v>1524</v>
      </c>
      <c r="G78" t="s">
        <v>1688</v>
      </c>
      <c r="H78">
        <v>3.0000000000000001E-3</v>
      </c>
      <c r="I78">
        <v>4.2000000000000003E-2</v>
      </c>
      <c r="J78">
        <v>127</v>
      </c>
    </row>
    <row r="79" spans="1:10" x14ac:dyDescent="0.2">
      <c r="A79" t="s">
        <v>638</v>
      </c>
      <c r="B79" t="s">
        <v>1689</v>
      </c>
      <c r="C79" t="s">
        <v>1506</v>
      </c>
      <c r="D79" t="s">
        <v>1507</v>
      </c>
      <c r="E79" t="s">
        <v>1544</v>
      </c>
      <c r="F79" t="s">
        <v>1545</v>
      </c>
      <c r="G79" t="s">
        <v>1690</v>
      </c>
      <c r="H79">
        <v>3.0000000000000001E-3</v>
      </c>
      <c r="I79">
        <v>0.02</v>
      </c>
      <c r="J79">
        <v>127</v>
      </c>
    </row>
    <row r="80" spans="1:10" x14ac:dyDescent="0.2">
      <c r="A80" t="s">
        <v>638</v>
      </c>
      <c r="B80" t="s">
        <v>1691</v>
      </c>
      <c r="C80" t="s">
        <v>1506</v>
      </c>
      <c r="D80" t="s">
        <v>1507</v>
      </c>
      <c r="E80" t="s">
        <v>1692</v>
      </c>
      <c r="F80" t="s">
        <v>1693</v>
      </c>
      <c r="G80" t="s">
        <v>1694</v>
      </c>
      <c r="H80">
        <v>3.0000000000000001E-3</v>
      </c>
      <c r="I80">
        <v>1.6E-2</v>
      </c>
      <c r="J80">
        <v>127</v>
      </c>
    </row>
    <row r="81" spans="1:10" x14ac:dyDescent="0.2">
      <c r="A81" t="s">
        <v>638</v>
      </c>
      <c r="B81" t="s">
        <v>1695</v>
      </c>
      <c r="C81" t="s">
        <v>1506</v>
      </c>
      <c r="D81" t="s">
        <v>1507</v>
      </c>
      <c r="E81" t="s">
        <v>1696</v>
      </c>
      <c r="F81" t="s">
        <v>1697</v>
      </c>
      <c r="G81" t="s">
        <v>1698</v>
      </c>
      <c r="H81">
        <v>3.0000000000000001E-3</v>
      </c>
      <c r="I81">
        <v>0</v>
      </c>
      <c r="J81">
        <v>127</v>
      </c>
    </row>
    <row r="82" spans="1:10" x14ac:dyDescent="0.2">
      <c r="A82" t="s">
        <v>638</v>
      </c>
      <c r="B82" t="s">
        <v>1699</v>
      </c>
      <c r="C82" t="s">
        <v>1506</v>
      </c>
      <c r="D82" t="s">
        <v>1507</v>
      </c>
      <c r="E82" t="s">
        <v>1696</v>
      </c>
      <c r="F82" t="s">
        <v>1697</v>
      </c>
      <c r="G82" t="s">
        <v>1698</v>
      </c>
      <c r="H82">
        <v>3.0000000000000001E-3</v>
      </c>
      <c r="I82">
        <v>0</v>
      </c>
      <c r="J82">
        <v>127</v>
      </c>
    </row>
    <row r="83" spans="1:10" x14ac:dyDescent="0.2">
      <c r="A83" t="s">
        <v>638</v>
      </c>
      <c r="B83" t="s">
        <v>1700</v>
      </c>
      <c r="C83" t="s">
        <v>1506</v>
      </c>
      <c r="D83" t="s">
        <v>1670</v>
      </c>
      <c r="E83" t="s">
        <v>1701</v>
      </c>
      <c r="F83" t="s">
        <v>1702</v>
      </c>
      <c r="G83" t="s">
        <v>1703</v>
      </c>
      <c r="H83">
        <v>3.0000000000000001E-3</v>
      </c>
      <c r="I83">
        <v>0</v>
      </c>
      <c r="J83">
        <v>127</v>
      </c>
    </row>
    <row r="84" spans="1:10" x14ac:dyDescent="0.2">
      <c r="A84" t="s">
        <v>638</v>
      </c>
      <c r="B84" t="s">
        <v>1704</v>
      </c>
      <c r="C84" t="s">
        <v>1506</v>
      </c>
      <c r="D84" t="s">
        <v>1507</v>
      </c>
      <c r="E84" t="s">
        <v>1544</v>
      </c>
      <c r="F84" t="s">
        <v>1705</v>
      </c>
      <c r="G84" t="s">
        <v>1706</v>
      </c>
      <c r="H84">
        <v>3.0000000000000001E-3</v>
      </c>
      <c r="I84">
        <v>0</v>
      </c>
      <c r="J84">
        <v>300</v>
      </c>
    </row>
    <row r="85" spans="1:10" x14ac:dyDescent="0.2">
      <c r="A85" t="s">
        <v>638</v>
      </c>
      <c r="B85" t="s">
        <v>1707</v>
      </c>
      <c r="C85" t="s">
        <v>1506</v>
      </c>
      <c r="D85" t="s">
        <v>1507</v>
      </c>
      <c r="E85" t="s">
        <v>1523</v>
      </c>
      <c r="F85" t="s">
        <v>1524</v>
      </c>
      <c r="G85" t="s">
        <v>1708</v>
      </c>
      <c r="H85">
        <v>3.0000000000000001E-3</v>
      </c>
      <c r="I85">
        <v>0</v>
      </c>
      <c r="J85">
        <v>127</v>
      </c>
    </row>
    <row r="86" spans="1:10" x14ac:dyDescent="0.2">
      <c r="A86" t="s">
        <v>638</v>
      </c>
      <c r="B86" t="s">
        <v>1709</v>
      </c>
      <c r="C86" t="s">
        <v>1506</v>
      </c>
      <c r="D86" t="s">
        <v>1507</v>
      </c>
      <c r="E86" t="s">
        <v>1523</v>
      </c>
      <c r="F86" t="s">
        <v>1524</v>
      </c>
      <c r="G86" t="s">
        <v>1708</v>
      </c>
      <c r="H86">
        <v>3.0000000000000001E-3</v>
      </c>
      <c r="I86">
        <v>0</v>
      </c>
      <c r="J86">
        <v>127</v>
      </c>
    </row>
    <row r="87" spans="1:10" x14ac:dyDescent="0.2">
      <c r="A87" t="s">
        <v>638</v>
      </c>
      <c r="B87" t="s">
        <v>1710</v>
      </c>
      <c r="C87" t="s">
        <v>1506</v>
      </c>
      <c r="D87" t="s">
        <v>1507</v>
      </c>
      <c r="E87" t="s">
        <v>1523</v>
      </c>
      <c r="F87" t="s">
        <v>1524</v>
      </c>
      <c r="G87" t="s">
        <v>1711</v>
      </c>
      <c r="H87">
        <v>3.0000000000000001E-3</v>
      </c>
      <c r="I87">
        <v>0</v>
      </c>
      <c r="J87">
        <v>127</v>
      </c>
    </row>
    <row r="88" spans="1:10" x14ac:dyDescent="0.2">
      <c r="A88" t="s">
        <v>638</v>
      </c>
      <c r="B88" t="s">
        <v>1712</v>
      </c>
      <c r="C88" t="s">
        <v>1506</v>
      </c>
      <c r="D88" t="s">
        <v>1507</v>
      </c>
      <c r="E88" t="s">
        <v>1523</v>
      </c>
      <c r="F88" t="s">
        <v>1524</v>
      </c>
      <c r="G88" t="s">
        <v>1713</v>
      </c>
      <c r="H88">
        <v>3.0000000000000001E-3</v>
      </c>
      <c r="I88">
        <v>0</v>
      </c>
      <c r="J88">
        <v>127</v>
      </c>
    </row>
    <row r="89" spans="1:10" x14ac:dyDescent="0.2">
      <c r="A89" t="s">
        <v>638</v>
      </c>
      <c r="B89" t="s">
        <v>1714</v>
      </c>
      <c r="C89" t="s">
        <v>1506</v>
      </c>
      <c r="D89" t="s">
        <v>1507</v>
      </c>
      <c r="E89" t="s">
        <v>1523</v>
      </c>
      <c r="F89" t="s">
        <v>1524</v>
      </c>
      <c r="G89" t="s">
        <v>1713</v>
      </c>
      <c r="H89">
        <v>3.0000000000000001E-3</v>
      </c>
      <c r="I89">
        <v>0</v>
      </c>
      <c r="J89">
        <v>127</v>
      </c>
    </row>
    <row r="90" spans="1:10" x14ac:dyDescent="0.2">
      <c r="A90" t="s">
        <v>638</v>
      </c>
      <c r="B90" t="s">
        <v>1715</v>
      </c>
      <c r="C90" t="s">
        <v>1506</v>
      </c>
      <c r="D90" t="s">
        <v>1507</v>
      </c>
      <c r="E90" t="s">
        <v>1523</v>
      </c>
      <c r="F90" t="s">
        <v>1524</v>
      </c>
      <c r="G90" t="s">
        <v>1716</v>
      </c>
      <c r="H90">
        <v>3.0000000000000001E-3</v>
      </c>
      <c r="I90">
        <v>0</v>
      </c>
      <c r="J90">
        <v>127</v>
      </c>
    </row>
    <row r="91" spans="1:10" x14ac:dyDescent="0.2">
      <c r="A91" t="s">
        <v>638</v>
      </c>
      <c r="B91" t="s">
        <v>1717</v>
      </c>
      <c r="C91" t="s">
        <v>1506</v>
      </c>
      <c r="D91" t="s">
        <v>1507</v>
      </c>
      <c r="E91" t="s">
        <v>1596</v>
      </c>
      <c r="F91" t="s">
        <v>1597</v>
      </c>
      <c r="G91" t="s">
        <v>1718</v>
      </c>
      <c r="H91">
        <v>3.0000000000000001E-3</v>
      </c>
      <c r="I91">
        <v>0</v>
      </c>
      <c r="J91">
        <v>127</v>
      </c>
    </row>
    <row r="92" spans="1:10" x14ac:dyDescent="0.2">
      <c r="A92" t="s">
        <v>638</v>
      </c>
      <c r="B92" t="s">
        <v>1719</v>
      </c>
      <c r="C92" t="s">
        <v>1506</v>
      </c>
      <c r="D92" t="s">
        <v>1507</v>
      </c>
      <c r="E92" t="s">
        <v>1544</v>
      </c>
      <c r="F92" t="s">
        <v>1545</v>
      </c>
      <c r="G92" t="s">
        <v>1720</v>
      </c>
      <c r="H92">
        <v>3.0000000000000001E-3</v>
      </c>
      <c r="I92">
        <v>0</v>
      </c>
      <c r="J92">
        <v>127</v>
      </c>
    </row>
    <row r="93" spans="1:10" x14ac:dyDescent="0.2">
      <c r="A93" t="s">
        <v>638</v>
      </c>
      <c r="B93" t="s">
        <v>1721</v>
      </c>
      <c r="C93" t="s">
        <v>1506</v>
      </c>
      <c r="D93" t="s">
        <v>1507</v>
      </c>
      <c r="E93" t="s">
        <v>1696</v>
      </c>
      <c r="F93" t="s">
        <v>1697</v>
      </c>
      <c r="G93" t="s">
        <v>1722</v>
      </c>
      <c r="H93">
        <v>3.0000000000000001E-3</v>
      </c>
      <c r="I93">
        <v>0</v>
      </c>
      <c r="J93">
        <v>127</v>
      </c>
    </row>
    <row r="94" spans="1:10" x14ac:dyDescent="0.2">
      <c r="A94" t="s">
        <v>638</v>
      </c>
      <c r="B94" t="s">
        <v>1723</v>
      </c>
      <c r="C94" t="s">
        <v>1506</v>
      </c>
      <c r="D94" t="s">
        <v>1670</v>
      </c>
      <c r="E94" t="s">
        <v>1701</v>
      </c>
      <c r="F94" t="s">
        <v>1702</v>
      </c>
      <c r="G94" t="s">
        <v>1724</v>
      </c>
      <c r="H94">
        <v>3.0000000000000001E-3</v>
      </c>
      <c r="I94">
        <v>0</v>
      </c>
      <c r="J94">
        <v>127</v>
      </c>
    </row>
    <row r="95" spans="1:10" x14ac:dyDescent="0.2">
      <c r="A95" t="s">
        <v>638</v>
      </c>
      <c r="B95" t="s">
        <v>1725</v>
      </c>
      <c r="C95" t="s">
        <v>1506</v>
      </c>
      <c r="D95" t="s">
        <v>1507</v>
      </c>
      <c r="E95" t="s">
        <v>1523</v>
      </c>
      <c r="F95" t="s">
        <v>1553</v>
      </c>
      <c r="G95" t="s">
        <v>1726</v>
      </c>
      <c r="H95">
        <v>3.0000000000000001E-3</v>
      </c>
      <c r="I95">
        <v>0</v>
      </c>
      <c r="J95">
        <v>127</v>
      </c>
    </row>
    <row r="96" spans="1:10" x14ac:dyDescent="0.2">
      <c r="A96" t="s">
        <v>638</v>
      </c>
      <c r="B96" t="s">
        <v>1727</v>
      </c>
      <c r="C96" t="s">
        <v>1506</v>
      </c>
      <c r="D96" t="s">
        <v>1507</v>
      </c>
      <c r="E96" t="s">
        <v>1523</v>
      </c>
      <c r="F96" t="s">
        <v>1728</v>
      </c>
      <c r="G96" t="s">
        <v>1729</v>
      </c>
      <c r="H96">
        <v>3.0000000000000001E-3</v>
      </c>
      <c r="I96">
        <v>0</v>
      </c>
      <c r="J96">
        <v>127</v>
      </c>
    </row>
    <row r="97" spans="1:10" x14ac:dyDescent="0.2">
      <c r="A97" t="s">
        <v>638</v>
      </c>
      <c r="B97" t="s">
        <v>1730</v>
      </c>
      <c r="C97" t="s">
        <v>1506</v>
      </c>
      <c r="D97" t="s">
        <v>1507</v>
      </c>
      <c r="E97" t="s">
        <v>1679</v>
      </c>
      <c r="F97" t="s">
        <v>1680</v>
      </c>
      <c r="G97" t="s">
        <v>1731</v>
      </c>
      <c r="H97">
        <v>2E-3</v>
      </c>
      <c r="I97">
        <v>9.4E-2</v>
      </c>
      <c r="J97">
        <v>127</v>
      </c>
    </row>
    <row r="98" spans="1:10" x14ac:dyDescent="0.2">
      <c r="A98" t="s">
        <v>638</v>
      </c>
      <c r="B98" t="s">
        <v>1732</v>
      </c>
      <c r="C98" t="s">
        <v>1506</v>
      </c>
      <c r="D98" t="s">
        <v>1507</v>
      </c>
      <c r="E98" t="s">
        <v>1733</v>
      </c>
      <c r="F98" t="s">
        <v>1734</v>
      </c>
      <c r="G98" t="s">
        <v>1735</v>
      </c>
      <c r="H98">
        <v>2E-3</v>
      </c>
      <c r="I98">
        <v>8.0000000000000002E-3</v>
      </c>
      <c r="J98">
        <v>127</v>
      </c>
    </row>
    <row r="99" spans="1:10" x14ac:dyDescent="0.2">
      <c r="A99" t="s">
        <v>638</v>
      </c>
      <c r="B99" t="s">
        <v>1736</v>
      </c>
      <c r="C99" t="s">
        <v>1506</v>
      </c>
      <c r="D99" t="s">
        <v>1507</v>
      </c>
      <c r="E99" t="s">
        <v>8</v>
      </c>
      <c r="F99" t="s">
        <v>1615</v>
      </c>
      <c r="G99" t="s">
        <v>1737</v>
      </c>
      <c r="H99">
        <v>2E-3</v>
      </c>
      <c r="I99">
        <v>7.0000000000000001E-3</v>
      </c>
      <c r="J99">
        <v>127</v>
      </c>
    </row>
    <row r="100" spans="1:10" x14ac:dyDescent="0.2">
      <c r="A100" t="s">
        <v>638</v>
      </c>
      <c r="B100" t="s">
        <v>1738</v>
      </c>
      <c r="C100" t="s">
        <v>1506</v>
      </c>
      <c r="D100" t="s">
        <v>1507</v>
      </c>
      <c r="E100" t="s">
        <v>8</v>
      </c>
      <c r="F100" t="s">
        <v>1615</v>
      </c>
      <c r="G100" t="s">
        <v>1739</v>
      </c>
      <c r="H100">
        <v>2E-3</v>
      </c>
      <c r="I100">
        <v>7.0000000000000001E-3</v>
      </c>
      <c r="J100">
        <v>127</v>
      </c>
    </row>
    <row r="101" spans="1:10" x14ac:dyDescent="0.2">
      <c r="A101" t="s">
        <v>638</v>
      </c>
      <c r="B101" t="s">
        <v>1740</v>
      </c>
      <c r="C101" t="s">
        <v>1506</v>
      </c>
      <c r="D101" t="s">
        <v>1741</v>
      </c>
      <c r="E101" t="s">
        <v>1742</v>
      </c>
      <c r="F101" t="s">
        <v>1743</v>
      </c>
      <c r="G101" t="s">
        <v>1744</v>
      </c>
      <c r="H101">
        <v>2E-3</v>
      </c>
      <c r="I101">
        <v>0</v>
      </c>
      <c r="J101">
        <v>127</v>
      </c>
    </row>
    <row r="102" spans="1:10" x14ac:dyDescent="0.2">
      <c r="A102" t="s">
        <v>638</v>
      </c>
      <c r="B102" t="s">
        <v>1745</v>
      </c>
      <c r="C102" t="s">
        <v>1506</v>
      </c>
      <c r="D102" t="s">
        <v>1507</v>
      </c>
      <c r="E102" t="s">
        <v>1523</v>
      </c>
      <c r="F102" t="s">
        <v>1746</v>
      </c>
      <c r="G102" t="s">
        <v>1747</v>
      </c>
      <c r="H102">
        <v>2E-3</v>
      </c>
      <c r="I102">
        <v>0</v>
      </c>
      <c r="J102">
        <v>127</v>
      </c>
    </row>
    <row r="103" spans="1:10" x14ac:dyDescent="0.2">
      <c r="A103" t="s">
        <v>638</v>
      </c>
      <c r="B103" t="s">
        <v>1748</v>
      </c>
      <c r="C103" t="s">
        <v>1506</v>
      </c>
      <c r="D103" t="s">
        <v>1507</v>
      </c>
      <c r="E103" t="s">
        <v>1544</v>
      </c>
      <c r="F103" t="s">
        <v>1545</v>
      </c>
      <c r="G103" t="s">
        <v>1749</v>
      </c>
      <c r="H103">
        <v>2E-3</v>
      </c>
      <c r="I103">
        <v>0</v>
      </c>
      <c r="J103">
        <v>127</v>
      </c>
    </row>
    <row r="104" spans="1:10" x14ac:dyDescent="0.2">
      <c r="A104" t="s">
        <v>638</v>
      </c>
      <c r="B104" t="s">
        <v>1750</v>
      </c>
      <c r="C104" t="s">
        <v>1506</v>
      </c>
      <c r="D104" t="s">
        <v>1507</v>
      </c>
      <c r="E104" t="s">
        <v>1519</v>
      </c>
      <c r="F104" t="s">
        <v>1520</v>
      </c>
      <c r="G104" t="s">
        <v>1751</v>
      </c>
      <c r="H104">
        <v>2E-3</v>
      </c>
      <c r="I104">
        <v>0</v>
      </c>
      <c r="J104">
        <v>127</v>
      </c>
    </row>
    <row r="105" spans="1:10" x14ac:dyDescent="0.2">
      <c r="A105" t="s">
        <v>638</v>
      </c>
      <c r="B105" t="s">
        <v>1752</v>
      </c>
      <c r="C105" t="s">
        <v>1506</v>
      </c>
      <c r="D105" t="s">
        <v>1507</v>
      </c>
      <c r="E105" t="s">
        <v>1519</v>
      </c>
      <c r="F105" t="s">
        <v>1520</v>
      </c>
      <c r="G105" t="s">
        <v>1753</v>
      </c>
      <c r="H105">
        <v>2E-3</v>
      </c>
      <c r="I105">
        <v>0</v>
      </c>
      <c r="J105">
        <v>127</v>
      </c>
    </row>
    <row r="106" spans="1:10" x14ac:dyDescent="0.2">
      <c r="A106" t="s">
        <v>638</v>
      </c>
      <c r="B106" t="s">
        <v>1754</v>
      </c>
      <c r="C106" t="s">
        <v>1506</v>
      </c>
      <c r="D106" t="s">
        <v>1507</v>
      </c>
      <c r="E106" t="s">
        <v>1519</v>
      </c>
      <c r="F106" t="s">
        <v>1520</v>
      </c>
      <c r="G106" t="s">
        <v>1753</v>
      </c>
      <c r="H106">
        <v>2E-3</v>
      </c>
      <c r="I106">
        <v>0</v>
      </c>
      <c r="J106">
        <v>127</v>
      </c>
    </row>
    <row r="107" spans="1:10" x14ac:dyDescent="0.2">
      <c r="A107" t="s">
        <v>638</v>
      </c>
      <c r="B107" t="s">
        <v>1755</v>
      </c>
      <c r="C107" t="s">
        <v>1506</v>
      </c>
      <c r="D107" t="s">
        <v>1507</v>
      </c>
      <c r="E107" t="s">
        <v>8</v>
      </c>
      <c r="F107" t="s">
        <v>1756</v>
      </c>
      <c r="G107" t="s">
        <v>1757</v>
      </c>
      <c r="H107">
        <v>2E-3</v>
      </c>
      <c r="I107">
        <v>0</v>
      </c>
      <c r="J107">
        <v>127</v>
      </c>
    </row>
    <row r="108" spans="1:10" x14ac:dyDescent="0.2">
      <c r="A108" t="s">
        <v>638</v>
      </c>
      <c r="B108" t="s">
        <v>1758</v>
      </c>
      <c r="C108" t="s">
        <v>1506</v>
      </c>
      <c r="D108" t="s">
        <v>1507</v>
      </c>
      <c r="E108" t="s">
        <v>1531</v>
      </c>
      <c r="F108" t="s">
        <v>1759</v>
      </c>
      <c r="G108" t="s">
        <v>1760</v>
      </c>
      <c r="H108">
        <v>2E-3</v>
      </c>
      <c r="I108">
        <v>0</v>
      </c>
      <c r="J108">
        <v>127</v>
      </c>
    </row>
    <row r="109" spans="1:10" x14ac:dyDescent="0.2">
      <c r="A109" t="s">
        <v>638</v>
      </c>
      <c r="B109" t="s">
        <v>1761</v>
      </c>
      <c r="C109" t="s">
        <v>1506</v>
      </c>
      <c r="D109" t="s">
        <v>1507</v>
      </c>
      <c r="E109" t="s">
        <v>1523</v>
      </c>
      <c r="F109" t="s">
        <v>1524</v>
      </c>
      <c r="G109" t="s">
        <v>1762</v>
      </c>
      <c r="H109">
        <v>2E-3</v>
      </c>
      <c r="I109">
        <v>0</v>
      </c>
      <c r="J109">
        <v>127</v>
      </c>
    </row>
    <row r="110" spans="1:10" x14ac:dyDescent="0.2">
      <c r="A110" t="s">
        <v>638</v>
      </c>
      <c r="B110" t="s">
        <v>1763</v>
      </c>
      <c r="C110" t="s">
        <v>1506</v>
      </c>
      <c r="D110" t="s">
        <v>1507</v>
      </c>
      <c r="E110" t="s">
        <v>1523</v>
      </c>
      <c r="F110" t="s">
        <v>1524</v>
      </c>
      <c r="G110" t="s">
        <v>1762</v>
      </c>
      <c r="H110">
        <v>2E-3</v>
      </c>
      <c r="I110">
        <v>0</v>
      </c>
      <c r="J110">
        <v>127</v>
      </c>
    </row>
    <row r="111" spans="1:10" x14ac:dyDescent="0.2">
      <c r="A111" t="s">
        <v>638</v>
      </c>
      <c r="B111" t="s">
        <v>1764</v>
      </c>
      <c r="C111" t="s">
        <v>1506</v>
      </c>
      <c r="D111" t="s">
        <v>1507</v>
      </c>
      <c r="E111" t="s">
        <v>1765</v>
      </c>
      <c r="F111" t="s">
        <v>1766</v>
      </c>
      <c r="G111" t="s">
        <v>1767</v>
      </c>
      <c r="H111">
        <v>2E-3</v>
      </c>
      <c r="I111">
        <v>0</v>
      </c>
      <c r="J111">
        <v>127</v>
      </c>
    </row>
    <row r="112" spans="1:10" x14ac:dyDescent="0.2">
      <c r="A112" t="s">
        <v>638</v>
      </c>
      <c r="B112" t="s">
        <v>1768</v>
      </c>
      <c r="C112" t="s">
        <v>1506</v>
      </c>
      <c r="D112" t="s">
        <v>1507</v>
      </c>
      <c r="E112" t="s">
        <v>1658</v>
      </c>
      <c r="F112" t="s">
        <v>1769</v>
      </c>
      <c r="G112" t="s">
        <v>1770</v>
      </c>
      <c r="H112">
        <v>2E-3</v>
      </c>
      <c r="I112">
        <v>0</v>
      </c>
      <c r="J112">
        <v>127</v>
      </c>
    </row>
    <row r="113" spans="1:10" x14ac:dyDescent="0.2">
      <c r="A113" t="s">
        <v>638</v>
      </c>
      <c r="B113" t="s">
        <v>1771</v>
      </c>
      <c r="C113" t="s">
        <v>1506</v>
      </c>
      <c r="D113" t="s">
        <v>1507</v>
      </c>
      <c r="E113" t="s">
        <v>1658</v>
      </c>
      <c r="F113" t="s">
        <v>1769</v>
      </c>
      <c r="G113" t="s">
        <v>1772</v>
      </c>
      <c r="H113">
        <v>2E-3</v>
      </c>
      <c r="I113">
        <v>0</v>
      </c>
      <c r="J113">
        <v>127</v>
      </c>
    </row>
    <row r="114" spans="1:10" x14ac:dyDescent="0.2">
      <c r="A114" t="s">
        <v>638</v>
      </c>
      <c r="B114" t="s">
        <v>1773</v>
      </c>
      <c r="C114" t="s">
        <v>1506</v>
      </c>
      <c r="D114" t="s">
        <v>1507</v>
      </c>
      <c r="E114" t="s">
        <v>1511</v>
      </c>
      <c r="F114" t="s">
        <v>1512</v>
      </c>
      <c r="G114" t="s">
        <v>1774</v>
      </c>
      <c r="H114">
        <v>2E-3</v>
      </c>
      <c r="I114">
        <v>0</v>
      </c>
      <c r="J114">
        <v>480</v>
      </c>
    </row>
    <row r="115" spans="1:10" x14ac:dyDescent="0.2">
      <c r="A115" t="s">
        <v>638</v>
      </c>
      <c r="B115" t="s">
        <v>1775</v>
      </c>
      <c r="C115" t="s">
        <v>1506</v>
      </c>
      <c r="D115" t="s">
        <v>1507</v>
      </c>
      <c r="E115" t="s">
        <v>8</v>
      </c>
      <c r="F115" t="s">
        <v>1578</v>
      </c>
      <c r="G115" t="s">
        <v>1776</v>
      </c>
      <c r="H115">
        <v>2E-3</v>
      </c>
      <c r="I115">
        <v>0</v>
      </c>
      <c r="J115">
        <v>127</v>
      </c>
    </row>
    <row r="116" spans="1:10" x14ac:dyDescent="0.2">
      <c r="A116" t="s">
        <v>638</v>
      </c>
      <c r="B116" t="s">
        <v>1777</v>
      </c>
      <c r="C116" t="s">
        <v>1506</v>
      </c>
      <c r="D116" t="s">
        <v>1507</v>
      </c>
      <c r="E116" t="s">
        <v>1523</v>
      </c>
      <c r="F116" t="s">
        <v>1524</v>
      </c>
      <c r="G116" t="s">
        <v>1778</v>
      </c>
      <c r="H116">
        <v>2E-3</v>
      </c>
      <c r="I116">
        <v>0</v>
      </c>
      <c r="J116">
        <v>127</v>
      </c>
    </row>
    <row r="117" spans="1:10" x14ac:dyDescent="0.2">
      <c r="A117" t="s">
        <v>638</v>
      </c>
      <c r="B117" t="s">
        <v>1779</v>
      </c>
      <c r="C117" t="s">
        <v>1506</v>
      </c>
      <c r="D117" t="s">
        <v>1507</v>
      </c>
      <c r="E117" t="s">
        <v>1523</v>
      </c>
      <c r="F117" t="s">
        <v>1524</v>
      </c>
      <c r="G117" t="s">
        <v>1780</v>
      </c>
      <c r="H117">
        <v>2E-3</v>
      </c>
      <c r="I117">
        <v>0</v>
      </c>
      <c r="J117">
        <v>127</v>
      </c>
    </row>
    <row r="118" spans="1:10" x14ac:dyDescent="0.2">
      <c r="A118" t="s">
        <v>638</v>
      </c>
      <c r="B118" t="s">
        <v>1781</v>
      </c>
      <c r="C118" t="s">
        <v>1506</v>
      </c>
      <c r="D118" t="s">
        <v>1507</v>
      </c>
      <c r="E118" t="s">
        <v>1523</v>
      </c>
      <c r="F118" t="s">
        <v>1524</v>
      </c>
      <c r="G118" t="s">
        <v>1782</v>
      </c>
      <c r="H118">
        <v>2E-3</v>
      </c>
      <c r="I118">
        <v>0</v>
      </c>
      <c r="J118">
        <v>127</v>
      </c>
    </row>
    <row r="119" spans="1:10" x14ac:dyDescent="0.2">
      <c r="A119" t="s">
        <v>638</v>
      </c>
      <c r="B119" t="s">
        <v>1783</v>
      </c>
      <c r="C119" t="s">
        <v>1506</v>
      </c>
      <c r="D119" t="s">
        <v>1507</v>
      </c>
      <c r="E119" t="s">
        <v>1523</v>
      </c>
      <c r="F119" t="s">
        <v>1524</v>
      </c>
      <c r="G119" t="s">
        <v>1784</v>
      </c>
      <c r="H119">
        <v>2E-3</v>
      </c>
      <c r="I119">
        <v>0</v>
      </c>
      <c r="J119">
        <v>127</v>
      </c>
    </row>
    <row r="120" spans="1:10" x14ac:dyDescent="0.2">
      <c r="A120" t="s">
        <v>638</v>
      </c>
      <c r="B120" t="s">
        <v>1785</v>
      </c>
      <c r="C120" t="s">
        <v>1506</v>
      </c>
      <c r="D120" t="s">
        <v>1507</v>
      </c>
      <c r="E120" t="s">
        <v>1625</v>
      </c>
      <c r="F120" t="s">
        <v>1786</v>
      </c>
      <c r="G120" t="s">
        <v>1787</v>
      </c>
      <c r="H120">
        <v>2E-3</v>
      </c>
      <c r="I120">
        <v>0</v>
      </c>
      <c r="J120">
        <v>127</v>
      </c>
    </row>
    <row r="121" spans="1:10" x14ac:dyDescent="0.2">
      <c r="A121" t="s">
        <v>638</v>
      </c>
      <c r="B121" t="s">
        <v>1788</v>
      </c>
      <c r="C121" t="s">
        <v>1506</v>
      </c>
      <c r="D121" t="s">
        <v>1507</v>
      </c>
      <c r="E121" t="s">
        <v>1789</v>
      </c>
      <c r="F121" t="s">
        <v>1790</v>
      </c>
      <c r="G121" t="s">
        <v>1791</v>
      </c>
      <c r="H121">
        <v>2E-3</v>
      </c>
      <c r="I121">
        <v>0</v>
      </c>
      <c r="J121">
        <v>127</v>
      </c>
    </row>
    <row r="122" spans="1:10" x14ac:dyDescent="0.2">
      <c r="A122" t="s">
        <v>638</v>
      </c>
      <c r="B122" t="s">
        <v>1792</v>
      </c>
      <c r="C122" t="s">
        <v>1506</v>
      </c>
      <c r="D122" t="s">
        <v>1507</v>
      </c>
      <c r="E122" t="s">
        <v>1531</v>
      </c>
      <c r="F122" t="s">
        <v>1793</v>
      </c>
      <c r="G122" t="s">
        <v>1794</v>
      </c>
      <c r="H122">
        <v>2E-3</v>
      </c>
      <c r="I122">
        <v>0</v>
      </c>
      <c r="J122">
        <v>127</v>
      </c>
    </row>
    <row r="123" spans="1:10" x14ac:dyDescent="0.2">
      <c r="A123" t="s">
        <v>638</v>
      </c>
      <c r="B123" t="s">
        <v>1795</v>
      </c>
      <c r="C123" t="s">
        <v>1506</v>
      </c>
      <c r="D123" t="s">
        <v>1507</v>
      </c>
      <c r="E123" t="s">
        <v>1796</v>
      </c>
      <c r="F123" t="s">
        <v>1797</v>
      </c>
      <c r="G123" t="s">
        <v>1798</v>
      </c>
      <c r="H123">
        <v>2E-3</v>
      </c>
      <c r="I123">
        <v>0</v>
      </c>
      <c r="J123">
        <v>127</v>
      </c>
    </row>
    <row r="124" spans="1:10" x14ac:dyDescent="0.2">
      <c r="A124" t="s">
        <v>638</v>
      </c>
      <c r="B124" t="s">
        <v>1799</v>
      </c>
      <c r="C124" t="s">
        <v>1506</v>
      </c>
      <c r="D124" t="s">
        <v>1507</v>
      </c>
      <c r="E124" t="s">
        <v>1684</v>
      </c>
      <c r="F124" t="s">
        <v>1685</v>
      </c>
      <c r="G124" t="s">
        <v>1800</v>
      </c>
      <c r="H124">
        <v>2E-3</v>
      </c>
      <c r="I124">
        <v>0</v>
      </c>
      <c r="J124">
        <v>127</v>
      </c>
    </row>
    <row r="125" spans="1:10" x14ac:dyDescent="0.2">
      <c r="A125" t="s">
        <v>638</v>
      </c>
      <c r="B125" t="s">
        <v>1801</v>
      </c>
      <c r="C125" t="s">
        <v>1506</v>
      </c>
      <c r="D125" t="s">
        <v>1507</v>
      </c>
      <c r="E125" t="s">
        <v>1519</v>
      </c>
      <c r="F125" t="s">
        <v>1520</v>
      </c>
      <c r="G125" t="s">
        <v>1802</v>
      </c>
      <c r="H125">
        <v>2E-3</v>
      </c>
      <c r="I125">
        <v>0</v>
      </c>
      <c r="J125">
        <v>127</v>
      </c>
    </row>
    <row r="126" spans="1:10" x14ac:dyDescent="0.2">
      <c r="A126" t="s">
        <v>638</v>
      </c>
      <c r="B126" t="s">
        <v>1803</v>
      </c>
      <c r="C126" t="s">
        <v>1506</v>
      </c>
      <c r="D126" t="s">
        <v>1507</v>
      </c>
      <c r="E126" t="s">
        <v>1633</v>
      </c>
      <c r="F126" t="s">
        <v>1634</v>
      </c>
      <c r="G126" t="s">
        <v>1804</v>
      </c>
      <c r="H126">
        <v>2E-3</v>
      </c>
      <c r="I126">
        <v>0</v>
      </c>
      <c r="J126">
        <v>127</v>
      </c>
    </row>
    <row r="127" spans="1:10" x14ac:dyDescent="0.2">
      <c r="A127" t="s">
        <v>638</v>
      </c>
      <c r="B127" t="s">
        <v>1805</v>
      </c>
      <c r="C127" t="s">
        <v>1506</v>
      </c>
      <c r="D127" t="s">
        <v>1507</v>
      </c>
      <c r="E127" t="s">
        <v>1523</v>
      </c>
      <c r="F127" t="s">
        <v>1524</v>
      </c>
      <c r="G127" t="s">
        <v>1806</v>
      </c>
      <c r="H127">
        <v>2E-3</v>
      </c>
      <c r="I127">
        <v>0</v>
      </c>
      <c r="J127">
        <v>127</v>
      </c>
    </row>
    <row r="128" spans="1:10" x14ac:dyDescent="0.2">
      <c r="A128" t="s">
        <v>638</v>
      </c>
      <c r="B128" t="s">
        <v>1807</v>
      </c>
      <c r="C128" t="s">
        <v>1506</v>
      </c>
      <c r="D128" t="s">
        <v>1507</v>
      </c>
      <c r="E128" t="s">
        <v>1625</v>
      </c>
      <c r="F128" t="s">
        <v>1808</v>
      </c>
      <c r="G128" t="s">
        <v>1809</v>
      </c>
      <c r="H128">
        <v>2E-3</v>
      </c>
      <c r="I128">
        <v>0</v>
      </c>
      <c r="J128">
        <v>127</v>
      </c>
    </row>
    <row r="129" spans="1:10" x14ac:dyDescent="0.2">
      <c r="A129" t="s">
        <v>638</v>
      </c>
      <c r="B129" t="s">
        <v>1810</v>
      </c>
      <c r="C129" t="s">
        <v>1506</v>
      </c>
      <c r="D129" t="s">
        <v>1670</v>
      </c>
      <c r="E129" t="s">
        <v>1811</v>
      </c>
      <c r="F129" t="s">
        <v>1812</v>
      </c>
      <c r="G129" t="s">
        <v>1813</v>
      </c>
      <c r="H129">
        <v>2E-3</v>
      </c>
      <c r="I129">
        <v>0</v>
      </c>
      <c r="J129">
        <v>127</v>
      </c>
    </row>
    <row r="130" spans="1:10" x14ac:dyDescent="0.2">
      <c r="A130" t="s">
        <v>638</v>
      </c>
      <c r="B130" t="s">
        <v>1814</v>
      </c>
      <c r="C130" t="s">
        <v>1506</v>
      </c>
      <c r="D130" t="s">
        <v>1507</v>
      </c>
      <c r="E130" t="s">
        <v>1523</v>
      </c>
      <c r="F130" t="s">
        <v>1524</v>
      </c>
      <c r="G130" t="s">
        <v>1815</v>
      </c>
      <c r="H130">
        <v>2E-3</v>
      </c>
      <c r="I130">
        <v>0</v>
      </c>
      <c r="J130">
        <v>127</v>
      </c>
    </row>
    <row r="131" spans="1:10" x14ac:dyDescent="0.2">
      <c r="A131" t="s">
        <v>638</v>
      </c>
      <c r="B131" t="s">
        <v>1816</v>
      </c>
      <c r="C131" t="s">
        <v>1506</v>
      </c>
      <c r="D131" t="s">
        <v>1817</v>
      </c>
      <c r="E131" t="s">
        <v>1818</v>
      </c>
      <c r="F131" t="s">
        <v>1819</v>
      </c>
      <c r="G131" t="s">
        <v>1820</v>
      </c>
      <c r="H131">
        <v>2E-3</v>
      </c>
      <c r="I131">
        <v>0</v>
      </c>
      <c r="J131">
        <v>127</v>
      </c>
    </row>
    <row r="132" spans="1:10" x14ac:dyDescent="0.2">
      <c r="A132" t="s">
        <v>638</v>
      </c>
      <c r="B132" t="s">
        <v>1821</v>
      </c>
      <c r="C132" t="s">
        <v>1506</v>
      </c>
      <c r="D132" t="s">
        <v>1507</v>
      </c>
      <c r="E132" t="s">
        <v>1822</v>
      </c>
      <c r="F132" t="s">
        <v>1823</v>
      </c>
      <c r="G132" t="s">
        <v>1824</v>
      </c>
      <c r="H132">
        <v>2E-3</v>
      </c>
      <c r="I132">
        <v>0</v>
      </c>
      <c r="J132">
        <v>127</v>
      </c>
    </row>
    <row r="133" spans="1:10" x14ac:dyDescent="0.2">
      <c r="A133" t="s">
        <v>638</v>
      </c>
      <c r="B133" t="s">
        <v>1825</v>
      </c>
      <c r="C133" t="s">
        <v>1506</v>
      </c>
      <c r="D133" t="s">
        <v>1507</v>
      </c>
      <c r="E133" t="s">
        <v>1822</v>
      </c>
      <c r="F133" t="s">
        <v>1823</v>
      </c>
      <c r="G133" t="s">
        <v>1824</v>
      </c>
      <c r="H133">
        <v>2E-3</v>
      </c>
      <c r="I133">
        <v>0</v>
      </c>
      <c r="J133">
        <v>127</v>
      </c>
    </row>
    <row r="134" spans="1:10" x14ac:dyDescent="0.2">
      <c r="A134" t="s">
        <v>638</v>
      </c>
      <c r="B134" t="s">
        <v>1826</v>
      </c>
      <c r="C134" t="s">
        <v>1506</v>
      </c>
      <c r="D134" t="s">
        <v>1507</v>
      </c>
      <c r="E134" t="s">
        <v>1822</v>
      </c>
      <c r="F134" t="s">
        <v>1827</v>
      </c>
      <c r="G134" t="s">
        <v>1828</v>
      </c>
      <c r="H134">
        <v>2E-3</v>
      </c>
      <c r="I134">
        <v>0</v>
      </c>
      <c r="J134">
        <v>127</v>
      </c>
    </row>
    <row r="135" spans="1:10" x14ac:dyDescent="0.2">
      <c r="A135" t="s">
        <v>638</v>
      </c>
      <c r="B135" t="s">
        <v>1829</v>
      </c>
      <c r="C135" t="s">
        <v>1506</v>
      </c>
      <c r="D135" t="s">
        <v>1507</v>
      </c>
      <c r="E135" t="s">
        <v>1523</v>
      </c>
      <c r="F135" t="s">
        <v>1524</v>
      </c>
      <c r="G135" t="s">
        <v>1830</v>
      </c>
      <c r="H135">
        <v>1E-3</v>
      </c>
      <c r="I135">
        <v>0.253</v>
      </c>
      <c r="J135">
        <v>127</v>
      </c>
    </row>
    <row r="136" spans="1:10" x14ac:dyDescent="0.2">
      <c r="A136" t="s">
        <v>638</v>
      </c>
      <c r="B136" t="s">
        <v>1831</v>
      </c>
      <c r="C136" t="s">
        <v>1506</v>
      </c>
      <c r="D136" t="s">
        <v>1507</v>
      </c>
      <c r="E136" t="s">
        <v>1633</v>
      </c>
      <c r="F136" t="s">
        <v>1832</v>
      </c>
      <c r="G136" t="s">
        <v>1833</v>
      </c>
      <c r="H136">
        <v>1E-3</v>
      </c>
      <c r="I136">
        <v>3.7999999999999999E-2</v>
      </c>
      <c r="J136">
        <v>127</v>
      </c>
    </row>
    <row r="137" spans="1:10" x14ac:dyDescent="0.2">
      <c r="A137" t="s">
        <v>638</v>
      </c>
      <c r="B137" t="s">
        <v>1834</v>
      </c>
      <c r="C137" t="s">
        <v>1506</v>
      </c>
      <c r="D137" t="s">
        <v>1507</v>
      </c>
      <c r="E137" t="s">
        <v>1544</v>
      </c>
      <c r="F137" t="s">
        <v>1545</v>
      </c>
      <c r="G137" t="s">
        <v>1835</v>
      </c>
      <c r="H137">
        <v>1E-3</v>
      </c>
      <c r="I137">
        <v>0.02</v>
      </c>
      <c r="J137">
        <v>127</v>
      </c>
    </row>
    <row r="138" spans="1:10" x14ac:dyDescent="0.2">
      <c r="A138" t="s">
        <v>638</v>
      </c>
      <c r="B138" t="s">
        <v>1836</v>
      </c>
      <c r="C138" t="s">
        <v>1506</v>
      </c>
      <c r="D138" t="s">
        <v>1507</v>
      </c>
      <c r="E138" t="s">
        <v>1523</v>
      </c>
      <c r="F138" t="s">
        <v>1837</v>
      </c>
      <c r="G138" t="s">
        <v>1838</v>
      </c>
      <c r="H138">
        <v>1E-3</v>
      </c>
      <c r="I138">
        <v>1.7999999999999999E-2</v>
      </c>
      <c r="J138">
        <v>127</v>
      </c>
    </row>
    <row r="139" spans="1:10" x14ac:dyDescent="0.2">
      <c r="A139" t="s">
        <v>638</v>
      </c>
      <c r="B139" t="s">
        <v>1839</v>
      </c>
      <c r="C139" t="s">
        <v>1506</v>
      </c>
      <c r="D139" t="s">
        <v>1507</v>
      </c>
      <c r="E139" t="s">
        <v>1519</v>
      </c>
      <c r="F139" t="s">
        <v>1520</v>
      </c>
      <c r="G139" t="s">
        <v>1840</v>
      </c>
      <c r="H139">
        <v>1E-3</v>
      </c>
      <c r="I139">
        <v>1.6E-2</v>
      </c>
      <c r="J139">
        <v>127</v>
      </c>
    </row>
    <row r="140" spans="1:10" x14ac:dyDescent="0.2">
      <c r="A140" t="s">
        <v>638</v>
      </c>
      <c r="B140" t="s">
        <v>1841</v>
      </c>
      <c r="C140" t="s">
        <v>1506</v>
      </c>
      <c r="D140" t="s">
        <v>1507</v>
      </c>
      <c r="E140" t="s">
        <v>1696</v>
      </c>
      <c r="F140" t="s">
        <v>1697</v>
      </c>
      <c r="G140" t="s">
        <v>1842</v>
      </c>
      <c r="H140">
        <v>1E-3</v>
      </c>
      <c r="I140">
        <v>1.6E-2</v>
      </c>
      <c r="J140">
        <v>127</v>
      </c>
    </row>
    <row r="141" spans="1:10" x14ac:dyDescent="0.2">
      <c r="A141" t="s">
        <v>638</v>
      </c>
      <c r="B141" t="s">
        <v>1843</v>
      </c>
      <c r="C141" t="s">
        <v>1506</v>
      </c>
      <c r="D141" t="s">
        <v>1507</v>
      </c>
      <c r="E141" t="s">
        <v>1844</v>
      </c>
      <c r="F141" t="s">
        <v>1845</v>
      </c>
      <c r="G141" t="s">
        <v>1846</v>
      </c>
      <c r="H141">
        <v>1E-3</v>
      </c>
      <c r="I141">
        <v>7.0000000000000001E-3</v>
      </c>
      <c r="J141">
        <v>127</v>
      </c>
    </row>
    <row r="142" spans="1:10" x14ac:dyDescent="0.2">
      <c r="A142" t="s">
        <v>638</v>
      </c>
      <c r="B142" t="s">
        <v>1847</v>
      </c>
      <c r="C142" t="s">
        <v>1506</v>
      </c>
      <c r="D142" t="s">
        <v>1507</v>
      </c>
      <c r="E142" t="s">
        <v>1523</v>
      </c>
      <c r="F142" t="s">
        <v>1524</v>
      </c>
      <c r="G142" t="s">
        <v>1848</v>
      </c>
      <c r="H142">
        <v>1E-3</v>
      </c>
      <c r="I142">
        <v>7.0000000000000001E-3</v>
      </c>
      <c r="J142">
        <v>127</v>
      </c>
    </row>
    <row r="143" spans="1:10" x14ac:dyDescent="0.2">
      <c r="A143" t="s">
        <v>638</v>
      </c>
      <c r="B143" t="s">
        <v>1849</v>
      </c>
      <c r="C143" t="s">
        <v>1506</v>
      </c>
      <c r="D143" t="s">
        <v>1507</v>
      </c>
      <c r="E143" t="s">
        <v>8</v>
      </c>
      <c r="F143" t="s">
        <v>1575</v>
      </c>
      <c r="G143" t="s">
        <v>1850</v>
      </c>
      <c r="H143">
        <v>1E-3</v>
      </c>
      <c r="I143">
        <v>4.0000000000000001E-3</v>
      </c>
      <c r="J143">
        <v>127</v>
      </c>
    </row>
    <row r="144" spans="1:10" x14ac:dyDescent="0.2">
      <c r="A144" t="s">
        <v>638</v>
      </c>
      <c r="B144" t="s">
        <v>1851</v>
      </c>
      <c r="C144" t="s">
        <v>1506</v>
      </c>
      <c r="D144" t="s">
        <v>1507</v>
      </c>
      <c r="E144" t="s">
        <v>8</v>
      </c>
      <c r="F144" t="s">
        <v>1575</v>
      </c>
      <c r="G144" t="s">
        <v>1852</v>
      </c>
      <c r="H144">
        <v>1E-3</v>
      </c>
      <c r="I144">
        <v>4.0000000000000001E-3</v>
      </c>
      <c r="J144">
        <v>127</v>
      </c>
    </row>
    <row r="145" spans="1:10" x14ac:dyDescent="0.2">
      <c r="A145" t="s">
        <v>638</v>
      </c>
      <c r="B145" t="s">
        <v>1853</v>
      </c>
      <c r="C145" t="s">
        <v>1506</v>
      </c>
      <c r="D145" t="s">
        <v>1507</v>
      </c>
      <c r="E145" t="s">
        <v>1854</v>
      </c>
      <c r="F145" t="s">
        <v>1855</v>
      </c>
      <c r="G145" t="s">
        <v>1856</v>
      </c>
      <c r="H145">
        <v>1E-3</v>
      </c>
      <c r="I145">
        <v>0</v>
      </c>
      <c r="J145">
        <v>127</v>
      </c>
    </row>
    <row r="146" spans="1:10" x14ac:dyDescent="0.2">
      <c r="A146" t="s">
        <v>638</v>
      </c>
      <c r="B146" t="s">
        <v>1857</v>
      </c>
      <c r="C146" t="s">
        <v>1506</v>
      </c>
      <c r="D146" t="s">
        <v>1507</v>
      </c>
      <c r="E146" t="s">
        <v>1696</v>
      </c>
      <c r="F146" t="s">
        <v>1697</v>
      </c>
      <c r="G146" t="s">
        <v>1858</v>
      </c>
      <c r="H146">
        <v>1E-3</v>
      </c>
      <c r="I146">
        <v>0</v>
      </c>
      <c r="J146">
        <v>127</v>
      </c>
    </row>
    <row r="147" spans="1:10" x14ac:dyDescent="0.2">
      <c r="A147" t="s">
        <v>638</v>
      </c>
      <c r="B147" t="s">
        <v>1859</v>
      </c>
      <c r="C147" t="s">
        <v>1506</v>
      </c>
      <c r="D147" t="s">
        <v>1507</v>
      </c>
      <c r="E147" t="s">
        <v>1696</v>
      </c>
      <c r="F147" t="s">
        <v>1697</v>
      </c>
      <c r="G147" t="s">
        <v>1860</v>
      </c>
      <c r="H147">
        <v>1E-3</v>
      </c>
      <c r="I147">
        <v>0</v>
      </c>
      <c r="J147">
        <v>127</v>
      </c>
    </row>
    <row r="148" spans="1:10" x14ac:dyDescent="0.2">
      <c r="A148" t="s">
        <v>638</v>
      </c>
      <c r="B148" t="s">
        <v>1861</v>
      </c>
      <c r="C148" t="s">
        <v>1506</v>
      </c>
      <c r="D148" t="s">
        <v>1507</v>
      </c>
      <c r="E148" t="s">
        <v>1696</v>
      </c>
      <c r="F148" t="s">
        <v>1697</v>
      </c>
      <c r="G148" t="s">
        <v>1862</v>
      </c>
      <c r="H148">
        <v>1E-3</v>
      </c>
      <c r="I148">
        <v>0</v>
      </c>
      <c r="J148">
        <v>127</v>
      </c>
    </row>
    <row r="149" spans="1:10" x14ac:dyDescent="0.2">
      <c r="A149" t="s">
        <v>638</v>
      </c>
      <c r="B149" t="s">
        <v>1863</v>
      </c>
      <c r="C149" t="s">
        <v>1506</v>
      </c>
      <c r="D149" t="s">
        <v>1507</v>
      </c>
      <c r="E149" t="s">
        <v>1625</v>
      </c>
      <c r="F149" t="s">
        <v>1864</v>
      </c>
      <c r="G149" t="s">
        <v>1865</v>
      </c>
      <c r="H149">
        <v>1E-3</v>
      </c>
      <c r="I149">
        <v>0</v>
      </c>
      <c r="J149">
        <v>127</v>
      </c>
    </row>
    <row r="150" spans="1:10" x14ac:dyDescent="0.2">
      <c r="A150" t="s">
        <v>638</v>
      </c>
      <c r="B150" t="s">
        <v>1866</v>
      </c>
      <c r="C150" t="s">
        <v>1506</v>
      </c>
      <c r="D150" t="s">
        <v>1507</v>
      </c>
      <c r="E150" t="s">
        <v>1625</v>
      </c>
      <c r="F150" t="s">
        <v>1864</v>
      </c>
      <c r="G150" t="s">
        <v>1865</v>
      </c>
      <c r="H150">
        <v>1E-3</v>
      </c>
      <c r="I150">
        <v>0</v>
      </c>
      <c r="J150">
        <v>127</v>
      </c>
    </row>
    <row r="151" spans="1:10" x14ac:dyDescent="0.2">
      <c r="A151" t="s">
        <v>638</v>
      </c>
      <c r="B151" t="s">
        <v>1867</v>
      </c>
      <c r="C151" t="s">
        <v>1506</v>
      </c>
      <c r="D151" t="s">
        <v>1507</v>
      </c>
      <c r="E151" t="s">
        <v>1625</v>
      </c>
      <c r="F151" t="s">
        <v>1864</v>
      </c>
      <c r="G151" t="s">
        <v>1865</v>
      </c>
      <c r="H151">
        <v>1E-3</v>
      </c>
      <c r="I151">
        <v>0</v>
      </c>
      <c r="J151">
        <v>127</v>
      </c>
    </row>
    <row r="152" spans="1:10" x14ac:dyDescent="0.2">
      <c r="A152" t="s">
        <v>638</v>
      </c>
      <c r="B152" t="s">
        <v>1868</v>
      </c>
      <c r="C152" t="s">
        <v>1506</v>
      </c>
      <c r="D152" t="s">
        <v>1670</v>
      </c>
      <c r="E152" t="s">
        <v>1701</v>
      </c>
      <c r="F152" t="s">
        <v>1869</v>
      </c>
      <c r="G152" t="s">
        <v>1870</v>
      </c>
      <c r="H152">
        <v>1E-3</v>
      </c>
      <c r="I152">
        <v>0</v>
      </c>
      <c r="J152">
        <v>127</v>
      </c>
    </row>
    <row r="153" spans="1:10" x14ac:dyDescent="0.2">
      <c r="A153" t="s">
        <v>638</v>
      </c>
      <c r="B153" t="s">
        <v>1871</v>
      </c>
      <c r="C153" t="s">
        <v>1506</v>
      </c>
      <c r="D153" t="s">
        <v>1507</v>
      </c>
      <c r="E153" t="s">
        <v>1684</v>
      </c>
      <c r="F153" t="s">
        <v>1685</v>
      </c>
      <c r="G153" t="s">
        <v>1872</v>
      </c>
      <c r="H153">
        <v>1E-3</v>
      </c>
      <c r="I153">
        <v>0</v>
      </c>
      <c r="J153">
        <v>127</v>
      </c>
    </row>
    <row r="154" spans="1:10" x14ac:dyDescent="0.2">
      <c r="A154" t="s">
        <v>638</v>
      </c>
      <c r="B154" t="s">
        <v>1873</v>
      </c>
      <c r="C154" t="s">
        <v>1506</v>
      </c>
      <c r="D154" t="s">
        <v>1507</v>
      </c>
      <c r="E154" t="s">
        <v>1684</v>
      </c>
      <c r="F154" t="s">
        <v>1685</v>
      </c>
      <c r="G154" t="s">
        <v>1874</v>
      </c>
      <c r="H154">
        <v>1E-3</v>
      </c>
      <c r="I154">
        <v>0</v>
      </c>
      <c r="J154">
        <v>127</v>
      </c>
    </row>
    <row r="155" spans="1:10" x14ac:dyDescent="0.2">
      <c r="A155" t="s">
        <v>638</v>
      </c>
      <c r="B155" t="s">
        <v>1875</v>
      </c>
      <c r="C155" t="s">
        <v>1506</v>
      </c>
      <c r="D155" t="s">
        <v>1507</v>
      </c>
      <c r="E155" t="s">
        <v>1684</v>
      </c>
      <c r="F155" t="s">
        <v>1685</v>
      </c>
      <c r="G155" t="s">
        <v>1876</v>
      </c>
      <c r="H155">
        <v>1E-3</v>
      </c>
      <c r="I155">
        <v>0</v>
      </c>
      <c r="J155">
        <v>127</v>
      </c>
    </row>
    <row r="156" spans="1:10" x14ac:dyDescent="0.2">
      <c r="A156" t="s">
        <v>638</v>
      </c>
      <c r="B156" t="s">
        <v>1877</v>
      </c>
      <c r="C156" t="s">
        <v>1506</v>
      </c>
      <c r="D156" t="s">
        <v>1507</v>
      </c>
      <c r="E156" t="s">
        <v>1878</v>
      </c>
      <c r="F156" t="s">
        <v>1879</v>
      </c>
      <c r="G156" t="s">
        <v>1880</v>
      </c>
      <c r="H156">
        <v>1E-3</v>
      </c>
      <c r="I156">
        <v>0</v>
      </c>
      <c r="J156">
        <v>127</v>
      </c>
    </row>
    <row r="157" spans="1:10" x14ac:dyDescent="0.2">
      <c r="A157" t="s">
        <v>638</v>
      </c>
      <c r="B157" t="s">
        <v>1881</v>
      </c>
      <c r="C157" t="s">
        <v>1506</v>
      </c>
      <c r="D157" t="s">
        <v>1507</v>
      </c>
      <c r="E157" t="s">
        <v>8</v>
      </c>
      <c r="F157" t="s">
        <v>1575</v>
      </c>
      <c r="G157" t="s">
        <v>1882</v>
      </c>
      <c r="H157">
        <v>1E-3</v>
      </c>
      <c r="I157">
        <v>0</v>
      </c>
      <c r="J157">
        <v>127</v>
      </c>
    </row>
    <row r="158" spans="1:10" x14ac:dyDescent="0.2">
      <c r="A158" t="s">
        <v>638</v>
      </c>
      <c r="B158" t="s">
        <v>1883</v>
      </c>
      <c r="C158" t="s">
        <v>1506</v>
      </c>
      <c r="D158" t="s">
        <v>1507</v>
      </c>
      <c r="E158" t="s">
        <v>8</v>
      </c>
      <c r="F158" t="s">
        <v>1575</v>
      </c>
      <c r="G158" t="s">
        <v>1884</v>
      </c>
      <c r="H158">
        <v>1E-3</v>
      </c>
      <c r="I158">
        <v>0</v>
      </c>
      <c r="J158">
        <v>127</v>
      </c>
    </row>
    <row r="159" spans="1:10" x14ac:dyDescent="0.2">
      <c r="A159" t="s">
        <v>638</v>
      </c>
      <c r="B159" t="s">
        <v>1885</v>
      </c>
      <c r="C159" t="s">
        <v>1506</v>
      </c>
      <c r="D159" t="s">
        <v>1507</v>
      </c>
      <c r="E159" t="s">
        <v>8</v>
      </c>
      <c r="F159" t="s">
        <v>1575</v>
      </c>
      <c r="G159" t="s">
        <v>1850</v>
      </c>
      <c r="H159">
        <v>1E-3</v>
      </c>
      <c r="I159">
        <v>0</v>
      </c>
      <c r="J159">
        <v>127</v>
      </c>
    </row>
    <row r="160" spans="1:10" x14ac:dyDescent="0.2">
      <c r="A160" t="s">
        <v>638</v>
      </c>
      <c r="B160" t="s">
        <v>1886</v>
      </c>
      <c r="C160" t="s">
        <v>1506</v>
      </c>
      <c r="D160" t="s">
        <v>1507</v>
      </c>
      <c r="E160" t="s">
        <v>8</v>
      </c>
      <c r="F160" t="s">
        <v>1575</v>
      </c>
      <c r="G160" t="s">
        <v>1887</v>
      </c>
      <c r="H160">
        <v>1E-3</v>
      </c>
      <c r="I160">
        <v>0</v>
      </c>
      <c r="J160">
        <v>127</v>
      </c>
    </row>
    <row r="161" spans="1:10" x14ac:dyDescent="0.2">
      <c r="A161" t="s">
        <v>638</v>
      </c>
      <c r="B161" t="s">
        <v>1888</v>
      </c>
      <c r="C161" t="s">
        <v>1506</v>
      </c>
      <c r="D161" t="s">
        <v>1507</v>
      </c>
      <c r="E161" t="s">
        <v>8</v>
      </c>
      <c r="F161" t="s">
        <v>1575</v>
      </c>
      <c r="G161" t="s">
        <v>1889</v>
      </c>
      <c r="H161">
        <v>1E-3</v>
      </c>
      <c r="I161">
        <v>0</v>
      </c>
      <c r="J161">
        <v>127</v>
      </c>
    </row>
    <row r="162" spans="1:10" x14ac:dyDescent="0.2">
      <c r="A162" t="s">
        <v>638</v>
      </c>
      <c r="B162" t="s">
        <v>1890</v>
      </c>
      <c r="C162" t="s">
        <v>1506</v>
      </c>
      <c r="D162" t="s">
        <v>1507</v>
      </c>
      <c r="E162" t="s">
        <v>8</v>
      </c>
      <c r="F162" t="s">
        <v>1575</v>
      </c>
      <c r="G162" t="s">
        <v>1891</v>
      </c>
      <c r="H162">
        <v>1E-3</v>
      </c>
      <c r="I162">
        <v>0</v>
      </c>
      <c r="J162">
        <v>127</v>
      </c>
    </row>
    <row r="163" spans="1:10" x14ac:dyDescent="0.2">
      <c r="A163" t="s">
        <v>638</v>
      </c>
      <c r="B163" t="s">
        <v>1892</v>
      </c>
      <c r="C163" t="s">
        <v>1506</v>
      </c>
      <c r="D163" t="s">
        <v>1507</v>
      </c>
      <c r="E163" t="s">
        <v>8</v>
      </c>
      <c r="F163" t="s">
        <v>1575</v>
      </c>
      <c r="G163" t="s">
        <v>1893</v>
      </c>
      <c r="H163">
        <v>1E-3</v>
      </c>
      <c r="I163">
        <v>0</v>
      </c>
      <c r="J163">
        <v>127</v>
      </c>
    </row>
    <row r="164" spans="1:10" x14ac:dyDescent="0.2">
      <c r="A164" t="s">
        <v>638</v>
      </c>
      <c r="B164" t="s">
        <v>1894</v>
      </c>
      <c r="C164" t="s">
        <v>1506</v>
      </c>
      <c r="D164" t="s">
        <v>1507</v>
      </c>
      <c r="E164" t="s">
        <v>1895</v>
      </c>
      <c r="F164" t="s">
        <v>1896</v>
      </c>
      <c r="G164" t="s">
        <v>1897</v>
      </c>
      <c r="H164">
        <v>1E-3</v>
      </c>
      <c r="I164">
        <v>0</v>
      </c>
      <c r="J164">
        <v>127</v>
      </c>
    </row>
    <row r="165" spans="1:10" x14ac:dyDescent="0.2">
      <c r="A165" t="s">
        <v>638</v>
      </c>
      <c r="B165" t="s">
        <v>1898</v>
      </c>
      <c r="C165" t="s">
        <v>1506</v>
      </c>
      <c r="D165" t="s">
        <v>1507</v>
      </c>
      <c r="E165" t="s">
        <v>8</v>
      </c>
      <c r="F165" t="s">
        <v>1575</v>
      </c>
      <c r="G165" t="s">
        <v>1899</v>
      </c>
      <c r="H165">
        <v>1E-3</v>
      </c>
      <c r="I165">
        <v>0</v>
      </c>
      <c r="J165">
        <v>127</v>
      </c>
    </row>
    <row r="166" spans="1:10" x14ac:dyDescent="0.2">
      <c r="A166" t="s">
        <v>638</v>
      </c>
      <c r="B166" t="s">
        <v>1900</v>
      </c>
      <c r="C166" t="s">
        <v>1506</v>
      </c>
      <c r="D166" t="s">
        <v>1507</v>
      </c>
      <c r="E166" t="s">
        <v>1625</v>
      </c>
      <c r="F166" t="s">
        <v>1901</v>
      </c>
      <c r="G166" t="s">
        <v>1902</v>
      </c>
      <c r="H166">
        <v>1E-3</v>
      </c>
      <c r="I166">
        <v>0</v>
      </c>
      <c r="J166">
        <v>127</v>
      </c>
    </row>
    <row r="167" spans="1:10" x14ac:dyDescent="0.2">
      <c r="A167" t="s">
        <v>638</v>
      </c>
      <c r="B167" t="s">
        <v>1903</v>
      </c>
      <c r="C167" t="s">
        <v>1506</v>
      </c>
      <c r="D167" t="s">
        <v>1507</v>
      </c>
      <c r="E167" t="s">
        <v>1854</v>
      </c>
      <c r="F167" t="s">
        <v>1904</v>
      </c>
      <c r="G167" t="s">
        <v>1905</v>
      </c>
      <c r="H167">
        <v>1E-3</v>
      </c>
      <c r="I167">
        <v>0</v>
      </c>
      <c r="J167">
        <v>127</v>
      </c>
    </row>
    <row r="168" spans="1:10" x14ac:dyDescent="0.2">
      <c r="A168" t="s">
        <v>638</v>
      </c>
      <c r="B168" t="s">
        <v>1906</v>
      </c>
      <c r="C168" t="s">
        <v>1506</v>
      </c>
      <c r="D168" t="s">
        <v>1507</v>
      </c>
      <c r="E168" t="s">
        <v>1907</v>
      </c>
      <c r="F168" t="s">
        <v>1908</v>
      </c>
      <c r="G168" t="s">
        <v>1909</v>
      </c>
      <c r="H168">
        <v>1E-3</v>
      </c>
      <c r="I168">
        <v>0</v>
      </c>
      <c r="J168">
        <v>127</v>
      </c>
    </row>
    <row r="169" spans="1:10" x14ac:dyDescent="0.2">
      <c r="A169" t="s">
        <v>638</v>
      </c>
      <c r="B169" t="s">
        <v>1910</v>
      </c>
      <c r="C169" t="s">
        <v>1506</v>
      </c>
      <c r="D169" t="s">
        <v>1817</v>
      </c>
      <c r="E169" t="s">
        <v>1818</v>
      </c>
      <c r="F169" t="s">
        <v>1911</v>
      </c>
      <c r="G169" t="s">
        <v>1912</v>
      </c>
      <c r="H169">
        <v>1E-3</v>
      </c>
      <c r="I169">
        <v>0</v>
      </c>
      <c r="J169">
        <v>127</v>
      </c>
    </row>
    <row r="170" spans="1:10" x14ac:dyDescent="0.2">
      <c r="A170" t="s">
        <v>638</v>
      </c>
      <c r="B170" t="s">
        <v>1913</v>
      </c>
      <c r="C170" t="s">
        <v>1506</v>
      </c>
      <c r="D170" t="s">
        <v>1507</v>
      </c>
      <c r="E170" t="s">
        <v>1523</v>
      </c>
      <c r="F170" t="s">
        <v>1524</v>
      </c>
      <c r="G170" t="s">
        <v>1914</v>
      </c>
      <c r="H170">
        <v>1E-3</v>
      </c>
      <c r="I170">
        <v>0</v>
      </c>
      <c r="J170">
        <v>127</v>
      </c>
    </row>
    <row r="171" spans="1:10" x14ac:dyDescent="0.2">
      <c r="A171" t="s">
        <v>638</v>
      </c>
      <c r="B171" t="s">
        <v>1915</v>
      </c>
      <c r="C171" t="s">
        <v>1506</v>
      </c>
      <c r="D171" t="s">
        <v>1507</v>
      </c>
      <c r="E171" t="s">
        <v>1523</v>
      </c>
      <c r="F171" t="s">
        <v>1916</v>
      </c>
      <c r="G171" t="s">
        <v>1917</v>
      </c>
      <c r="H171">
        <v>1E-3</v>
      </c>
      <c r="I171">
        <v>0</v>
      </c>
      <c r="J171">
        <v>127</v>
      </c>
    </row>
    <row r="172" spans="1:10" x14ac:dyDescent="0.2">
      <c r="A172" t="s">
        <v>638</v>
      </c>
      <c r="B172" t="s">
        <v>1918</v>
      </c>
      <c r="C172" t="s">
        <v>1506</v>
      </c>
      <c r="D172" t="s">
        <v>1507</v>
      </c>
      <c r="E172" t="s">
        <v>1544</v>
      </c>
      <c r="F172" t="s">
        <v>1545</v>
      </c>
      <c r="G172" t="s">
        <v>1919</v>
      </c>
      <c r="H172">
        <v>1E-3</v>
      </c>
      <c r="I172">
        <v>0</v>
      </c>
      <c r="J172">
        <v>127</v>
      </c>
    </row>
    <row r="173" spans="1:10" x14ac:dyDescent="0.2">
      <c r="A173" t="s">
        <v>638</v>
      </c>
      <c r="B173" t="s">
        <v>1920</v>
      </c>
      <c r="C173" t="s">
        <v>1506</v>
      </c>
      <c r="D173" t="s">
        <v>1507</v>
      </c>
      <c r="E173" t="s">
        <v>1586</v>
      </c>
      <c r="F173" t="s">
        <v>1587</v>
      </c>
      <c r="G173" t="s">
        <v>1921</v>
      </c>
      <c r="H173">
        <v>1E-3</v>
      </c>
      <c r="I173">
        <v>0</v>
      </c>
      <c r="J173">
        <v>127</v>
      </c>
    </row>
    <row r="174" spans="1:10" x14ac:dyDescent="0.2">
      <c r="A174" t="s">
        <v>638</v>
      </c>
      <c r="B174" t="s">
        <v>1922</v>
      </c>
      <c r="C174" t="s">
        <v>1506</v>
      </c>
      <c r="D174" t="s">
        <v>1507</v>
      </c>
      <c r="E174" t="s">
        <v>1586</v>
      </c>
      <c r="F174" t="s">
        <v>1587</v>
      </c>
      <c r="G174" t="s">
        <v>1923</v>
      </c>
      <c r="H174">
        <v>1E-3</v>
      </c>
      <c r="I174">
        <v>0</v>
      </c>
      <c r="J174">
        <v>127</v>
      </c>
    </row>
    <row r="175" spans="1:10" x14ac:dyDescent="0.2">
      <c r="A175" t="s">
        <v>638</v>
      </c>
      <c r="B175" t="s">
        <v>1924</v>
      </c>
      <c r="C175" t="s">
        <v>1506</v>
      </c>
      <c r="D175" t="s">
        <v>1507</v>
      </c>
      <c r="E175" t="s">
        <v>1854</v>
      </c>
      <c r="F175" t="s">
        <v>1904</v>
      </c>
      <c r="G175" t="s">
        <v>1925</v>
      </c>
      <c r="H175">
        <v>1E-3</v>
      </c>
      <c r="I175">
        <v>0</v>
      </c>
      <c r="J175">
        <v>127</v>
      </c>
    </row>
    <row r="176" spans="1:10" x14ac:dyDescent="0.2">
      <c r="A176" t="s">
        <v>638</v>
      </c>
      <c r="B176" t="s">
        <v>1926</v>
      </c>
      <c r="C176" t="s">
        <v>1506</v>
      </c>
      <c r="D176" t="s">
        <v>1670</v>
      </c>
      <c r="E176" t="s">
        <v>1701</v>
      </c>
      <c r="F176" t="s">
        <v>1927</v>
      </c>
      <c r="G176" t="s">
        <v>1928</v>
      </c>
      <c r="H176">
        <v>1E-3</v>
      </c>
      <c r="I176">
        <v>0</v>
      </c>
      <c r="J176">
        <v>127</v>
      </c>
    </row>
    <row r="177" spans="1:10" x14ac:dyDescent="0.2">
      <c r="A177" t="s">
        <v>638</v>
      </c>
      <c r="B177" t="s">
        <v>1929</v>
      </c>
      <c r="C177" t="s">
        <v>1506</v>
      </c>
      <c r="D177" t="s">
        <v>1507</v>
      </c>
      <c r="E177" t="s">
        <v>1596</v>
      </c>
      <c r="F177" t="s">
        <v>1597</v>
      </c>
      <c r="G177" t="s">
        <v>1930</v>
      </c>
      <c r="H177">
        <v>1E-3</v>
      </c>
      <c r="I177">
        <v>0</v>
      </c>
      <c r="J177">
        <v>127</v>
      </c>
    </row>
    <row r="178" spans="1:10" x14ac:dyDescent="0.2">
      <c r="A178" t="s">
        <v>638</v>
      </c>
      <c r="B178" t="s">
        <v>1931</v>
      </c>
      <c r="C178" t="s">
        <v>1506</v>
      </c>
      <c r="D178" t="s">
        <v>1507</v>
      </c>
      <c r="E178" t="s">
        <v>1596</v>
      </c>
      <c r="F178" t="s">
        <v>1597</v>
      </c>
      <c r="G178" t="s">
        <v>1932</v>
      </c>
      <c r="H178">
        <v>1E-3</v>
      </c>
      <c r="I178">
        <v>0</v>
      </c>
      <c r="J178">
        <v>300</v>
      </c>
    </row>
    <row r="179" spans="1:10" x14ac:dyDescent="0.2">
      <c r="A179" t="s">
        <v>638</v>
      </c>
      <c r="B179" t="s">
        <v>1933</v>
      </c>
      <c r="C179" t="s">
        <v>1506</v>
      </c>
      <c r="D179" t="s">
        <v>1670</v>
      </c>
      <c r="E179" t="s">
        <v>1701</v>
      </c>
      <c r="F179" t="s">
        <v>1702</v>
      </c>
      <c r="G179" t="s">
        <v>1934</v>
      </c>
      <c r="H179">
        <v>1E-3</v>
      </c>
      <c r="I179">
        <v>0</v>
      </c>
      <c r="J179">
        <v>127</v>
      </c>
    </row>
    <row r="180" spans="1:10" x14ac:dyDescent="0.2">
      <c r="A180" t="s">
        <v>638</v>
      </c>
      <c r="B180" t="s">
        <v>1935</v>
      </c>
      <c r="C180" t="s">
        <v>1506</v>
      </c>
      <c r="D180" t="s">
        <v>1507</v>
      </c>
      <c r="E180" t="s">
        <v>1596</v>
      </c>
      <c r="F180" t="s">
        <v>1597</v>
      </c>
      <c r="G180" t="s">
        <v>1936</v>
      </c>
      <c r="H180">
        <v>1E-3</v>
      </c>
      <c r="I180">
        <v>0</v>
      </c>
      <c r="J180">
        <v>127</v>
      </c>
    </row>
    <row r="181" spans="1:10" x14ac:dyDescent="0.2">
      <c r="A181" t="s">
        <v>638</v>
      </c>
      <c r="B181" t="s">
        <v>1937</v>
      </c>
      <c r="C181" t="s">
        <v>1506</v>
      </c>
      <c r="D181" t="s">
        <v>1507</v>
      </c>
      <c r="E181" t="s">
        <v>1596</v>
      </c>
      <c r="F181" t="s">
        <v>1597</v>
      </c>
      <c r="G181" t="s">
        <v>1938</v>
      </c>
      <c r="H181">
        <v>1E-3</v>
      </c>
      <c r="I181">
        <v>0</v>
      </c>
      <c r="J181">
        <v>127</v>
      </c>
    </row>
    <row r="182" spans="1:10" x14ac:dyDescent="0.2">
      <c r="A182" t="s">
        <v>638</v>
      </c>
      <c r="B182" t="s">
        <v>1939</v>
      </c>
      <c r="C182" t="s">
        <v>1506</v>
      </c>
      <c r="D182" t="s">
        <v>1507</v>
      </c>
      <c r="E182" t="s">
        <v>1940</v>
      </c>
      <c r="F182" t="s">
        <v>1941</v>
      </c>
      <c r="G182" t="s">
        <v>1942</v>
      </c>
      <c r="H182">
        <v>1E-3</v>
      </c>
      <c r="I182">
        <v>0</v>
      </c>
      <c r="J182">
        <v>127</v>
      </c>
    </row>
    <row r="183" spans="1:10" x14ac:dyDescent="0.2">
      <c r="A183" t="s">
        <v>638</v>
      </c>
      <c r="B183" t="s">
        <v>1943</v>
      </c>
      <c r="C183" t="s">
        <v>1506</v>
      </c>
      <c r="D183" t="s">
        <v>1507</v>
      </c>
      <c r="E183" t="s">
        <v>8</v>
      </c>
      <c r="F183" t="s">
        <v>1615</v>
      </c>
      <c r="G183" t="s">
        <v>1944</v>
      </c>
      <c r="H183">
        <v>1E-3</v>
      </c>
      <c r="I183">
        <v>0</v>
      </c>
      <c r="J183">
        <v>127</v>
      </c>
    </row>
    <row r="184" spans="1:10" x14ac:dyDescent="0.2">
      <c r="A184" t="s">
        <v>638</v>
      </c>
      <c r="B184" t="s">
        <v>1945</v>
      </c>
      <c r="C184" t="s">
        <v>1506</v>
      </c>
      <c r="D184" t="s">
        <v>1507</v>
      </c>
      <c r="E184" t="s">
        <v>8</v>
      </c>
      <c r="F184" t="s">
        <v>1575</v>
      </c>
      <c r="G184" t="s">
        <v>1946</v>
      </c>
      <c r="H184">
        <v>1E-3</v>
      </c>
      <c r="I184">
        <v>0</v>
      </c>
      <c r="J184">
        <v>127</v>
      </c>
    </row>
    <row r="185" spans="1:10" x14ac:dyDescent="0.2">
      <c r="A185" t="s">
        <v>638</v>
      </c>
      <c r="B185" t="s">
        <v>1947</v>
      </c>
      <c r="C185" t="s">
        <v>1506</v>
      </c>
      <c r="D185" t="s">
        <v>1507</v>
      </c>
      <c r="E185" t="s">
        <v>1696</v>
      </c>
      <c r="F185" t="s">
        <v>1697</v>
      </c>
      <c r="G185" t="s">
        <v>1948</v>
      </c>
      <c r="H185">
        <v>1E-3</v>
      </c>
      <c r="I185">
        <v>0</v>
      </c>
      <c r="J185">
        <v>127</v>
      </c>
    </row>
    <row r="186" spans="1:10" x14ac:dyDescent="0.2">
      <c r="A186" t="s">
        <v>638</v>
      </c>
      <c r="B186" t="s">
        <v>1949</v>
      </c>
      <c r="C186" t="s">
        <v>1506</v>
      </c>
      <c r="D186" t="s">
        <v>1507</v>
      </c>
      <c r="E186" t="s">
        <v>1596</v>
      </c>
      <c r="F186" t="s">
        <v>1950</v>
      </c>
      <c r="G186" t="s">
        <v>1951</v>
      </c>
      <c r="H186">
        <v>1E-3</v>
      </c>
      <c r="I186">
        <v>0</v>
      </c>
      <c r="J186">
        <v>127</v>
      </c>
    </row>
    <row r="187" spans="1:10" x14ac:dyDescent="0.2">
      <c r="A187" t="s">
        <v>638</v>
      </c>
      <c r="B187" t="s">
        <v>1952</v>
      </c>
      <c r="C187" t="s">
        <v>1506</v>
      </c>
      <c r="D187" t="s">
        <v>1507</v>
      </c>
      <c r="E187" t="s">
        <v>1733</v>
      </c>
      <c r="F187" t="s">
        <v>1734</v>
      </c>
      <c r="G187" t="s">
        <v>1953</v>
      </c>
      <c r="H187">
        <v>1E-3</v>
      </c>
      <c r="I187">
        <v>0</v>
      </c>
      <c r="J187">
        <v>127</v>
      </c>
    </row>
    <row r="188" spans="1:10" x14ac:dyDescent="0.2">
      <c r="A188" t="s">
        <v>638</v>
      </c>
      <c r="B188" t="s">
        <v>1954</v>
      </c>
      <c r="C188" t="s">
        <v>1506</v>
      </c>
      <c r="D188" t="s">
        <v>1507</v>
      </c>
      <c r="E188" t="s">
        <v>1586</v>
      </c>
      <c r="F188" t="s">
        <v>1587</v>
      </c>
      <c r="G188" t="s">
        <v>1955</v>
      </c>
      <c r="H188">
        <v>1E-3</v>
      </c>
      <c r="I188">
        <v>0</v>
      </c>
      <c r="J188">
        <v>127</v>
      </c>
    </row>
    <row r="189" spans="1:10" x14ac:dyDescent="0.2">
      <c r="A189" t="s">
        <v>638</v>
      </c>
      <c r="B189" t="s">
        <v>1956</v>
      </c>
      <c r="C189" t="s">
        <v>1506</v>
      </c>
      <c r="D189" t="s">
        <v>1507</v>
      </c>
      <c r="E189" t="s">
        <v>1586</v>
      </c>
      <c r="F189" t="s">
        <v>1957</v>
      </c>
      <c r="G189" t="s">
        <v>1958</v>
      </c>
      <c r="H189">
        <v>1E-3</v>
      </c>
      <c r="I189">
        <v>0</v>
      </c>
      <c r="J189">
        <v>127</v>
      </c>
    </row>
    <row r="190" spans="1:10" x14ac:dyDescent="0.2">
      <c r="A190" t="s">
        <v>638</v>
      </c>
      <c r="B190" t="s">
        <v>1959</v>
      </c>
      <c r="C190" t="s">
        <v>1506</v>
      </c>
      <c r="D190" t="s">
        <v>1507</v>
      </c>
      <c r="E190" t="s">
        <v>1586</v>
      </c>
      <c r="F190" t="s">
        <v>1957</v>
      </c>
      <c r="G190" t="s">
        <v>1960</v>
      </c>
      <c r="H190">
        <v>1E-3</v>
      </c>
      <c r="I190">
        <v>0</v>
      </c>
      <c r="J190">
        <v>127</v>
      </c>
    </row>
    <row r="191" spans="1:10" x14ac:dyDescent="0.2">
      <c r="A191" t="s">
        <v>638</v>
      </c>
      <c r="B191" t="s">
        <v>1961</v>
      </c>
      <c r="C191" t="s">
        <v>1506</v>
      </c>
      <c r="D191" t="s">
        <v>1507</v>
      </c>
      <c r="E191" t="s">
        <v>1586</v>
      </c>
      <c r="F191" t="s">
        <v>1957</v>
      </c>
      <c r="G191" t="s">
        <v>1962</v>
      </c>
      <c r="H191">
        <v>1E-3</v>
      </c>
      <c r="I191">
        <v>0</v>
      </c>
      <c r="J191">
        <v>127</v>
      </c>
    </row>
    <row r="192" spans="1:10" x14ac:dyDescent="0.2">
      <c r="A192" t="s">
        <v>638</v>
      </c>
      <c r="B192" t="s">
        <v>1963</v>
      </c>
      <c r="C192" t="s">
        <v>1506</v>
      </c>
      <c r="D192" t="s">
        <v>1507</v>
      </c>
      <c r="E192" t="s">
        <v>1625</v>
      </c>
      <c r="F192" t="s">
        <v>1964</v>
      </c>
      <c r="G192" t="s">
        <v>1965</v>
      </c>
      <c r="H192">
        <v>1E-3</v>
      </c>
      <c r="I192">
        <v>0</v>
      </c>
      <c r="J192">
        <v>127</v>
      </c>
    </row>
    <row r="193" spans="1:10" x14ac:dyDescent="0.2">
      <c r="A193" t="s">
        <v>638</v>
      </c>
      <c r="B193" t="s">
        <v>1966</v>
      </c>
      <c r="C193" t="s">
        <v>1506</v>
      </c>
      <c r="D193" t="s">
        <v>1507</v>
      </c>
      <c r="E193" t="s">
        <v>1523</v>
      </c>
      <c r="F193" t="s">
        <v>1967</v>
      </c>
      <c r="G193" t="s">
        <v>1968</v>
      </c>
      <c r="H193">
        <v>1E-3</v>
      </c>
      <c r="I193">
        <v>0</v>
      </c>
      <c r="J193">
        <v>127</v>
      </c>
    </row>
    <row r="194" spans="1:10" x14ac:dyDescent="0.2">
      <c r="A194" t="s">
        <v>638</v>
      </c>
      <c r="B194" t="s">
        <v>1969</v>
      </c>
      <c r="C194" t="s">
        <v>1506</v>
      </c>
      <c r="D194" t="s">
        <v>1507</v>
      </c>
      <c r="E194" t="s">
        <v>1878</v>
      </c>
      <c r="F194" t="s">
        <v>1970</v>
      </c>
      <c r="G194" t="s">
        <v>1971</v>
      </c>
      <c r="H194">
        <v>1E-3</v>
      </c>
      <c r="I194">
        <v>0</v>
      </c>
      <c r="J194">
        <v>127</v>
      </c>
    </row>
    <row r="195" spans="1:10" x14ac:dyDescent="0.2">
      <c r="A195" t="s">
        <v>638</v>
      </c>
      <c r="B195" t="s">
        <v>1972</v>
      </c>
      <c r="C195" t="s">
        <v>1506</v>
      </c>
      <c r="D195" t="s">
        <v>1507</v>
      </c>
      <c r="E195" t="s">
        <v>1658</v>
      </c>
      <c r="F195" t="s">
        <v>1973</v>
      </c>
      <c r="G195" t="s">
        <v>1974</v>
      </c>
      <c r="H195">
        <v>1E-3</v>
      </c>
      <c r="I195">
        <v>0</v>
      </c>
      <c r="J195">
        <v>127</v>
      </c>
    </row>
    <row r="196" spans="1:10" x14ac:dyDescent="0.2">
      <c r="A196" t="s">
        <v>638</v>
      </c>
      <c r="B196" t="s">
        <v>1975</v>
      </c>
      <c r="C196" t="s">
        <v>1506</v>
      </c>
      <c r="D196" t="s">
        <v>1507</v>
      </c>
      <c r="E196" t="s">
        <v>1523</v>
      </c>
      <c r="F196" t="s">
        <v>1976</v>
      </c>
      <c r="G196" t="s">
        <v>1977</v>
      </c>
      <c r="H196">
        <v>1E-3</v>
      </c>
      <c r="I196">
        <v>0</v>
      </c>
      <c r="J196">
        <v>127</v>
      </c>
    </row>
    <row r="197" spans="1:10" x14ac:dyDescent="0.2">
      <c r="A197" t="s">
        <v>638</v>
      </c>
      <c r="B197" t="s">
        <v>1978</v>
      </c>
      <c r="C197" t="s">
        <v>1506</v>
      </c>
      <c r="D197" t="s">
        <v>1507</v>
      </c>
      <c r="E197" t="s">
        <v>1519</v>
      </c>
      <c r="F197" t="s">
        <v>1520</v>
      </c>
      <c r="G197" t="s">
        <v>1979</v>
      </c>
      <c r="H197">
        <v>1E-3</v>
      </c>
      <c r="I197">
        <v>0</v>
      </c>
      <c r="J197">
        <v>127</v>
      </c>
    </row>
    <row r="198" spans="1:10" x14ac:dyDescent="0.2">
      <c r="A198" t="s">
        <v>638</v>
      </c>
      <c r="B198" t="s">
        <v>1980</v>
      </c>
      <c r="C198" t="s">
        <v>1506</v>
      </c>
      <c r="D198" t="s">
        <v>1507</v>
      </c>
      <c r="E198" t="s">
        <v>1523</v>
      </c>
      <c r="F198" t="s">
        <v>1524</v>
      </c>
      <c r="G198" t="s">
        <v>1981</v>
      </c>
      <c r="H198">
        <v>1E-3</v>
      </c>
      <c r="I198">
        <v>0</v>
      </c>
      <c r="J198">
        <v>127</v>
      </c>
    </row>
    <row r="199" spans="1:10" x14ac:dyDescent="0.2">
      <c r="A199" t="s">
        <v>638</v>
      </c>
      <c r="B199" t="s">
        <v>1982</v>
      </c>
      <c r="C199" t="s">
        <v>1506</v>
      </c>
      <c r="D199" t="s">
        <v>1507</v>
      </c>
      <c r="E199" t="s">
        <v>1508</v>
      </c>
      <c r="F199" t="s">
        <v>1509</v>
      </c>
      <c r="G199" t="s">
        <v>1983</v>
      </c>
      <c r="H199">
        <v>0</v>
      </c>
      <c r="I199">
        <v>1</v>
      </c>
      <c r="J199">
        <v>129</v>
      </c>
    </row>
    <row r="200" spans="1:10" x14ac:dyDescent="0.2">
      <c r="A200" t="s">
        <v>638</v>
      </c>
      <c r="B200" t="s">
        <v>1984</v>
      </c>
      <c r="C200" t="s">
        <v>1506</v>
      </c>
      <c r="D200" t="s">
        <v>1507</v>
      </c>
      <c r="E200" t="s">
        <v>1523</v>
      </c>
      <c r="F200" t="s">
        <v>1985</v>
      </c>
      <c r="G200" t="s">
        <v>1986</v>
      </c>
      <c r="H200">
        <v>0</v>
      </c>
      <c r="I200">
        <v>0.999</v>
      </c>
      <c r="J200">
        <v>129</v>
      </c>
    </row>
    <row r="201" spans="1:10" x14ac:dyDescent="0.2">
      <c r="A201" t="s">
        <v>638</v>
      </c>
      <c r="B201" t="s">
        <v>49</v>
      </c>
      <c r="C201" t="s">
        <v>1506</v>
      </c>
      <c r="D201" t="s">
        <v>1507</v>
      </c>
      <c r="E201" t="s">
        <v>1508</v>
      </c>
      <c r="F201" t="s">
        <v>1509</v>
      </c>
      <c r="G201" t="s">
        <v>50</v>
      </c>
      <c r="H201">
        <v>0</v>
      </c>
      <c r="I201">
        <v>0.997</v>
      </c>
      <c r="J201">
        <v>129</v>
      </c>
    </row>
    <row r="202" spans="1:10" x14ac:dyDescent="0.2">
      <c r="A202" t="s">
        <v>638</v>
      </c>
      <c r="B202" t="s">
        <v>1987</v>
      </c>
      <c r="C202" t="s">
        <v>1506</v>
      </c>
      <c r="D202" t="s">
        <v>1507</v>
      </c>
      <c r="E202" t="s">
        <v>1633</v>
      </c>
      <c r="F202" t="s">
        <v>1832</v>
      </c>
      <c r="G202" t="s">
        <v>1988</v>
      </c>
      <c r="H202">
        <v>0</v>
      </c>
      <c r="I202">
        <v>0.995</v>
      </c>
      <c r="J202">
        <v>128</v>
      </c>
    </row>
    <row r="203" spans="1:10" x14ac:dyDescent="0.2">
      <c r="A203" t="s">
        <v>638</v>
      </c>
      <c r="B203" t="s">
        <v>1989</v>
      </c>
      <c r="C203" t="s">
        <v>1506</v>
      </c>
      <c r="D203" t="s">
        <v>1507</v>
      </c>
      <c r="E203" t="s">
        <v>1571</v>
      </c>
      <c r="F203" t="s">
        <v>1572</v>
      </c>
      <c r="G203" t="s">
        <v>1990</v>
      </c>
      <c r="H203">
        <v>0</v>
      </c>
      <c r="I203">
        <v>0.99199999999999999</v>
      </c>
      <c r="J203">
        <v>128</v>
      </c>
    </row>
    <row r="204" spans="1:10" x14ac:dyDescent="0.2">
      <c r="A204" t="s">
        <v>638</v>
      </c>
      <c r="B204" t="s">
        <v>1991</v>
      </c>
      <c r="C204" t="s">
        <v>1506</v>
      </c>
      <c r="D204" t="s">
        <v>1507</v>
      </c>
      <c r="E204" t="s">
        <v>1679</v>
      </c>
      <c r="F204" t="s">
        <v>1680</v>
      </c>
      <c r="G204" t="s">
        <v>1992</v>
      </c>
      <c r="H204">
        <v>0</v>
      </c>
      <c r="I204">
        <v>0.98499999999999999</v>
      </c>
      <c r="J204">
        <v>128</v>
      </c>
    </row>
    <row r="205" spans="1:10" x14ac:dyDescent="0.2">
      <c r="A205" t="s">
        <v>638</v>
      </c>
      <c r="B205" t="s">
        <v>1993</v>
      </c>
      <c r="C205" t="s">
        <v>1506</v>
      </c>
      <c r="D205" t="s">
        <v>1507</v>
      </c>
      <c r="E205" t="s">
        <v>1994</v>
      </c>
      <c r="F205" t="s">
        <v>1995</v>
      </c>
      <c r="G205" t="s">
        <v>1996</v>
      </c>
      <c r="H205">
        <v>0</v>
      </c>
      <c r="I205">
        <v>0.98299999999999998</v>
      </c>
      <c r="J205">
        <v>129</v>
      </c>
    </row>
    <row r="206" spans="1:10" x14ac:dyDescent="0.2">
      <c r="A206" t="s">
        <v>638</v>
      </c>
      <c r="B206" t="s">
        <v>1997</v>
      </c>
      <c r="C206" t="s">
        <v>1506</v>
      </c>
      <c r="D206" t="s">
        <v>1507</v>
      </c>
      <c r="E206" t="s">
        <v>1508</v>
      </c>
      <c r="F206" t="s">
        <v>1509</v>
      </c>
      <c r="G206" t="s">
        <v>1998</v>
      </c>
      <c r="H206">
        <v>0</v>
      </c>
      <c r="I206">
        <v>0.98199999999999998</v>
      </c>
      <c r="J206">
        <v>129</v>
      </c>
    </row>
    <row r="207" spans="1:10" x14ac:dyDescent="0.2">
      <c r="A207" t="s">
        <v>638</v>
      </c>
      <c r="B207" t="s">
        <v>1999</v>
      </c>
      <c r="C207" t="s">
        <v>1506</v>
      </c>
      <c r="D207" t="s">
        <v>1507</v>
      </c>
      <c r="E207" t="s">
        <v>1523</v>
      </c>
      <c r="F207" t="s">
        <v>1967</v>
      </c>
      <c r="G207" t="s">
        <v>2000</v>
      </c>
      <c r="H207">
        <v>0</v>
      </c>
      <c r="I207">
        <v>0.97599999999999998</v>
      </c>
      <c r="J207">
        <v>129</v>
      </c>
    </row>
    <row r="208" spans="1:10" x14ac:dyDescent="0.2">
      <c r="A208" t="s">
        <v>638</v>
      </c>
      <c r="B208" t="s">
        <v>2001</v>
      </c>
      <c r="C208" t="s">
        <v>1506</v>
      </c>
      <c r="D208" t="s">
        <v>1507</v>
      </c>
      <c r="E208" t="s">
        <v>1523</v>
      </c>
      <c r="F208" t="s">
        <v>1967</v>
      </c>
      <c r="G208" t="s">
        <v>2002</v>
      </c>
      <c r="H208">
        <v>0</v>
      </c>
      <c r="I208">
        <v>0.97599999999999998</v>
      </c>
      <c r="J208">
        <v>129</v>
      </c>
    </row>
    <row r="209" spans="1:10" x14ac:dyDescent="0.2">
      <c r="A209" t="s">
        <v>638</v>
      </c>
      <c r="B209" t="s">
        <v>2003</v>
      </c>
      <c r="C209" t="s">
        <v>1506</v>
      </c>
      <c r="D209" t="s">
        <v>1507</v>
      </c>
      <c r="E209" t="s">
        <v>2004</v>
      </c>
      <c r="F209" t="s">
        <v>2005</v>
      </c>
      <c r="G209" t="s">
        <v>2006</v>
      </c>
      <c r="H209">
        <v>0</v>
      </c>
      <c r="I209">
        <v>0.97599999999999998</v>
      </c>
      <c r="J209">
        <v>129</v>
      </c>
    </row>
    <row r="210" spans="1:10" x14ac:dyDescent="0.2">
      <c r="A210" t="s">
        <v>638</v>
      </c>
      <c r="B210" t="s">
        <v>2007</v>
      </c>
      <c r="C210" t="s">
        <v>1506</v>
      </c>
      <c r="D210" t="s">
        <v>1507</v>
      </c>
      <c r="E210" t="s">
        <v>1508</v>
      </c>
      <c r="F210" t="s">
        <v>1509</v>
      </c>
      <c r="G210" t="s">
        <v>2008</v>
      </c>
      <c r="H210">
        <v>0</v>
      </c>
      <c r="I210">
        <v>0.97199999999999998</v>
      </c>
      <c r="J210">
        <v>129</v>
      </c>
    </row>
    <row r="211" spans="1:10" x14ac:dyDescent="0.2">
      <c r="A211" t="s">
        <v>638</v>
      </c>
      <c r="B211" t="s">
        <v>2009</v>
      </c>
      <c r="C211" t="s">
        <v>1506</v>
      </c>
      <c r="D211" t="s">
        <v>1507</v>
      </c>
      <c r="E211" t="s">
        <v>1523</v>
      </c>
      <c r="F211" t="s">
        <v>1985</v>
      </c>
      <c r="G211" t="s">
        <v>2010</v>
      </c>
      <c r="H211">
        <v>0</v>
      </c>
      <c r="I211">
        <v>0.95599999999999996</v>
      </c>
      <c r="J211">
        <v>129</v>
      </c>
    </row>
    <row r="212" spans="1:10" x14ac:dyDescent="0.2">
      <c r="A212" t="s">
        <v>638</v>
      </c>
      <c r="B212" t="s">
        <v>2011</v>
      </c>
      <c r="C212" t="s">
        <v>1506</v>
      </c>
      <c r="D212" t="s">
        <v>1507</v>
      </c>
      <c r="E212" t="s">
        <v>1679</v>
      </c>
      <c r="F212" t="s">
        <v>1680</v>
      </c>
      <c r="G212" t="s">
        <v>2012</v>
      </c>
      <c r="H212">
        <v>0</v>
      </c>
      <c r="I212">
        <v>0.95</v>
      </c>
      <c r="J212">
        <v>128</v>
      </c>
    </row>
    <row r="213" spans="1:10" x14ac:dyDescent="0.2">
      <c r="A213" t="s">
        <v>638</v>
      </c>
      <c r="B213" t="s">
        <v>2013</v>
      </c>
      <c r="C213" t="s">
        <v>1506</v>
      </c>
      <c r="D213" t="s">
        <v>1507</v>
      </c>
      <c r="E213" t="s">
        <v>1523</v>
      </c>
      <c r="F213" t="s">
        <v>1985</v>
      </c>
      <c r="G213" t="s">
        <v>2014</v>
      </c>
      <c r="H213">
        <v>0</v>
      </c>
      <c r="I213">
        <v>0.91400000000000003</v>
      </c>
      <c r="J213">
        <v>128</v>
      </c>
    </row>
    <row r="214" spans="1:10" x14ac:dyDescent="0.2">
      <c r="A214" t="s">
        <v>638</v>
      </c>
      <c r="B214" t="s">
        <v>2015</v>
      </c>
      <c r="C214" t="s">
        <v>1506</v>
      </c>
      <c r="D214" t="s">
        <v>1507</v>
      </c>
      <c r="E214" t="s">
        <v>1523</v>
      </c>
      <c r="F214" t="s">
        <v>1985</v>
      </c>
      <c r="G214" t="s">
        <v>2016</v>
      </c>
      <c r="H214">
        <v>0</v>
      </c>
      <c r="I214">
        <v>0.91400000000000003</v>
      </c>
      <c r="J214">
        <v>128</v>
      </c>
    </row>
    <row r="215" spans="1:10" x14ac:dyDescent="0.2">
      <c r="A215" t="s">
        <v>638</v>
      </c>
      <c r="B215" t="s">
        <v>2017</v>
      </c>
      <c r="C215" t="s">
        <v>1506</v>
      </c>
      <c r="D215" t="s">
        <v>1507</v>
      </c>
      <c r="E215" t="s">
        <v>1523</v>
      </c>
      <c r="F215" t="s">
        <v>1985</v>
      </c>
      <c r="G215" t="s">
        <v>2018</v>
      </c>
      <c r="H215">
        <v>0</v>
      </c>
      <c r="I215">
        <v>0.91400000000000003</v>
      </c>
      <c r="J215">
        <v>129</v>
      </c>
    </row>
    <row r="216" spans="1:10" x14ac:dyDescent="0.2">
      <c r="A216" t="s">
        <v>638</v>
      </c>
      <c r="B216" t="s">
        <v>2019</v>
      </c>
      <c r="C216" t="s">
        <v>1506</v>
      </c>
      <c r="D216" t="s">
        <v>1507</v>
      </c>
      <c r="E216" t="s">
        <v>1523</v>
      </c>
      <c r="F216" t="s">
        <v>2020</v>
      </c>
      <c r="G216" t="s">
        <v>2021</v>
      </c>
      <c r="H216">
        <v>0</v>
      </c>
      <c r="I216">
        <v>0.879</v>
      </c>
      <c r="J216">
        <v>128</v>
      </c>
    </row>
    <row r="217" spans="1:10" x14ac:dyDescent="0.2">
      <c r="A217" t="s">
        <v>638</v>
      </c>
      <c r="B217" t="s">
        <v>2022</v>
      </c>
      <c r="C217" t="s">
        <v>1506</v>
      </c>
      <c r="D217" t="s">
        <v>1507</v>
      </c>
      <c r="E217" t="s">
        <v>8</v>
      </c>
      <c r="F217" t="s">
        <v>2023</v>
      </c>
      <c r="G217" t="s">
        <v>2024</v>
      </c>
      <c r="H217">
        <v>0</v>
      </c>
      <c r="I217">
        <v>0.878</v>
      </c>
      <c r="J217">
        <v>128</v>
      </c>
    </row>
    <row r="218" spans="1:10" x14ac:dyDescent="0.2">
      <c r="A218" t="s">
        <v>638</v>
      </c>
      <c r="B218" t="s">
        <v>2025</v>
      </c>
      <c r="C218" t="s">
        <v>1506</v>
      </c>
      <c r="D218" t="s">
        <v>1507</v>
      </c>
      <c r="E218" t="s">
        <v>1658</v>
      </c>
      <c r="F218" t="s">
        <v>2026</v>
      </c>
      <c r="G218" t="s">
        <v>2027</v>
      </c>
      <c r="H218">
        <v>0</v>
      </c>
      <c r="I218">
        <v>0.876</v>
      </c>
      <c r="J218">
        <v>128</v>
      </c>
    </row>
    <row r="219" spans="1:10" x14ac:dyDescent="0.2">
      <c r="A219" t="s">
        <v>638</v>
      </c>
      <c r="B219" t="s">
        <v>2028</v>
      </c>
      <c r="C219" t="s">
        <v>1506</v>
      </c>
      <c r="D219" t="s">
        <v>1507</v>
      </c>
      <c r="E219" t="s">
        <v>1789</v>
      </c>
      <c r="F219" t="s">
        <v>2029</v>
      </c>
      <c r="G219" t="s">
        <v>2030</v>
      </c>
      <c r="H219">
        <v>0</v>
      </c>
      <c r="I219">
        <v>0.83799999999999997</v>
      </c>
      <c r="J219">
        <v>129</v>
      </c>
    </row>
    <row r="220" spans="1:10" x14ac:dyDescent="0.2">
      <c r="A220" t="s">
        <v>638</v>
      </c>
      <c r="B220" t="s">
        <v>2031</v>
      </c>
      <c r="C220" t="s">
        <v>1506</v>
      </c>
      <c r="D220" t="s">
        <v>1507</v>
      </c>
      <c r="E220" t="s">
        <v>8</v>
      </c>
      <c r="F220" t="s">
        <v>1756</v>
      </c>
      <c r="G220" t="s">
        <v>2032</v>
      </c>
      <c r="H220">
        <v>0</v>
      </c>
      <c r="I220">
        <v>0.82099999999999995</v>
      </c>
      <c r="J220">
        <v>128</v>
      </c>
    </row>
    <row r="221" spans="1:10" x14ac:dyDescent="0.2">
      <c r="A221" t="s">
        <v>638</v>
      </c>
      <c r="B221" t="s">
        <v>2033</v>
      </c>
      <c r="C221" t="s">
        <v>1506</v>
      </c>
      <c r="D221" t="s">
        <v>1507</v>
      </c>
      <c r="E221" t="s">
        <v>8</v>
      </c>
      <c r="F221" t="s">
        <v>1756</v>
      </c>
      <c r="G221" t="s">
        <v>2032</v>
      </c>
      <c r="H221">
        <v>0</v>
      </c>
      <c r="I221">
        <v>0.82099999999999995</v>
      </c>
      <c r="J221">
        <v>128</v>
      </c>
    </row>
    <row r="222" spans="1:10" x14ac:dyDescent="0.2">
      <c r="A222" t="s">
        <v>638</v>
      </c>
      <c r="B222" t="s">
        <v>2034</v>
      </c>
      <c r="C222" t="s">
        <v>1506</v>
      </c>
      <c r="D222" t="s">
        <v>1507</v>
      </c>
      <c r="E222" t="s">
        <v>1523</v>
      </c>
      <c r="F222" t="s">
        <v>1728</v>
      </c>
      <c r="G222" t="s">
        <v>2035</v>
      </c>
      <c r="H222">
        <v>0</v>
      </c>
      <c r="I222">
        <v>0.73799999999999999</v>
      </c>
      <c r="J222">
        <v>129</v>
      </c>
    </row>
    <row r="223" spans="1:10" x14ac:dyDescent="0.2">
      <c r="A223" t="s">
        <v>638</v>
      </c>
      <c r="B223" t="s">
        <v>2036</v>
      </c>
      <c r="C223" t="s">
        <v>1506</v>
      </c>
      <c r="D223" t="s">
        <v>1507</v>
      </c>
      <c r="E223" t="s">
        <v>1523</v>
      </c>
      <c r="F223" t="s">
        <v>1728</v>
      </c>
      <c r="G223" t="s">
        <v>2037</v>
      </c>
      <c r="H223">
        <v>0</v>
      </c>
      <c r="I223">
        <v>0.73799999999999999</v>
      </c>
      <c r="J223">
        <v>129</v>
      </c>
    </row>
    <row r="224" spans="1:10" x14ac:dyDescent="0.2">
      <c r="A224" t="s">
        <v>638</v>
      </c>
      <c r="B224" t="s">
        <v>2038</v>
      </c>
      <c r="C224" t="s">
        <v>1506</v>
      </c>
      <c r="D224" t="s">
        <v>1507</v>
      </c>
      <c r="E224" t="s">
        <v>1508</v>
      </c>
      <c r="F224" t="s">
        <v>1509</v>
      </c>
      <c r="G224" t="s">
        <v>2039</v>
      </c>
      <c r="H224">
        <v>0</v>
      </c>
      <c r="I224">
        <v>0.71499999999999997</v>
      </c>
      <c r="J224">
        <v>129</v>
      </c>
    </row>
    <row r="225" spans="1:10" x14ac:dyDescent="0.2">
      <c r="A225" t="s">
        <v>638</v>
      </c>
      <c r="B225" t="s">
        <v>2040</v>
      </c>
      <c r="C225" t="s">
        <v>1506</v>
      </c>
      <c r="D225" t="s">
        <v>1507</v>
      </c>
      <c r="E225" t="s">
        <v>1523</v>
      </c>
      <c r="F225" t="s">
        <v>2041</v>
      </c>
      <c r="G225" t="s">
        <v>2042</v>
      </c>
      <c r="H225">
        <v>0</v>
      </c>
      <c r="I225">
        <v>0.70799999999999996</v>
      </c>
      <c r="J225">
        <v>129</v>
      </c>
    </row>
    <row r="226" spans="1:10" x14ac:dyDescent="0.2">
      <c r="A226" t="s">
        <v>638</v>
      </c>
      <c r="B226" t="s">
        <v>2043</v>
      </c>
      <c r="C226" t="s">
        <v>1506</v>
      </c>
      <c r="D226" t="s">
        <v>1507</v>
      </c>
      <c r="E226" t="s">
        <v>8</v>
      </c>
      <c r="F226" t="s">
        <v>2044</v>
      </c>
      <c r="G226" t="s">
        <v>2045</v>
      </c>
      <c r="H226">
        <v>0</v>
      </c>
      <c r="I226">
        <v>0.70699999999999996</v>
      </c>
      <c r="J226">
        <v>128</v>
      </c>
    </row>
    <row r="227" spans="1:10" x14ac:dyDescent="0.2">
      <c r="A227" t="s">
        <v>638</v>
      </c>
      <c r="B227" t="s">
        <v>2046</v>
      </c>
      <c r="C227" t="s">
        <v>1506</v>
      </c>
      <c r="D227" t="s">
        <v>1507</v>
      </c>
      <c r="E227" t="s">
        <v>1523</v>
      </c>
      <c r="F227" t="s">
        <v>2047</v>
      </c>
      <c r="G227" t="s">
        <v>2048</v>
      </c>
      <c r="H227">
        <v>0</v>
      </c>
      <c r="I227">
        <v>0.70699999999999996</v>
      </c>
      <c r="J227">
        <v>127</v>
      </c>
    </row>
    <row r="228" spans="1:10" x14ac:dyDescent="0.2">
      <c r="A228" t="s">
        <v>638</v>
      </c>
      <c r="B228" t="s">
        <v>2049</v>
      </c>
      <c r="C228" t="s">
        <v>1506</v>
      </c>
      <c r="D228" t="s">
        <v>1507</v>
      </c>
      <c r="E228" t="s">
        <v>1531</v>
      </c>
      <c r="F228" t="s">
        <v>2050</v>
      </c>
      <c r="G228" t="s">
        <v>2051</v>
      </c>
      <c r="H228">
        <v>0</v>
      </c>
      <c r="I228">
        <v>0.62</v>
      </c>
      <c r="J228">
        <v>127</v>
      </c>
    </row>
    <row r="229" spans="1:10" x14ac:dyDescent="0.2">
      <c r="A229" t="s">
        <v>638</v>
      </c>
      <c r="B229" t="s">
        <v>2052</v>
      </c>
      <c r="C229" t="s">
        <v>1506</v>
      </c>
      <c r="D229" t="s">
        <v>1507</v>
      </c>
      <c r="E229" t="s">
        <v>1523</v>
      </c>
      <c r="F229" t="s">
        <v>1985</v>
      </c>
      <c r="G229" t="s">
        <v>2053</v>
      </c>
      <c r="H229">
        <v>0</v>
      </c>
      <c r="I229">
        <v>0.55400000000000005</v>
      </c>
      <c r="J229">
        <v>129</v>
      </c>
    </row>
    <row r="230" spans="1:10" x14ac:dyDescent="0.2">
      <c r="A230" t="s">
        <v>638</v>
      </c>
      <c r="B230" t="s">
        <v>2054</v>
      </c>
      <c r="C230" t="s">
        <v>1506</v>
      </c>
      <c r="D230" t="s">
        <v>1507</v>
      </c>
      <c r="E230" t="s">
        <v>2055</v>
      </c>
      <c r="F230" t="s">
        <v>2056</v>
      </c>
      <c r="G230" t="s">
        <v>2057</v>
      </c>
      <c r="H230">
        <v>0</v>
      </c>
      <c r="I230">
        <v>0.52100000000000002</v>
      </c>
      <c r="J230">
        <v>128</v>
      </c>
    </row>
    <row r="231" spans="1:10" x14ac:dyDescent="0.2">
      <c r="A231" t="s">
        <v>638</v>
      </c>
      <c r="B231" t="s">
        <v>2058</v>
      </c>
      <c r="C231" t="s">
        <v>1506</v>
      </c>
      <c r="D231" t="s">
        <v>1507</v>
      </c>
      <c r="E231" t="s">
        <v>1544</v>
      </c>
      <c r="F231" t="s">
        <v>1705</v>
      </c>
      <c r="G231" t="s">
        <v>2059</v>
      </c>
      <c r="H231">
        <v>0</v>
      </c>
      <c r="I231">
        <v>0.52100000000000002</v>
      </c>
      <c r="J231">
        <v>128</v>
      </c>
    </row>
    <row r="232" spans="1:10" x14ac:dyDescent="0.2">
      <c r="A232" t="s">
        <v>638</v>
      </c>
      <c r="B232" t="s">
        <v>2060</v>
      </c>
      <c r="C232" t="s">
        <v>1506</v>
      </c>
      <c r="D232" t="s">
        <v>1507</v>
      </c>
      <c r="E232" t="s">
        <v>1633</v>
      </c>
      <c r="F232" t="s">
        <v>1832</v>
      </c>
      <c r="G232" t="s">
        <v>2061</v>
      </c>
      <c r="H232">
        <v>0</v>
      </c>
      <c r="I232">
        <v>0.48399999999999999</v>
      </c>
      <c r="J232">
        <v>128</v>
      </c>
    </row>
    <row r="233" spans="1:10" x14ac:dyDescent="0.2">
      <c r="A233" t="s">
        <v>638</v>
      </c>
      <c r="B233" t="s">
        <v>2062</v>
      </c>
      <c r="C233" t="s">
        <v>1506</v>
      </c>
      <c r="D233" t="s">
        <v>1507</v>
      </c>
      <c r="E233" t="s">
        <v>1523</v>
      </c>
      <c r="F233" t="s">
        <v>2063</v>
      </c>
      <c r="G233" t="s">
        <v>2064</v>
      </c>
      <c r="H233">
        <v>0</v>
      </c>
      <c r="I233">
        <v>0.48399999999999999</v>
      </c>
      <c r="J233">
        <v>129</v>
      </c>
    </row>
    <row r="234" spans="1:10" x14ac:dyDescent="0.2">
      <c r="A234" t="s">
        <v>638</v>
      </c>
      <c r="B234" t="s">
        <v>2065</v>
      </c>
      <c r="C234" t="s">
        <v>1506</v>
      </c>
      <c r="D234" t="s">
        <v>1507</v>
      </c>
      <c r="E234" t="s">
        <v>1633</v>
      </c>
      <c r="F234" t="s">
        <v>1832</v>
      </c>
      <c r="G234" t="s">
        <v>2066</v>
      </c>
      <c r="H234">
        <v>0</v>
      </c>
      <c r="I234">
        <v>0.48199999999999998</v>
      </c>
      <c r="J234">
        <v>128</v>
      </c>
    </row>
    <row r="235" spans="1:10" x14ac:dyDescent="0.2">
      <c r="A235" t="s">
        <v>638</v>
      </c>
      <c r="B235" t="s">
        <v>2067</v>
      </c>
      <c r="C235" t="s">
        <v>1506</v>
      </c>
      <c r="D235" t="s">
        <v>1507</v>
      </c>
      <c r="E235" t="s">
        <v>2068</v>
      </c>
      <c r="F235" t="s">
        <v>2069</v>
      </c>
      <c r="G235" t="s">
        <v>2070</v>
      </c>
      <c r="H235">
        <v>0</v>
      </c>
      <c r="I235">
        <v>0.47499999999999998</v>
      </c>
      <c r="J235">
        <v>128</v>
      </c>
    </row>
    <row r="236" spans="1:10" x14ac:dyDescent="0.2">
      <c r="A236" t="s">
        <v>638</v>
      </c>
      <c r="B236" t="s">
        <v>2071</v>
      </c>
      <c r="C236" t="s">
        <v>1506</v>
      </c>
      <c r="D236" t="s">
        <v>1507</v>
      </c>
      <c r="E236" t="s">
        <v>1596</v>
      </c>
      <c r="F236" t="s">
        <v>2072</v>
      </c>
      <c r="G236" t="s">
        <v>2073</v>
      </c>
      <c r="H236">
        <v>0</v>
      </c>
      <c r="I236">
        <v>0.47</v>
      </c>
      <c r="J236">
        <v>129</v>
      </c>
    </row>
    <row r="237" spans="1:10" x14ac:dyDescent="0.2">
      <c r="A237" t="s">
        <v>638</v>
      </c>
      <c r="B237" t="s">
        <v>2074</v>
      </c>
      <c r="C237" t="s">
        <v>1506</v>
      </c>
      <c r="D237" t="s">
        <v>1507</v>
      </c>
      <c r="E237" t="s">
        <v>8</v>
      </c>
      <c r="F237" t="s">
        <v>2075</v>
      </c>
      <c r="G237" t="s">
        <v>2076</v>
      </c>
      <c r="H237">
        <v>0</v>
      </c>
      <c r="I237">
        <v>0.41399999999999998</v>
      </c>
      <c r="J237">
        <v>129</v>
      </c>
    </row>
    <row r="238" spans="1:10" x14ac:dyDescent="0.2">
      <c r="A238" t="s">
        <v>638</v>
      </c>
      <c r="B238" t="s">
        <v>2077</v>
      </c>
      <c r="C238" t="s">
        <v>1506</v>
      </c>
      <c r="D238" t="s">
        <v>1507</v>
      </c>
      <c r="E238" t="s">
        <v>2078</v>
      </c>
      <c r="F238" t="s">
        <v>2079</v>
      </c>
      <c r="G238" t="s">
        <v>2080</v>
      </c>
      <c r="H238">
        <v>0</v>
      </c>
      <c r="I238">
        <v>0.40699999999999997</v>
      </c>
      <c r="J238">
        <v>127</v>
      </c>
    </row>
    <row r="239" spans="1:10" x14ac:dyDescent="0.2">
      <c r="A239" t="s">
        <v>638</v>
      </c>
      <c r="B239" t="s">
        <v>2081</v>
      </c>
      <c r="C239" t="s">
        <v>1506</v>
      </c>
      <c r="D239" t="s">
        <v>1507</v>
      </c>
      <c r="E239" t="s">
        <v>1633</v>
      </c>
      <c r="F239" t="s">
        <v>1634</v>
      </c>
      <c r="G239" t="s">
        <v>2082</v>
      </c>
      <c r="H239">
        <v>0</v>
      </c>
      <c r="I239">
        <v>0.376</v>
      </c>
      <c r="J239">
        <v>128</v>
      </c>
    </row>
    <row r="240" spans="1:10" x14ac:dyDescent="0.2">
      <c r="A240" t="s">
        <v>638</v>
      </c>
      <c r="B240" t="s">
        <v>2083</v>
      </c>
      <c r="C240" t="s">
        <v>1506</v>
      </c>
      <c r="D240" t="s">
        <v>1507</v>
      </c>
      <c r="E240" t="s">
        <v>1633</v>
      </c>
      <c r="F240" t="s">
        <v>1634</v>
      </c>
      <c r="G240" t="s">
        <v>2082</v>
      </c>
      <c r="H240">
        <v>0</v>
      </c>
      <c r="I240">
        <v>0.376</v>
      </c>
      <c r="J240">
        <v>128</v>
      </c>
    </row>
    <row r="241" spans="1:10" x14ac:dyDescent="0.2">
      <c r="A241" t="s">
        <v>638</v>
      </c>
      <c r="B241" t="s">
        <v>2084</v>
      </c>
      <c r="C241" t="s">
        <v>1506</v>
      </c>
      <c r="D241" t="s">
        <v>1507</v>
      </c>
      <c r="E241" t="s">
        <v>1633</v>
      </c>
      <c r="F241" t="s">
        <v>1634</v>
      </c>
      <c r="G241" t="s">
        <v>2085</v>
      </c>
      <c r="H241">
        <v>0</v>
      </c>
      <c r="I241">
        <v>0.376</v>
      </c>
      <c r="J241">
        <v>128</v>
      </c>
    </row>
    <row r="242" spans="1:10" x14ac:dyDescent="0.2">
      <c r="A242" t="s">
        <v>638</v>
      </c>
      <c r="B242" t="s">
        <v>2086</v>
      </c>
      <c r="C242" t="s">
        <v>1506</v>
      </c>
      <c r="D242" t="s">
        <v>1507</v>
      </c>
      <c r="E242" t="s">
        <v>2004</v>
      </c>
      <c r="F242" t="s">
        <v>2005</v>
      </c>
      <c r="G242" t="s">
        <v>2087</v>
      </c>
      <c r="H242">
        <v>0</v>
      </c>
      <c r="I242">
        <v>0.372</v>
      </c>
      <c r="J242">
        <v>128</v>
      </c>
    </row>
    <row r="243" spans="1:10" x14ac:dyDescent="0.2">
      <c r="A243" t="s">
        <v>638</v>
      </c>
      <c r="B243" t="s">
        <v>2088</v>
      </c>
      <c r="C243" t="s">
        <v>1506</v>
      </c>
      <c r="D243" t="s">
        <v>1507</v>
      </c>
      <c r="E243" t="s">
        <v>1523</v>
      </c>
      <c r="F243" t="s">
        <v>2089</v>
      </c>
      <c r="G243" t="s">
        <v>2090</v>
      </c>
      <c r="H243">
        <v>0</v>
      </c>
      <c r="I243">
        <v>0.371</v>
      </c>
      <c r="J243">
        <v>128</v>
      </c>
    </row>
    <row r="244" spans="1:10" x14ac:dyDescent="0.2">
      <c r="A244" t="s">
        <v>638</v>
      </c>
      <c r="B244" t="s">
        <v>2091</v>
      </c>
      <c r="C244" t="s">
        <v>1506</v>
      </c>
      <c r="D244" t="s">
        <v>1507</v>
      </c>
      <c r="E244" t="s">
        <v>1523</v>
      </c>
      <c r="F244" t="s">
        <v>1985</v>
      </c>
      <c r="G244" t="s">
        <v>2092</v>
      </c>
      <c r="H244">
        <v>0</v>
      </c>
      <c r="I244">
        <v>0.371</v>
      </c>
      <c r="J244">
        <v>129</v>
      </c>
    </row>
    <row r="245" spans="1:10" x14ac:dyDescent="0.2">
      <c r="A245" t="s">
        <v>638</v>
      </c>
      <c r="B245" t="s">
        <v>2093</v>
      </c>
      <c r="C245" t="s">
        <v>1506</v>
      </c>
      <c r="D245" t="s">
        <v>1507</v>
      </c>
      <c r="E245" t="s">
        <v>1523</v>
      </c>
      <c r="F245" t="s">
        <v>1985</v>
      </c>
      <c r="G245" t="s">
        <v>2094</v>
      </c>
      <c r="H245">
        <v>0</v>
      </c>
      <c r="I245">
        <v>0.371</v>
      </c>
      <c r="J245">
        <v>129</v>
      </c>
    </row>
    <row r="246" spans="1:10" x14ac:dyDescent="0.2">
      <c r="A246" t="s">
        <v>638</v>
      </c>
      <c r="B246" t="s">
        <v>2095</v>
      </c>
      <c r="C246" t="s">
        <v>1506</v>
      </c>
      <c r="D246" t="s">
        <v>1507</v>
      </c>
      <c r="E246" t="s">
        <v>1523</v>
      </c>
      <c r="F246" t="s">
        <v>1985</v>
      </c>
      <c r="G246" t="s">
        <v>2096</v>
      </c>
      <c r="H246">
        <v>0</v>
      </c>
      <c r="I246">
        <v>0.371</v>
      </c>
      <c r="J246">
        <v>129</v>
      </c>
    </row>
    <row r="247" spans="1:10" x14ac:dyDescent="0.2">
      <c r="A247" t="s">
        <v>638</v>
      </c>
      <c r="B247" t="s">
        <v>2097</v>
      </c>
      <c r="C247" t="s">
        <v>1506</v>
      </c>
      <c r="D247" t="s">
        <v>1507</v>
      </c>
      <c r="E247" t="s">
        <v>1523</v>
      </c>
      <c r="F247" t="s">
        <v>2089</v>
      </c>
      <c r="G247" t="s">
        <v>2098</v>
      </c>
      <c r="H247">
        <v>0</v>
      </c>
      <c r="I247">
        <v>0.371</v>
      </c>
      <c r="J247">
        <v>128</v>
      </c>
    </row>
    <row r="248" spans="1:10" x14ac:dyDescent="0.2">
      <c r="A248" t="s">
        <v>638</v>
      </c>
      <c r="B248" t="s">
        <v>2099</v>
      </c>
      <c r="C248" t="s">
        <v>1506</v>
      </c>
      <c r="D248" t="s">
        <v>1507</v>
      </c>
      <c r="E248" t="s">
        <v>1633</v>
      </c>
      <c r="F248" t="s">
        <v>1832</v>
      </c>
      <c r="G248" t="s">
        <v>1833</v>
      </c>
      <c r="H248">
        <v>0</v>
      </c>
      <c r="I248">
        <v>0.36599999999999999</v>
      </c>
      <c r="J248">
        <v>127</v>
      </c>
    </row>
    <row r="249" spans="1:10" x14ac:dyDescent="0.2">
      <c r="A249" t="s">
        <v>638</v>
      </c>
      <c r="B249" t="s">
        <v>2100</v>
      </c>
      <c r="C249" t="s">
        <v>1506</v>
      </c>
      <c r="D249" t="s">
        <v>1507</v>
      </c>
      <c r="E249" t="s">
        <v>1633</v>
      </c>
      <c r="F249" t="s">
        <v>1832</v>
      </c>
      <c r="G249" t="s">
        <v>1833</v>
      </c>
      <c r="H249">
        <v>0</v>
      </c>
      <c r="I249">
        <v>0.36599999999999999</v>
      </c>
      <c r="J249">
        <v>127</v>
      </c>
    </row>
    <row r="250" spans="1:10" x14ac:dyDescent="0.2">
      <c r="A250" t="s">
        <v>638</v>
      </c>
      <c r="B250" t="s">
        <v>2101</v>
      </c>
      <c r="C250" t="s">
        <v>1506</v>
      </c>
      <c r="D250" t="s">
        <v>1507</v>
      </c>
      <c r="E250" t="s">
        <v>1633</v>
      </c>
      <c r="F250" t="s">
        <v>1832</v>
      </c>
      <c r="G250" t="s">
        <v>1833</v>
      </c>
      <c r="H250">
        <v>0</v>
      </c>
      <c r="I250">
        <v>0.36599999999999999</v>
      </c>
      <c r="J250">
        <v>127</v>
      </c>
    </row>
    <row r="251" spans="1:10" x14ac:dyDescent="0.2">
      <c r="A251" t="s">
        <v>638</v>
      </c>
      <c r="B251" t="s">
        <v>2102</v>
      </c>
      <c r="C251" t="s">
        <v>1506</v>
      </c>
      <c r="D251" t="s">
        <v>1507</v>
      </c>
      <c r="E251" t="s">
        <v>1508</v>
      </c>
      <c r="F251" t="s">
        <v>1509</v>
      </c>
      <c r="G251" t="s">
        <v>2103</v>
      </c>
      <c r="H251">
        <v>0</v>
      </c>
      <c r="I251">
        <v>0.36299999999999999</v>
      </c>
      <c r="J251">
        <v>129</v>
      </c>
    </row>
    <row r="252" spans="1:10" x14ac:dyDescent="0.2">
      <c r="A252" t="s">
        <v>638</v>
      </c>
      <c r="B252" t="s">
        <v>54</v>
      </c>
      <c r="C252" t="s">
        <v>1506</v>
      </c>
      <c r="D252" t="s">
        <v>1507</v>
      </c>
      <c r="E252" t="s">
        <v>1508</v>
      </c>
      <c r="F252" t="s">
        <v>1509</v>
      </c>
      <c r="G252" t="s">
        <v>53</v>
      </c>
      <c r="H252">
        <v>0</v>
      </c>
      <c r="I252">
        <v>0.36299999999999999</v>
      </c>
      <c r="J252">
        <v>129</v>
      </c>
    </row>
    <row r="253" spans="1:10" x14ac:dyDescent="0.2">
      <c r="A253" t="s">
        <v>638</v>
      </c>
      <c r="B253" t="s">
        <v>2104</v>
      </c>
      <c r="C253" t="s">
        <v>1506</v>
      </c>
      <c r="D253" t="s">
        <v>1507</v>
      </c>
      <c r="E253" t="s">
        <v>1508</v>
      </c>
      <c r="F253" t="s">
        <v>1509</v>
      </c>
      <c r="G253" t="s">
        <v>2105</v>
      </c>
      <c r="H253">
        <v>0</v>
      </c>
      <c r="I253">
        <v>0.36299999999999999</v>
      </c>
      <c r="J253">
        <v>129</v>
      </c>
    </row>
    <row r="254" spans="1:10" x14ac:dyDescent="0.2">
      <c r="A254" t="s">
        <v>638</v>
      </c>
      <c r="B254" t="s">
        <v>2106</v>
      </c>
      <c r="C254" t="s">
        <v>1506</v>
      </c>
      <c r="D254" t="s">
        <v>1507</v>
      </c>
      <c r="E254" t="s">
        <v>1508</v>
      </c>
      <c r="F254" t="s">
        <v>1509</v>
      </c>
      <c r="G254" t="s">
        <v>2107</v>
      </c>
      <c r="H254">
        <v>0</v>
      </c>
      <c r="I254">
        <v>0.36299999999999999</v>
      </c>
      <c r="J254">
        <v>129</v>
      </c>
    </row>
    <row r="255" spans="1:10" x14ac:dyDescent="0.2">
      <c r="A255" t="s">
        <v>638</v>
      </c>
      <c r="B255" t="s">
        <v>2108</v>
      </c>
      <c r="C255" t="s">
        <v>1506</v>
      </c>
      <c r="D255" t="s">
        <v>1507</v>
      </c>
      <c r="E255" t="s">
        <v>1508</v>
      </c>
      <c r="F255" t="s">
        <v>1509</v>
      </c>
      <c r="G255" t="s">
        <v>2109</v>
      </c>
      <c r="H255">
        <v>0</v>
      </c>
      <c r="I255">
        <v>0.36299999999999999</v>
      </c>
      <c r="J255">
        <v>129</v>
      </c>
    </row>
    <row r="256" spans="1:10" x14ac:dyDescent="0.2">
      <c r="A256" t="s">
        <v>638</v>
      </c>
      <c r="B256" t="s">
        <v>2110</v>
      </c>
      <c r="C256" t="s">
        <v>1506</v>
      </c>
      <c r="D256" t="s">
        <v>1507</v>
      </c>
      <c r="E256" t="s">
        <v>1508</v>
      </c>
      <c r="F256" t="s">
        <v>1509</v>
      </c>
      <c r="G256" t="s">
        <v>2111</v>
      </c>
      <c r="H256">
        <v>0</v>
      </c>
      <c r="I256">
        <v>0.36299999999999999</v>
      </c>
      <c r="J256">
        <v>129</v>
      </c>
    </row>
    <row r="257" spans="1:10" x14ac:dyDescent="0.2">
      <c r="A257" t="s">
        <v>638</v>
      </c>
      <c r="B257" t="s">
        <v>2112</v>
      </c>
      <c r="C257" t="s">
        <v>1506</v>
      </c>
      <c r="D257" t="s">
        <v>1507</v>
      </c>
      <c r="E257" t="s">
        <v>1508</v>
      </c>
      <c r="F257" t="s">
        <v>1509</v>
      </c>
      <c r="G257" t="s">
        <v>2113</v>
      </c>
      <c r="H257">
        <v>0</v>
      </c>
      <c r="I257">
        <v>0.36299999999999999</v>
      </c>
      <c r="J257">
        <v>129</v>
      </c>
    </row>
    <row r="258" spans="1:10" x14ac:dyDescent="0.2">
      <c r="A258" t="s">
        <v>638</v>
      </c>
      <c r="B258" t="s">
        <v>2114</v>
      </c>
      <c r="C258" t="s">
        <v>1506</v>
      </c>
      <c r="D258" t="s">
        <v>1507</v>
      </c>
      <c r="E258" t="s">
        <v>1508</v>
      </c>
      <c r="F258" t="s">
        <v>1509</v>
      </c>
      <c r="G258" t="s">
        <v>2115</v>
      </c>
      <c r="H258">
        <v>0</v>
      </c>
      <c r="I258">
        <v>0.36299999999999999</v>
      </c>
      <c r="J258">
        <v>129</v>
      </c>
    </row>
    <row r="259" spans="1:10" x14ac:dyDescent="0.2">
      <c r="A259" t="s">
        <v>638</v>
      </c>
      <c r="B259" t="s">
        <v>2116</v>
      </c>
      <c r="C259" t="s">
        <v>1506</v>
      </c>
      <c r="D259" t="s">
        <v>1507</v>
      </c>
      <c r="E259" t="s">
        <v>1508</v>
      </c>
      <c r="F259" t="s">
        <v>1509</v>
      </c>
      <c r="G259" t="s">
        <v>2117</v>
      </c>
      <c r="H259">
        <v>0</v>
      </c>
      <c r="I259">
        <v>0.36299999999999999</v>
      </c>
      <c r="J259">
        <v>129</v>
      </c>
    </row>
    <row r="260" spans="1:10" x14ac:dyDescent="0.2">
      <c r="A260" t="s">
        <v>638</v>
      </c>
      <c r="B260" t="s">
        <v>2118</v>
      </c>
      <c r="C260" t="s">
        <v>1506</v>
      </c>
      <c r="D260" t="s">
        <v>1507</v>
      </c>
      <c r="E260" t="s">
        <v>1508</v>
      </c>
      <c r="F260" t="s">
        <v>1509</v>
      </c>
      <c r="G260" t="s">
        <v>2119</v>
      </c>
      <c r="H260">
        <v>0</v>
      </c>
      <c r="I260">
        <v>0.36299999999999999</v>
      </c>
      <c r="J260">
        <v>129</v>
      </c>
    </row>
    <row r="261" spans="1:10" x14ac:dyDescent="0.2">
      <c r="A261" t="s">
        <v>638</v>
      </c>
      <c r="B261" t="s">
        <v>2120</v>
      </c>
      <c r="C261" t="s">
        <v>1506</v>
      </c>
      <c r="D261" t="s">
        <v>1507</v>
      </c>
      <c r="E261" t="s">
        <v>1508</v>
      </c>
      <c r="F261" t="s">
        <v>1509</v>
      </c>
      <c r="G261" t="s">
        <v>2121</v>
      </c>
      <c r="H261">
        <v>0</v>
      </c>
      <c r="I261">
        <v>0.36299999999999999</v>
      </c>
      <c r="J261">
        <v>129</v>
      </c>
    </row>
    <row r="262" spans="1:10" x14ac:dyDescent="0.2">
      <c r="A262" t="s">
        <v>638</v>
      </c>
      <c r="B262" t="s">
        <v>2122</v>
      </c>
      <c r="C262" t="s">
        <v>1506</v>
      </c>
      <c r="D262" t="s">
        <v>1507</v>
      </c>
      <c r="E262" t="s">
        <v>1508</v>
      </c>
      <c r="F262" t="s">
        <v>1509</v>
      </c>
      <c r="G262" t="s">
        <v>2123</v>
      </c>
      <c r="H262">
        <v>0</v>
      </c>
      <c r="I262">
        <v>0.36299999999999999</v>
      </c>
      <c r="J262">
        <v>129</v>
      </c>
    </row>
    <row r="263" spans="1:10" x14ac:dyDescent="0.2">
      <c r="A263" t="s">
        <v>638</v>
      </c>
      <c r="B263" t="s">
        <v>2124</v>
      </c>
      <c r="C263" t="s">
        <v>1506</v>
      </c>
      <c r="D263" t="s">
        <v>1507</v>
      </c>
      <c r="E263" t="s">
        <v>1508</v>
      </c>
      <c r="F263" t="s">
        <v>1509</v>
      </c>
      <c r="G263" t="s">
        <v>2125</v>
      </c>
      <c r="H263">
        <v>0</v>
      </c>
      <c r="I263">
        <v>0.36299999999999999</v>
      </c>
      <c r="J263">
        <v>129</v>
      </c>
    </row>
    <row r="264" spans="1:10" x14ac:dyDescent="0.2">
      <c r="A264" t="s">
        <v>638</v>
      </c>
      <c r="B264" t="s">
        <v>2126</v>
      </c>
      <c r="C264" t="s">
        <v>1506</v>
      </c>
      <c r="D264" t="s">
        <v>1507</v>
      </c>
      <c r="E264" t="s">
        <v>1508</v>
      </c>
      <c r="F264" t="s">
        <v>1509</v>
      </c>
      <c r="G264" t="s">
        <v>2127</v>
      </c>
      <c r="H264">
        <v>0</v>
      </c>
      <c r="I264">
        <v>0.36299999999999999</v>
      </c>
      <c r="J264">
        <v>129</v>
      </c>
    </row>
    <row r="265" spans="1:10" x14ac:dyDescent="0.2">
      <c r="A265" t="s">
        <v>638</v>
      </c>
      <c r="B265" t="s">
        <v>2128</v>
      </c>
      <c r="C265" t="s">
        <v>1506</v>
      </c>
      <c r="D265" t="s">
        <v>1507</v>
      </c>
      <c r="E265" t="s">
        <v>1508</v>
      </c>
      <c r="F265" t="s">
        <v>1509</v>
      </c>
      <c r="G265" t="s">
        <v>2129</v>
      </c>
      <c r="H265">
        <v>0</v>
      </c>
      <c r="I265">
        <v>0.36299999999999999</v>
      </c>
      <c r="J265">
        <v>129</v>
      </c>
    </row>
    <row r="266" spans="1:10" x14ac:dyDescent="0.2">
      <c r="A266" t="s">
        <v>638</v>
      </c>
      <c r="B266" t="s">
        <v>2130</v>
      </c>
      <c r="C266" t="s">
        <v>1506</v>
      </c>
      <c r="D266" t="s">
        <v>1507</v>
      </c>
      <c r="E266" t="s">
        <v>1508</v>
      </c>
      <c r="F266" t="s">
        <v>1509</v>
      </c>
      <c r="G266" t="s">
        <v>2131</v>
      </c>
      <c r="H266">
        <v>0</v>
      </c>
      <c r="I266">
        <v>0.36299999999999999</v>
      </c>
      <c r="J266">
        <v>129</v>
      </c>
    </row>
    <row r="267" spans="1:10" x14ac:dyDescent="0.2">
      <c r="A267" t="s">
        <v>638</v>
      </c>
      <c r="B267" t="s">
        <v>2132</v>
      </c>
      <c r="C267" t="s">
        <v>1506</v>
      </c>
      <c r="D267" t="s">
        <v>1507</v>
      </c>
      <c r="E267" t="s">
        <v>1508</v>
      </c>
      <c r="F267" t="s">
        <v>1509</v>
      </c>
      <c r="G267" t="s">
        <v>2133</v>
      </c>
      <c r="H267">
        <v>0</v>
      </c>
      <c r="I267">
        <v>0.36299999999999999</v>
      </c>
      <c r="J267">
        <v>129</v>
      </c>
    </row>
    <row r="268" spans="1:10" x14ac:dyDescent="0.2">
      <c r="A268" t="s">
        <v>638</v>
      </c>
      <c r="B268" t="s">
        <v>2134</v>
      </c>
      <c r="C268" t="s">
        <v>1506</v>
      </c>
      <c r="D268" t="s">
        <v>1507</v>
      </c>
      <c r="E268" t="s">
        <v>1508</v>
      </c>
      <c r="F268" t="s">
        <v>1509</v>
      </c>
      <c r="G268" t="s">
        <v>2135</v>
      </c>
      <c r="H268">
        <v>0</v>
      </c>
      <c r="I268">
        <v>0.36299999999999999</v>
      </c>
      <c r="J268">
        <v>129</v>
      </c>
    </row>
    <row r="269" spans="1:10" x14ac:dyDescent="0.2">
      <c r="A269" t="s">
        <v>638</v>
      </c>
      <c r="B269" t="s">
        <v>2136</v>
      </c>
      <c r="C269" t="s">
        <v>1506</v>
      </c>
      <c r="D269" t="s">
        <v>1507</v>
      </c>
      <c r="E269" t="s">
        <v>1508</v>
      </c>
      <c r="F269" t="s">
        <v>1509</v>
      </c>
      <c r="G269" t="s">
        <v>2137</v>
      </c>
      <c r="H269">
        <v>0</v>
      </c>
      <c r="I269">
        <v>0.36299999999999999</v>
      </c>
      <c r="J269">
        <v>129</v>
      </c>
    </row>
    <row r="270" spans="1:10" x14ac:dyDescent="0.2">
      <c r="A270" t="s">
        <v>638</v>
      </c>
      <c r="B270" t="s">
        <v>2138</v>
      </c>
      <c r="C270" t="s">
        <v>1506</v>
      </c>
      <c r="D270" t="s">
        <v>1507</v>
      </c>
      <c r="E270" t="s">
        <v>1508</v>
      </c>
      <c r="F270" t="s">
        <v>1509</v>
      </c>
      <c r="G270" t="s">
        <v>2139</v>
      </c>
      <c r="H270">
        <v>0</v>
      </c>
      <c r="I270">
        <v>0.36299999999999999</v>
      </c>
      <c r="J270">
        <v>129</v>
      </c>
    </row>
    <row r="271" spans="1:10" x14ac:dyDescent="0.2">
      <c r="A271" t="s">
        <v>638</v>
      </c>
      <c r="B271" t="s">
        <v>2140</v>
      </c>
      <c r="C271" t="s">
        <v>1506</v>
      </c>
      <c r="D271" t="s">
        <v>1507</v>
      </c>
      <c r="E271" t="s">
        <v>1508</v>
      </c>
      <c r="F271" t="s">
        <v>1509</v>
      </c>
      <c r="G271" t="s">
        <v>2141</v>
      </c>
      <c r="H271">
        <v>0</v>
      </c>
      <c r="I271">
        <v>0.36299999999999999</v>
      </c>
      <c r="J271">
        <v>129</v>
      </c>
    </row>
    <row r="272" spans="1:10" x14ac:dyDescent="0.2">
      <c r="A272" t="s">
        <v>638</v>
      </c>
      <c r="B272" t="s">
        <v>2142</v>
      </c>
      <c r="C272" t="s">
        <v>1506</v>
      </c>
      <c r="D272" t="s">
        <v>1507</v>
      </c>
      <c r="E272" t="s">
        <v>1508</v>
      </c>
      <c r="F272" t="s">
        <v>1509</v>
      </c>
      <c r="G272" t="s">
        <v>2143</v>
      </c>
      <c r="H272">
        <v>0</v>
      </c>
      <c r="I272">
        <v>0.36299999999999999</v>
      </c>
      <c r="J272">
        <v>129</v>
      </c>
    </row>
    <row r="273" spans="1:10" x14ac:dyDescent="0.2">
      <c r="A273" t="s">
        <v>638</v>
      </c>
      <c r="B273" t="s">
        <v>2144</v>
      </c>
      <c r="C273" t="s">
        <v>1506</v>
      </c>
      <c r="D273" t="s">
        <v>1507</v>
      </c>
      <c r="E273" t="s">
        <v>1508</v>
      </c>
      <c r="F273" t="s">
        <v>1509</v>
      </c>
      <c r="G273" t="s">
        <v>2145</v>
      </c>
      <c r="H273">
        <v>0</v>
      </c>
      <c r="I273">
        <v>0.36299999999999999</v>
      </c>
      <c r="J273">
        <v>129</v>
      </c>
    </row>
    <row r="274" spans="1:10" x14ac:dyDescent="0.2">
      <c r="A274" t="s">
        <v>638</v>
      </c>
      <c r="B274" t="s">
        <v>2146</v>
      </c>
      <c r="C274" t="s">
        <v>1506</v>
      </c>
      <c r="D274" t="s">
        <v>1507</v>
      </c>
      <c r="E274" t="s">
        <v>1508</v>
      </c>
      <c r="F274" t="s">
        <v>1509</v>
      </c>
      <c r="G274" t="s">
        <v>2147</v>
      </c>
      <c r="H274">
        <v>0</v>
      </c>
      <c r="I274">
        <v>0.36299999999999999</v>
      </c>
      <c r="J274">
        <v>129</v>
      </c>
    </row>
    <row r="275" spans="1:10" x14ac:dyDescent="0.2">
      <c r="A275" t="s">
        <v>638</v>
      </c>
      <c r="B275" t="s">
        <v>2148</v>
      </c>
      <c r="C275" t="s">
        <v>1506</v>
      </c>
      <c r="D275" t="s">
        <v>1507</v>
      </c>
      <c r="E275" t="s">
        <v>1508</v>
      </c>
      <c r="F275" t="s">
        <v>1509</v>
      </c>
      <c r="G275" t="s">
        <v>2149</v>
      </c>
      <c r="H275">
        <v>0</v>
      </c>
      <c r="I275">
        <v>0.36299999999999999</v>
      </c>
      <c r="J275">
        <v>129</v>
      </c>
    </row>
    <row r="276" spans="1:10" x14ac:dyDescent="0.2">
      <c r="A276" t="s">
        <v>638</v>
      </c>
      <c r="B276" t="s">
        <v>2150</v>
      </c>
      <c r="C276" t="s">
        <v>1506</v>
      </c>
      <c r="D276" t="s">
        <v>1507</v>
      </c>
      <c r="E276" t="s">
        <v>1508</v>
      </c>
      <c r="F276" t="s">
        <v>1509</v>
      </c>
      <c r="G276" t="s">
        <v>2151</v>
      </c>
      <c r="H276">
        <v>0</v>
      </c>
      <c r="I276">
        <v>0.36299999999999999</v>
      </c>
      <c r="J276">
        <v>129</v>
      </c>
    </row>
    <row r="277" spans="1:10" x14ac:dyDescent="0.2">
      <c r="A277" t="s">
        <v>638</v>
      </c>
      <c r="B277" t="s">
        <v>2152</v>
      </c>
      <c r="C277" t="s">
        <v>1506</v>
      </c>
      <c r="D277" t="s">
        <v>1507</v>
      </c>
      <c r="E277" t="s">
        <v>1508</v>
      </c>
      <c r="F277" t="s">
        <v>1509</v>
      </c>
      <c r="G277" t="s">
        <v>2153</v>
      </c>
      <c r="H277">
        <v>0</v>
      </c>
      <c r="I277">
        <v>0.36299999999999999</v>
      </c>
      <c r="J277">
        <v>129</v>
      </c>
    </row>
    <row r="278" spans="1:10" x14ac:dyDescent="0.2">
      <c r="A278" t="s">
        <v>638</v>
      </c>
      <c r="B278" t="s">
        <v>2154</v>
      </c>
      <c r="C278" t="s">
        <v>1506</v>
      </c>
      <c r="D278" t="s">
        <v>1507</v>
      </c>
      <c r="E278" t="s">
        <v>1508</v>
      </c>
      <c r="F278" t="s">
        <v>1509</v>
      </c>
      <c r="G278" t="s">
        <v>2155</v>
      </c>
      <c r="H278">
        <v>0</v>
      </c>
      <c r="I278">
        <v>0.36299999999999999</v>
      </c>
      <c r="J278">
        <v>129</v>
      </c>
    </row>
    <row r="279" spans="1:10" x14ac:dyDescent="0.2">
      <c r="A279" t="s">
        <v>638</v>
      </c>
      <c r="B279" t="s">
        <v>2156</v>
      </c>
      <c r="C279" t="s">
        <v>1506</v>
      </c>
      <c r="D279" t="s">
        <v>1507</v>
      </c>
      <c r="E279" t="s">
        <v>1508</v>
      </c>
      <c r="F279" t="s">
        <v>1509</v>
      </c>
      <c r="G279" t="s">
        <v>2157</v>
      </c>
      <c r="H279">
        <v>0</v>
      </c>
      <c r="I279">
        <v>0.36299999999999999</v>
      </c>
      <c r="J279">
        <v>129</v>
      </c>
    </row>
    <row r="280" spans="1:10" x14ac:dyDescent="0.2">
      <c r="A280" t="s">
        <v>638</v>
      </c>
      <c r="B280" t="s">
        <v>2158</v>
      </c>
      <c r="C280" t="s">
        <v>1506</v>
      </c>
      <c r="D280" t="s">
        <v>1507</v>
      </c>
      <c r="E280" t="s">
        <v>1508</v>
      </c>
      <c r="F280" t="s">
        <v>1509</v>
      </c>
      <c r="G280" t="s">
        <v>2159</v>
      </c>
      <c r="H280">
        <v>0</v>
      </c>
      <c r="I280">
        <v>0.36299999999999999</v>
      </c>
      <c r="J280">
        <v>129</v>
      </c>
    </row>
    <row r="281" spans="1:10" x14ac:dyDescent="0.2">
      <c r="A281" t="s">
        <v>638</v>
      </c>
      <c r="B281" t="s">
        <v>2160</v>
      </c>
      <c r="C281" t="s">
        <v>1506</v>
      </c>
      <c r="D281" t="s">
        <v>1507</v>
      </c>
      <c r="E281" t="s">
        <v>1508</v>
      </c>
      <c r="F281" t="s">
        <v>1509</v>
      </c>
      <c r="G281" t="s">
        <v>2161</v>
      </c>
      <c r="H281">
        <v>0</v>
      </c>
      <c r="I281">
        <v>0.36299999999999999</v>
      </c>
      <c r="J281">
        <v>129</v>
      </c>
    </row>
    <row r="282" spans="1:10" x14ac:dyDescent="0.2">
      <c r="A282" t="s">
        <v>638</v>
      </c>
      <c r="B282" t="s">
        <v>2162</v>
      </c>
      <c r="C282" t="s">
        <v>1506</v>
      </c>
      <c r="D282" t="s">
        <v>1507</v>
      </c>
      <c r="E282" t="s">
        <v>1508</v>
      </c>
      <c r="F282" t="s">
        <v>1509</v>
      </c>
      <c r="G282" t="s">
        <v>2163</v>
      </c>
      <c r="H282">
        <v>0</v>
      </c>
      <c r="I282">
        <v>0.36299999999999999</v>
      </c>
      <c r="J282">
        <v>129</v>
      </c>
    </row>
    <row r="283" spans="1:10" x14ac:dyDescent="0.2">
      <c r="A283" t="s">
        <v>638</v>
      </c>
      <c r="B283" t="s">
        <v>2164</v>
      </c>
      <c r="C283" t="s">
        <v>1506</v>
      </c>
      <c r="D283" t="s">
        <v>1507</v>
      </c>
      <c r="E283" t="s">
        <v>1508</v>
      </c>
      <c r="F283" t="s">
        <v>1509</v>
      </c>
      <c r="G283" t="s">
        <v>2165</v>
      </c>
      <c r="H283">
        <v>0</v>
      </c>
      <c r="I283">
        <v>0.36299999999999999</v>
      </c>
      <c r="J283">
        <v>129</v>
      </c>
    </row>
    <row r="284" spans="1:10" x14ac:dyDescent="0.2">
      <c r="A284" t="s">
        <v>638</v>
      </c>
      <c r="B284" t="s">
        <v>2166</v>
      </c>
      <c r="C284" t="s">
        <v>1506</v>
      </c>
      <c r="D284" t="s">
        <v>1507</v>
      </c>
      <c r="E284" t="s">
        <v>2055</v>
      </c>
      <c r="F284" t="s">
        <v>2167</v>
      </c>
      <c r="G284" t="s">
        <v>2168</v>
      </c>
      <c r="H284">
        <v>0</v>
      </c>
      <c r="I284">
        <v>0.36199999999999999</v>
      </c>
      <c r="J284">
        <v>129</v>
      </c>
    </row>
    <row r="285" spans="1:10" x14ac:dyDescent="0.2">
      <c r="A285" t="s">
        <v>638</v>
      </c>
      <c r="B285" t="s">
        <v>2169</v>
      </c>
      <c r="C285" t="s">
        <v>1506</v>
      </c>
      <c r="D285" t="s">
        <v>1507</v>
      </c>
      <c r="E285" t="s">
        <v>1789</v>
      </c>
      <c r="F285" t="s">
        <v>2170</v>
      </c>
      <c r="G285" t="s">
        <v>2171</v>
      </c>
      <c r="H285">
        <v>0</v>
      </c>
      <c r="I285">
        <v>0.36199999999999999</v>
      </c>
      <c r="J285">
        <v>129</v>
      </c>
    </row>
    <row r="286" spans="1:10" x14ac:dyDescent="0.2">
      <c r="A286" t="s">
        <v>638</v>
      </c>
      <c r="B286" t="s">
        <v>2172</v>
      </c>
      <c r="C286" t="s">
        <v>1506</v>
      </c>
      <c r="D286" t="s">
        <v>1507</v>
      </c>
      <c r="E286" t="s">
        <v>1523</v>
      </c>
      <c r="F286" t="s">
        <v>1985</v>
      </c>
      <c r="G286" t="s">
        <v>2173</v>
      </c>
      <c r="H286">
        <v>0</v>
      </c>
      <c r="I286">
        <v>0.34599999999999997</v>
      </c>
      <c r="J286">
        <v>129</v>
      </c>
    </row>
    <row r="287" spans="1:10" x14ac:dyDescent="0.2">
      <c r="A287" t="s">
        <v>638</v>
      </c>
      <c r="B287" t="s">
        <v>2174</v>
      </c>
      <c r="C287" t="s">
        <v>1506</v>
      </c>
      <c r="D287" t="s">
        <v>1507</v>
      </c>
      <c r="E287" t="s">
        <v>1511</v>
      </c>
      <c r="F287" t="s">
        <v>1512</v>
      </c>
      <c r="G287" t="s">
        <v>2175</v>
      </c>
      <c r="H287">
        <v>0</v>
      </c>
      <c r="I287">
        <v>0.33200000000000002</v>
      </c>
      <c r="J287">
        <v>128</v>
      </c>
    </row>
    <row r="288" spans="1:10" x14ac:dyDescent="0.2">
      <c r="A288" t="s">
        <v>638</v>
      </c>
      <c r="B288" t="s">
        <v>2176</v>
      </c>
      <c r="C288" t="s">
        <v>1506</v>
      </c>
      <c r="D288" t="s">
        <v>1507</v>
      </c>
      <c r="E288" t="s">
        <v>1586</v>
      </c>
      <c r="F288" t="s">
        <v>1587</v>
      </c>
      <c r="G288" t="s">
        <v>2177</v>
      </c>
      <c r="H288">
        <v>0</v>
      </c>
      <c r="I288">
        <v>0.32200000000000001</v>
      </c>
      <c r="J288">
        <v>128</v>
      </c>
    </row>
    <row r="289" spans="1:10" x14ac:dyDescent="0.2">
      <c r="A289" t="s">
        <v>638</v>
      </c>
      <c r="B289" t="s">
        <v>2178</v>
      </c>
      <c r="C289" t="s">
        <v>1506</v>
      </c>
      <c r="D289" t="s">
        <v>1507</v>
      </c>
      <c r="E289" t="s">
        <v>1586</v>
      </c>
      <c r="F289" t="s">
        <v>1587</v>
      </c>
      <c r="G289" t="s">
        <v>2177</v>
      </c>
      <c r="H289">
        <v>0</v>
      </c>
      <c r="I289">
        <v>0.32200000000000001</v>
      </c>
      <c r="J289">
        <v>128</v>
      </c>
    </row>
    <row r="290" spans="1:10" x14ac:dyDescent="0.2">
      <c r="A290" t="s">
        <v>638</v>
      </c>
      <c r="B290" t="s">
        <v>2179</v>
      </c>
      <c r="C290" t="s">
        <v>1506</v>
      </c>
      <c r="D290" t="s">
        <v>1507</v>
      </c>
      <c r="E290" t="s">
        <v>1586</v>
      </c>
      <c r="F290" t="s">
        <v>1587</v>
      </c>
      <c r="G290" t="s">
        <v>2180</v>
      </c>
      <c r="H290">
        <v>0</v>
      </c>
      <c r="I290">
        <v>0.32200000000000001</v>
      </c>
      <c r="J290">
        <v>128</v>
      </c>
    </row>
    <row r="291" spans="1:10" x14ac:dyDescent="0.2">
      <c r="A291" t="s">
        <v>638</v>
      </c>
      <c r="B291" t="s">
        <v>2181</v>
      </c>
      <c r="C291" t="s">
        <v>1506</v>
      </c>
      <c r="D291" t="s">
        <v>1507</v>
      </c>
      <c r="E291" t="s">
        <v>1586</v>
      </c>
      <c r="F291" t="s">
        <v>1587</v>
      </c>
      <c r="G291" t="s">
        <v>2180</v>
      </c>
      <c r="H291">
        <v>0</v>
      </c>
      <c r="I291">
        <v>0.32200000000000001</v>
      </c>
      <c r="J291">
        <v>128</v>
      </c>
    </row>
    <row r="292" spans="1:10" x14ac:dyDescent="0.2">
      <c r="A292" t="s">
        <v>638</v>
      </c>
      <c r="B292" t="s">
        <v>2182</v>
      </c>
      <c r="C292" t="s">
        <v>1506</v>
      </c>
      <c r="D292" t="s">
        <v>1507</v>
      </c>
      <c r="E292" t="s">
        <v>1994</v>
      </c>
      <c r="F292" t="s">
        <v>1995</v>
      </c>
      <c r="G292" t="s">
        <v>2183</v>
      </c>
      <c r="H292">
        <v>0</v>
      </c>
      <c r="I292">
        <v>0.31900000000000001</v>
      </c>
      <c r="J292">
        <v>129</v>
      </c>
    </row>
    <row r="293" spans="1:10" x14ac:dyDescent="0.2">
      <c r="A293" t="s">
        <v>638</v>
      </c>
      <c r="B293" t="s">
        <v>2184</v>
      </c>
      <c r="C293" t="s">
        <v>1506</v>
      </c>
      <c r="D293" t="s">
        <v>1507</v>
      </c>
      <c r="E293" t="s">
        <v>1508</v>
      </c>
      <c r="F293" t="s">
        <v>1509</v>
      </c>
      <c r="G293" t="s">
        <v>2185</v>
      </c>
      <c r="H293">
        <v>0</v>
      </c>
      <c r="I293">
        <v>0.318</v>
      </c>
      <c r="J293">
        <v>129</v>
      </c>
    </row>
    <row r="294" spans="1:10" x14ac:dyDescent="0.2">
      <c r="A294" t="s">
        <v>638</v>
      </c>
      <c r="B294" t="s">
        <v>2186</v>
      </c>
      <c r="C294" t="s">
        <v>1506</v>
      </c>
      <c r="D294" t="s">
        <v>1507</v>
      </c>
      <c r="E294" t="s">
        <v>1508</v>
      </c>
      <c r="F294" t="s">
        <v>1509</v>
      </c>
      <c r="G294" t="s">
        <v>2187</v>
      </c>
      <c r="H294">
        <v>0</v>
      </c>
      <c r="I294">
        <v>0.318</v>
      </c>
      <c r="J294">
        <v>129</v>
      </c>
    </row>
    <row r="295" spans="1:10" x14ac:dyDescent="0.2">
      <c r="A295" t="s">
        <v>638</v>
      </c>
      <c r="B295" t="s">
        <v>2188</v>
      </c>
      <c r="C295" t="s">
        <v>1506</v>
      </c>
      <c r="D295" t="s">
        <v>1507</v>
      </c>
      <c r="E295" t="s">
        <v>1508</v>
      </c>
      <c r="F295" t="s">
        <v>1509</v>
      </c>
      <c r="G295" t="s">
        <v>2189</v>
      </c>
      <c r="H295">
        <v>0</v>
      </c>
      <c r="I295">
        <v>0.313</v>
      </c>
      <c r="J295">
        <v>129</v>
      </c>
    </row>
    <row r="296" spans="1:10" x14ac:dyDescent="0.2">
      <c r="A296" t="s">
        <v>638</v>
      </c>
      <c r="B296" t="s">
        <v>2190</v>
      </c>
      <c r="C296" t="s">
        <v>1506</v>
      </c>
      <c r="D296" t="s">
        <v>1507</v>
      </c>
      <c r="E296" t="s">
        <v>1633</v>
      </c>
      <c r="F296" t="s">
        <v>1832</v>
      </c>
      <c r="G296" t="s">
        <v>1833</v>
      </c>
      <c r="H296">
        <v>0</v>
      </c>
      <c r="I296">
        <v>0.313</v>
      </c>
      <c r="J296">
        <v>127</v>
      </c>
    </row>
    <row r="297" spans="1:10" x14ac:dyDescent="0.2">
      <c r="A297" t="s">
        <v>638</v>
      </c>
      <c r="B297" t="s">
        <v>2191</v>
      </c>
      <c r="C297" t="s">
        <v>1506</v>
      </c>
      <c r="D297" t="s">
        <v>1507</v>
      </c>
      <c r="E297" t="s">
        <v>1508</v>
      </c>
      <c r="F297" t="s">
        <v>1509</v>
      </c>
      <c r="G297" t="s">
        <v>2192</v>
      </c>
      <c r="H297">
        <v>0</v>
      </c>
      <c r="I297">
        <v>0.31</v>
      </c>
      <c r="J297">
        <v>129</v>
      </c>
    </row>
    <row r="298" spans="1:10" x14ac:dyDescent="0.2">
      <c r="A298" t="s">
        <v>638</v>
      </c>
      <c r="B298" t="s">
        <v>2193</v>
      </c>
      <c r="C298" t="s">
        <v>1506</v>
      </c>
      <c r="D298" t="s">
        <v>1507</v>
      </c>
      <c r="E298" t="s">
        <v>1508</v>
      </c>
      <c r="F298" t="s">
        <v>1509</v>
      </c>
      <c r="G298" t="s">
        <v>2194</v>
      </c>
      <c r="H298">
        <v>0</v>
      </c>
      <c r="I298">
        <v>0.31</v>
      </c>
      <c r="J298">
        <v>129</v>
      </c>
    </row>
    <row r="299" spans="1:10" x14ac:dyDescent="0.2">
      <c r="A299" t="s">
        <v>638</v>
      </c>
      <c r="B299" t="s">
        <v>2195</v>
      </c>
      <c r="C299" t="s">
        <v>1506</v>
      </c>
      <c r="D299" t="s">
        <v>1507</v>
      </c>
      <c r="E299" t="s">
        <v>1523</v>
      </c>
      <c r="F299" t="s">
        <v>1985</v>
      </c>
      <c r="G299" t="s">
        <v>2018</v>
      </c>
      <c r="H299">
        <v>0</v>
      </c>
      <c r="I299">
        <v>0.30099999999999999</v>
      </c>
      <c r="J299">
        <v>129</v>
      </c>
    </row>
    <row r="300" spans="1:10" x14ac:dyDescent="0.2">
      <c r="A300" t="s">
        <v>638</v>
      </c>
      <c r="B300" t="s">
        <v>2196</v>
      </c>
      <c r="C300" t="s">
        <v>1506</v>
      </c>
      <c r="D300" t="s">
        <v>1507</v>
      </c>
      <c r="E300" t="s">
        <v>1633</v>
      </c>
      <c r="F300" t="s">
        <v>1832</v>
      </c>
      <c r="G300" t="s">
        <v>2197</v>
      </c>
      <c r="H300">
        <v>0</v>
      </c>
      <c r="I300">
        <v>0.29799999999999999</v>
      </c>
      <c r="J300">
        <v>129</v>
      </c>
    </row>
    <row r="301" spans="1:10" x14ac:dyDescent="0.2">
      <c r="A301" t="s">
        <v>638</v>
      </c>
      <c r="B301" t="s">
        <v>2198</v>
      </c>
      <c r="C301" t="s">
        <v>1506</v>
      </c>
      <c r="D301" t="s">
        <v>1507</v>
      </c>
      <c r="E301" t="s">
        <v>1508</v>
      </c>
      <c r="F301" t="s">
        <v>1509</v>
      </c>
      <c r="G301" t="s">
        <v>2199</v>
      </c>
      <c r="H301">
        <v>0</v>
      </c>
      <c r="I301">
        <v>0.29699999999999999</v>
      </c>
      <c r="J301">
        <v>129</v>
      </c>
    </row>
    <row r="302" spans="1:10" x14ac:dyDescent="0.2">
      <c r="A302" t="s">
        <v>638</v>
      </c>
      <c r="B302" t="s">
        <v>2200</v>
      </c>
      <c r="C302" t="s">
        <v>1506</v>
      </c>
      <c r="D302" t="s">
        <v>1507</v>
      </c>
      <c r="E302" t="s">
        <v>1508</v>
      </c>
      <c r="F302" t="s">
        <v>1509</v>
      </c>
      <c r="G302" t="s">
        <v>2201</v>
      </c>
      <c r="H302">
        <v>0</v>
      </c>
      <c r="I302">
        <v>0.29699999999999999</v>
      </c>
      <c r="J302">
        <v>129</v>
      </c>
    </row>
    <row r="303" spans="1:10" x14ac:dyDescent="0.2">
      <c r="A303" t="s">
        <v>638</v>
      </c>
      <c r="B303" t="s">
        <v>2202</v>
      </c>
      <c r="C303" t="s">
        <v>1506</v>
      </c>
      <c r="D303" t="s">
        <v>1507</v>
      </c>
      <c r="E303" t="s">
        <v>1508</v>
      </c>
      <c r="F303" t="s">
        <v>1509</v>
      </c>
      <c r="G303" t="s">
        <v>2203</v>
      </c>
      <c r="H303">
        <v>0</v>
      </c>
      <c r="I303">
        <v>0.29699999999999999</v>
      </c>
      <c r="J303">
        <v>129</v>
      </c>
    </row>
    <row r="304" spans="1:10" x14ac:dyDescent="0.2">
      <c r="A304" t="s">
        <v>638</v>
      </c>
      <c r="B304" t="s">
        <v>2204</v>
      </c>
      <c r="C304" t="s">
        <v>1506</v>
      </c>
      <c r="D304" t="s">
        <v>1507</v>
      </c>
      <c r="E304" t="s">
        <v>1508</v>
      </c>
      <c r="F304" t="s">
        <v>1509</v>
      </c>
      <c r="G304" t="s">
        <v>2205</v>
      </c>
      <c r="H304">
        <v>0</v>
      </c>
      <c r="I304">
        <v>0.29699999999999999</v>
      </c>
      <c r="J304">
        <v>129</v>
      </c>
    </row>
    <row r="305" spans="1:10" x14ac:dyDescent="0.2">
      <c r="A305" t="s">
        <v>638</v>
      </c>
      <c r="B305" t="s">
        <v>2206</v>
      </c>
      <c r="C305" t="s">
        <v>1506</v>
      </c>
      <c r="D305" t="s">
        <v>1507</v>
      </c>
      <c r="E305" t="s">
        <v>1508</v>
      </c>
      <c r="F305" t="s">
        <v>1509</v>
      </c>
      <c r="G305" t="s">
        <v>2207</v>
      </c>
      <c r="H305">
        <v>0</v>
      </c>
      <c r="I305">
        <v>0.29699999999999999</v>
      </c>
      <c r="J305">
        <v>129</v>
      </c>
    </row>
    <row r="306" spans="1:10" x14ac:dyDescent="0.2">
      <c r="A306" t="s">
        <v>638</v>
      </c>
      <c r="B306" t="s">
        <v>2208</v>
      </c>
      <c r="C306" t="s">
        <v>1506</v>
      </c>
      <c r="D306" t="s">
        <v>1507</v>
      </c>
      <c r="E306" t="s">
        <v>1789</v>
      </c>
      <c r="F306" t="s">
        <v>2209</v>
      </c>
      <c r="G306" t="s">
        <v>2210</v>
      </c>
      <c r="H306">
        <v>0</v>
      </c>
      <c r="I306">
        <v>0.28699999999999998</v>
      </c>
      <c r="J306">
        <v>128</v>
      </c>
    </row>
    <row r="307" spans="1:10" x14ac:dyDescent="0.2">
      <c r="A307" t="s">
        <v>638</v>
      </c>
      <c r="B307" t="s">
        <v>2211</v>
      </c>
      <c r="C307" t="s">
        <v>1506</v>
      </c>
      <c r="D307" t="s">
        <v>1507</v>
      </c>
      <c r="E307" t="s">
        <v>1519</v>
      </c>
      <c r="F307" t="s">
        <v>1520</v>
      </c>
      <c r="G307" t="s">
        <v>2212</v>
      </c>
      <c r="H307">
        <v>0</v>
      </c>
      <c r="I307">
        <v>0.26400000000000001</v>
      </c>
      <c r="J307">
        <v>128</v>
      </c>
    </row>
    <row r="308" spans="1:10" x14ac:dyDescent="0.2">
      <c r="A308" t="s">
        <v>638</v>
      </c>
      <c r="B308" t="s">
        <v>2213</v>
      </c>
      <c r="C308" t="s">
        <v>1506</v>
      </c>
      <c r="D308" t="s">
        <v>1507</v>
      </c>
      <c r="E308" t="s">
        <v>2214</v>
      </c>
      <c r="F308" t="s">
        <v>2215</v>
      </c>
      <c r="G308" t="s">
        <v>2216</v>
      </c>
      <c r="H308">
        <v>0</v>
      </c>
      <c r="I308">
        <v>0.26400000000000001</v>
      </c>
      <c r="J308">
        <v>127</v>
      </c>
    </row>
    <row r="309" spans="1:10" x14ac:dyDescent="0.2">
      <c r="A309" t="s">
        <v>638</v>
      </c>
      <c r="B309" t="s">
        <v>2217</v>
      </c>
      <c r="C309" t="s">
        <v>1506</v>
      </c>
      <c r="D309" t="s">
        <v>1507</v>
      </c>
      <c r="E309" t="s">
        <v>1586</v>
      </c>
      <c r="F309" t="s">
        <v>2218</v>
      </c>
      <c r="G309" t="s">
        <v>2219</v>
      </c>
      <c r="H309">
        <v>0</v>
      </c>
      <c r="I309">
        <v>0.26400000000000001</v>
      </c>
      <c r="J309">
        <v>128</v>
      </c>
    </row>
    <row r="310" spans="1:10" x14ac:dyDescent="0.2">
      <c r="A310" t="s">
        <v>638</v>
      </c>
      <c r="B310" t="s">
        <v>2220</v>
      </c>
      <c r="C310" t="s">
        <v>1506</v>
      </c>
      <c r="D310" t="s">
        <v>1507</v>
      </c>
      <c r="E310" t="s">
        <v>1658</v>
      </c>
      <c r="F310" t="s">
        <v>2026</v>
      </c>
      <c r="G310" t="s">
        <v>2221</v>
      </c>
      <c r="H310">
        <v>0</v>
      </c>
      <c r="I310">
        <v>0.253</v>
      </c>
      <c r="J310">
        <v>127</v>
      </c>
    </row>
    <row r="311" spans="1:10" x14ac:dyDescent="0.2">
      <c r="A311" t="s">
        <v>638</v>
      </c>
      <c r="B311" t="s">
        <v>2222</v>
      </c>
      <c r="C311" t="s">
        <v>1506</v>
      </c>
      <c r="D311" t="s">
        <v>1507</v>
      </c>
      <c r="E311" t="s">
        <v>2223</v>
      </c>
      <c r="F311" t="s">
        <v>2224</v>
      </c>
      <c r="G311" t="s">
        <v>2225</v>
      </c>
      <c r="H311">
        <v>0</v>
      </c>
      <c r="I311">
        <v>0.24199999999999999</v>
      </c>
      <c r="J311">
        <v>128</v>
      </c>
    </row>
    <row r="312" spans="1:10" x14ac:dyDescent="0.2">
      <c r="A312" t="s">
        <v>638</v>
      </c>
      <c r="B312" t="s">
        <v>2226</v>
      </c>
      <c r="C312" t="s">
        <v>1506</v>
      </c>
      <c r="D312" t="s">
        <v>1507</v>
      </c>
      <c r="E312" t="s">
        <v>2055</v>
      </c>
      <c r="F312" t="s">
        <v>2167</v>
      </c>
      <c r="G312" t="s">
        <v>2227</v>
      </c>
      <c r="H312">
        <v>0</v>
      </c>
      <c r="I312">
        <v>0.22500000000000001</v>
      </c>
      <c r="J312">
        <v>129</v>
      </c>
    </row>
    <row r="313" spans="1:10" x14ac:dyDescent="0.2">
      <c r="A313" t="s">
        <v>638</v>
      </c>
      <c r="B313" t="s">
        <v>2228</v>
      </c>
      <c r="C313" t="s">
        <v>1506</v>
      </c>
      <c r="D313" t="s">
        <v>1507</v>
      </c>
      <c r="E313" t="s">
        <v>1544</v>
      </c>
      <c r="F313" t="s">
        <v>1705</v>
      </c>
      <c r="G313" t="s">
        <v>2229</v>
      </c>
      <c r="H313">
        <v>0</v>
      </c>
      <c r="I313">
        <v>0.219</v>
      </c>
      <c r="J313">
        <v>128</v>
      </c>
    </row>
    <row r="314" spans="1:10" x14ac:dyDescent="0.2">
      <c r="A314" t="s">
        <v>638</v>
      </c>
      <c r="B314" t="s">
        <v>2230</v>
      </c>
      <c r="C314" t="s">
        <v>1506</v>
      </c>
      <c r="D314" t="s">
        <v>1507</v>
      </c>
      <c r="E314" t="s">
        <v>1544</v>
      </c>
      <c r="F314" t="s">
        <v>1705</v>
      </c>
      <c r="G314" t="s">
        <v>2229</v>
      </c>
      <c r="H314">
        <v>0</v>
      </c>
      <c r="I314">
        <v>0.219</v>
      </c>
      <c r="J314">
        <v>128</v>
      </c>
    </row>
    <row r="315" spans="1:10" x14ac:dyDescent="0.2">
      <c r="A315" t="s">
        <v>638</v>
      </c>
      <c r="B315" t="s">
        <v>2231</v>
      </c>
      <c r="C315" t="s">
        <v>1506</v>
      </c>
      <c r="D315" t="s">
        <v>1507</v>
      </c>
      <c r="E315" t="s">
        <v>1511</v>
      </c>
      <c r="F315" t="s">
        <v>2232</v>
      </c>
      <c r="G315" t="s">
        <v>2233</v>
      </c>
      <c r="H315">
        <v>0</v>
      </c>
      <c r="I315">
        <v>0.216</v>
      </c>
      <c r="J315">
        <v>128</v>
      </c>
    </row>
    <row r="316" spans="1:10" x14ac:dyDescent="0.2">
      <c r="A316" t="s">
        <v>638</v>
      </c>
      <c r="B316" t="s">
        <v>2234</v>
      </c>
      <c r="C316" t="s">
        <v>1506</v>
      </c>
      <c r="D316" t="s">
        <v>1507</v>
      </c>
      <c r="E316" t="s">
        <v>1511</v>
      </c>
      <c r="F316" t="s">
        <v>2232</v>
      </c>
      <c r="G316" t="s">
        <v>2233</v>
      </c>
      <c r="H316">
        <v>0</v>
      </c>
      <c r="I316">
        <v>0.216</v>
      </c>
      <c r="J316">
        <v>128</v>
      </c>
    </row>
    <row r="317" spans="1:10" x14ac:dyDescent="0.2">
      <c r="A317" t="s">
        <v>638</v>
      </c>
      <c r="B317" t="s">
        <v>2235</v>
      </c>
      <c r="C317" t="s">
        <v>1506</v>
      </c>
      <c r="D317" t="s">
        <v>1507</v>
      </c>
      <c r="E317" t="s">
        <v>1511</v>
      </c>
      <c r="F317" t="s">
        <v>2232</v>
      </c>
      <c r="G317" t="s">
        <v>2233</v>
      </c>
      <c r="H317">
        <v>0</v>
      </c>
      <c r="I317">
        <v>0.216</v>
      </c>
      <c r="J317">
        <v>128</v>
      </c>
    </row>
    <row r="318" spans="1:10" x14ac:dyDescent="0.2">
      <c r="A318" t="s">
        <v>638</v>
      </c>
      <c r="B318" t="s">
        <v>2236</v>
      </c>
      <c r="C318" t="s">
        <v>1506</v>
      </c>
      <c r="D318" t="s">
        <v>1507</v>
      </c>
      <c r="E318" t="s">
        <v>1511</v>
      </c>
      <c r="F318" t="s">
        <v>2232</v>
      </c>
      <c r="G318" t="s">
        <v>2233</v>
      </c>
      <c r="H318">
        <v>0</v>
      </c>
      <c r="I318">
        <v>0.216</v>
      </c>
      <c r="J318">
        <v>128</v>
      </c>
    </row>
    <row r="319" spans="1:10" x14ac:dyDescent="0.2">
      <c r="A319" t="s">
        <v>638</v>
      </c>
      <c r="B319" t="s">
        <v>2237</v>
      </c>
      <c r="C319" t="s">
        <v>1506</v>
      </c>
      <c r="D319" t="s">
        <v>1507</v>
      </c>
      <c r="E319" t="s">
        <v>1511</v>
      </c>
      <c r="F319" t="s">
        <v>2232</v>
      </c>
      <c r="G319" t="s">
        <v>2233</v>
      </c>
      <c r="H319">
        <v>0</v>
      </c>
      <c r="I319">
        <v>0.216</v>
      </c>
      <c r="J319">
        <v>128</v>
      </c>
    </row>
    <row r="320" spans="1:10" x14ac:dyDescent="0.2">
      <c r="A320" t="s">
        <v>638</v>
      </c>
      <c r="B320" t="s">
        <v>2238</v>
      </c>
      <c r="C320" t="s">
        <v>1506</v>
      </c>
      <c r="D320" t="s">
        <v>1507</v>
      </c>
      <c r="E320" t="s">
        <v>1511</v>
      </c>
      <c r="F320" t="s">
        <v>2232</v>
      </c>
      <c r="G320" t="s">
        <v>2233</v>
      </c>
      <c r="H320">
        <v>0</v>
      </c>
      <c r="I320">
        <v>0.216</v>
      </c>
      <c r="J320">
        <v>128</v>
      </c>
    </row>
    <row r="321" spans="1:10" x14ac:dyDescent="0.2">
      <c r="A321" t="s">
        <v>638</v>
      </c>
      <c r="B321" t="s">
        <v>2239</v>
      </c>
      <c r="C321" t="s">
        <v>1506</v>
      </c>
      <c r="D321" t="s">
        <v>1507</v>
      </c>
      <c r="E321" t="s">
        <v>1544</v>
      </c>
      <c r="F321" t="s">
        <v>1545</v>
      </c>
      <c r="G321" t="s">
        <v>2240</v>
      </c>
      <c r="H321">
        <v>0</v>
      </c>
      <c r="I321">
        <v>0.216</v>
      </c>
      <c r="J321">
        <v>128</v>
      </c>
    </row>
    <row r="322" spans="1:10" x14ac:dyDescent="0.2">
      <c r="A322" t="s">
        <v>638</v>
      </c>
      <c r="B322" t="s">
        <v>2241</v>
      </c>
      <c r="C322" t="s">
        <v>1506</v>
      </c>
      <c r="D322" t="s">
        <v>1507</v>
      </c>
      <c r="E322" t="s">
        <v>1796</v>
      </c>
      <c r="F322" t="s">
        <v>1797</v>
      </c>
      <c r="G322" t="s">
        <v>2242</v>
      </c>
      <c r="H322">
        <v>0</v>
      </c>
      <c r="I322">
        <v>0.21199999999999999</v>
      </c>
      <c r="J322">
        <v>128</v>
      </c>
    </row>
    <row r="323" spans="1:10" x14ac:dyDescent="0.2">
      <c r="A323" t="s">
        <v>638</v>
      </c>
      <c r="B323" t="s">
        <v>2243</v>
      </c>
      <c r="C323" t="s">
        <v>1506</v>
      </c>
      <c r="D323" t="s">
        <v>1507</v>
      </c>
      <c r="E323" t="s">
        <v>1556</v>
      </c>
      <c r="F323" t="s">
        <v>2244</v>
      </c>
      <c r="G323" t="s">
        <v>2245</v>
      </c>
      <c r="H323">
        <v>0</v>
      </c>
      <c r="I323">
        <v>0.19600000000000001</v>
      </c>
      <c r="J323">
        <v>128</v>
      </c>
    </row>
    <row r="324" spans="1:10" x14ac:dyDescent="0.2">
      <c r="A324" t="s">
        <v>638</v>
      </c>
      <c r="B324" t="s">
        <v>2246</v>
      </c>
      <c r="C324" t="s">
        <v>1506</v>
      </c>
      <c r="D324" t="s">
        <v>1507</v>
      </c>
      <c r="E324" t="s">
        <v>1508</v>
      </c>
      <c r="F324" t="s">
        <v>1509</v>
      </c>
      <c r="G324" t="s">
        <v>2127</v>
      </c>
      <c r="H324">
        <v>0</v>
      </c>
      <c r="I324">
        <v>0.17599999999999999</v>
      </c>
      <c r="J324">
        <v>129</v>
      </c>
    </row>
    <row r="325" spans="1:10" x14ac:dyDescent="0.2">
      <c r="A325" t="s">
        <v>638</v>
      </c>
      <c r="B325" t="s">
        <v>2247</v>
      </c>
      <c r="C325" t="s">
        <v>1506</v>
      </c>
      <c r="D325" t="s">
        <v>1507</v>
      </c>
      <c r="E325" t="s">
        <v>1508</v>
      </c>
      <c r="F325" t="s">
        <v>1509</v>
      </c>
      <c r="G325" t="s">
        <v>2248</v>
      </c>
      <c r="H325">
        <v>0</v>
      </c>
      <c r="I325">
        <v>0.16800000000000001</v>
      </c>
      <c r="J325">
        <v>129</v>
      </c>
    </row>
    <row r="326" spans="1:10" x14ac:dyDescent="0.2">
      <c r="A326" t="s">
        <v>638</v>
      </c>
      <c r="B326" t="s">
        <v>2249</v>
      </c>
      <c r="C326" t="s">
        <v>1506</v>
      </c>
      <c r="D326" t="s">
        <v>1507</v>
      </c>
      <c r="E326" t="s">
        <v>1508</v>
      </c>
      <c r="F326" t="s">
        <v>1509</v>
      </c>
      <c r="G326" t="s">
        <v>2250</v>
      </c>
      <c r="H326">
        <v>0</v>
      </c>
      <c r="I326">
        <v>0.16800000000000001</v>
      </c>
      <c r="J326">
        <v>129</v>
      </c>
    </row>
    <row r="327" spans="1:10" x14ac:dyDescent="0.2">
      <c r="A327" t="s">
        <v>638</v>
      </c>
      <c r="B327" t="s">
        <v>2251</v>
      </c>
      <c r="C327" t="s">
        <v>1506</v>
      </c>
      <c r="D327" t="s">
        <v>1507</v>
      </c>
      <c r="E327" t="s">
        <v>1508</v>
      </c>
      <c r="F327" t="s">
        <v>1509</v>
      </c>
      <c r="G327" t="s">
        <v>2252</v>
      </c>
      <c r="H327">
        <v>0</v>
      </c>
      <c r="I327">
        <v>0.16800000000000001</v>
      </c>
      <c r="J327">
        <v>129</v>
      </c>
    </row>
    <row r="328" spans="1:10" x14ac:dyDescent="0.2">
      <c r="A328" t="s">
        <v>638</v>
      </c>
      <c r="B328" t="s">
        <v>2253</v>
      </c>
      <c r="C328" t="s">
        <v>1506</v>
      </c>
      <c r="D328" t="s">
        <v>1507</v>
      </c>
      <c r="E328" t="s">
        <v>1895</v>
      </c>
      <c r="F328" t="s">
        <v>1896</v>
      </c>
      <c r="G328" t="s">
        <v>2254</v>
      </c>
      <c r="H328">
        <v>0</v>
      </c>
      <c r="I328">
        <v>0.16500000000000001</v>
      </c>
      <c r="J328">
        <v>128</v>
      </c>
    </row>
    <row r="329" spans="1:10" x14ac:dyDescent="0.2">
      <c r="A329" t="s">
        <v>638</v>
      </c>
      <c r="B329" t="s">
        <v>2255</v>
      </c>
      <c r="C329" t="s">
        <v>1506</v>
      </c>
      <c r="D329" t="s">
        <v>1507</v>
      </c>
      <c r="E329" t="s">
        <v>1523</v>
      </c>
      <c r="F329" t="s">
        <v>1985</v>
      </c>
      <c r="G329" t="s">
        <v>2256</v>
      </c>
      <c r="H329">
        <v>0</v>
      </c>
      <c r="I329">
        <v>0.16500000000000001</v>
      </c>
      <c r="J329">
        <v>129</v>
      </c>
    </row>
    <row r="330" spans="1:10" x14ac:dyDescent="0.2">
      <c r="A330" t="s">
        <v>638</v>
      </c>
      <c r="B330" t="s">
        <v>2257</v>
      </c>
      <c r="C330" t="s">
        <v>1506</v>
      </c>
      <c r="D330" t="s">
        <v>1507</v>
      </c>
      <c r="E330" t="s">
        <v>1523</v>
      </c>
      <c r="F330" t="s">
        <v>1916</v>
      </c>
      <c r="G330" t="s">
        <v>2258</v>
      </c>
      <c r="H330">
        <v>0</v>
      </c>
      <c r="I330">
        <v>0.14699999999999999</v>
      </c>
      <c r="J330">
        <v>128</v>
      </c>
    </row>
    <row r="331" spans="1:10" x14ac:dyDescent="0.2">
      <c r="A331" t="s">
        <v>638</v>
      </c>
      <c r="B331" t="s">
        <v>2259</v>
      </c>
      <c r="C331" t="s">
        <v>1506</v>
      </c>
      <c r="D331" t="s">
        <v>1507</v>
      </c>
      <c r="E331" t="s">
        <v>1571</v>
      </c>
      <c r="F331" t="s">
        <v>1572</v>
      </c>
      <c r="G331" t="s">
        <v>2260</v>
      </c>
      <c r="H331">
        <v>0</v>
      </c>
      <c r="I331">
        <v>0.13900000000000001</v>
      </c>
      <c r="J331">
        <v>128</v>
      </c>
    </row>
    <row r="332" spans="1:10" x14ac:dyDescent="0.2">
      <c r="A332" t="s">
        <v>638</v>
      </c>
      <c r="B332" t="s">
        <v>2261</v>
      </c>
      <c r="C332" t="s">
        <v>1506</v>
      </c>
      <c r="D332" t="s">
        <v>1507</v>
      </c>
      <c r="E332" t="s">
        <v>1692</v>
      </c>
      <c r="F332" t="s">
        <v>1693</v>
      </c>
      <c r="G332" t="s">
        <v>2262</v>
      </c>
      <c r="H332">
        <v>0</v>
      </c>
      <c r="I332">
        <v>0.13800000000000001</v>
      </c>
      <c r="J332">
        <v>128</v>
      </c>
    </row>
    <row r="333" spans="1:10" x14ac:dyDescent="0.2">
      <c r="A333" t="s">
        <v>638</v>
      </c>
      <c r="B333" t="s">
        <v>2263</v>
      </c>
      <c r="C333" t="s">
        <v>1506</v>
      </c>
      <c r="D333" t="s">
        <v>1507</v>
      </c>
      <c r="E333" t="s">
        <v>1692</v>
      </c>
      <c r="F333" t="s">
        <v>1693</v>
      </c>
      <c r="G333" t="s">
        <v>2264</v>
      </c>
      <c r="H333">
        <v>0</v>
      </c>
      <c r="I333">
        <v>0.13700000000000001</v>
      </c>
      <c r="J333">
        <v>129</v>
      </c>
    </row>
    <row r="334" spans="1:10" x14ac:dyDescent="0.2">
      <c r="A334" t="s">
        <v>638</v>
      </c>
      <c r="B334" t="s">
        <v>2265</v>
      </c>
      <c r="C334" t="s">
        <v>1506</v>
      </c>
      <c r="D334" t="s">
        <v>1507</v>
      </c>
      <c r="E334" t="s">
        <v>1586</v>
      </c>
      <c r="F334" t="s">
        <v>2266</v>
      </c>
      <c r="G334" t="s">
        <v>2267</v>
      </c>
      <c r="H334">
        <v>0</v>
      </c>
      <c r="I334">
        <v>0.129</v>
      </c>
      <c r="J334">
        <v>128</v>
      </c>
    </row>
    <row r="335" spans="1:10" x14ac:dyDescent="0.2">
      <c r="A335" t="s">
        <v>638</v>
      </c>
      <c r="B335" t="s">
        <v>2268</v>
      </c>
      <c r="C335" t="s">
        <v>1506</v>
      </c>
      <c r="D335" t="s">
        <v>1507</v>
      </c>
      <c r="E335" t="s">
        <v>1586</v>
      </c>
      <c r="F335" t="s">
        <v>2266</v>
      </c>
      <c r="G335" t="s">
        <v>2267</v>
      </c>
      <c r="H335">
        <v>0</v>
      </c>
      <c r="I335">
        <v>0.129</v>
      </c>
      <c r="J335">
        <v>128</v>
      </c>
    </row>
    <row r="336" spans="1:10" x14ac:dyDescent="0.2">
      <c r="A336" t="s">
        <v>638</v>
      </c>
      <c r="B336" t="s">
        <v>2269</v>
      </c>
      <c r="C336" t="s">
        <v>1506</v>
      </c>
      <c r="D336" t="s">
        <v>1507</v>
      </c>
      <c r="E336" t="s">
        <v>8</v>
      </c>
      <c r="F336" t="s">
        <v>2044</v>
      </c>
      <c r="G336" t="s">
        <v>2270</v>
      </c>
      <c r="H336">
        <v>0</v>
      </c>
      <c r="I336">
        <v>0.12</v>
      </c>
      <c r="J336">
        <v>128</v>
      </c>
    </row>
    <row r="337" spans="1:10" x14ac:dyDescent="0.2">
      <c r="A337" t="s">
        <v>638</v>
      </c>
      <c r="B337" t="s">
        <v>2271</v>
      </c>
      <c r="C337" t="s">
        <v>1506</v>
      </c>
      <c r="D337" t="s">
        <v>1507</v>
      </c>
      <c r="E337" t="s">
        <v>2055</v>
      </c>
      <c r="F337" t="s">
        <v>2056</v>
      </c>
      <c r="G337" t="s">
        <v>2272</v>
      </c>
      <c r="H337">
        <v>0</v>
      </c>
      <c r="I337">
        <v>0.11799999999999999</v>
      </c>
      <c r="J337">
        <v>128</v>
      </c>
    </row>
    <row r="338" spans="1:10" x14ac:dyDescent="0.2">
      <c r="A338" t="s">
        <v>638</v>
      </c>
      <c r="B338" t="s">
        <v>2273</v>
      </c>
      <c r="C338" t="s">
        <v>1506</v>
      </c>
      <c r="D338" t="s">
        <v>1507</v>
      </c>
      <c r="E338" t="s">
        <v>2055</v>
      </c>
      <c r="F338" t="s">
        <v>2056</v>
      </c>
      <c r="G338" t="s">
        <v>2274</v>
      </c>
      <c r="H338">
        <v>0</v>
      </c>
      <c r="I338">
        <v>0.11799999999999999</v>
      </c>
      <c r="J338">
        <v>128</v>
      </c>
    </row>
    <row r="339" spans="1:10" x14ac:dyDescent="0.2">
      <c r="A339" t="s">
        <v>638</v>
      </c>
      <c r="B339" t="s">
        <v>2275</v>
      </c>
      <c r="C339" t="s">
        <v>1506</v>
      </c>
      <c r="D339" t="s">
        <v>1507</v>
      </c>
      <c r="E339" t="s">
        <v>2055</v>
      </c>
      <c r="F339" t="s">
        <v>2056</v>
      </c>
      <c r="G339" t="s">
        <v>2274</v>
      </c>
      <c r="H339">
        <v>0</v>
      </c>
      <c r="I339">
        <v>0.11799999999999999</v>
      </c>
      <c r="J339">
        <v>128</v>
      </c>
    </row>
    <row r="340" spans="1:10" x14ac:dyDescent="0.2">
      <c r="A340" t="s">
        <v>638</v>
      </c>
      <c r="B340" t="s">
        <v>2276</v>
      </c>
      <c r="C340" t="s">
        <v>1506</v>
      </c>
      <c r="D340" t="s">
        <v>1507</v>
      </c>
      <c r="E340" t="s">
        <v>2055</v>
      </c>
      <c r="F340" t="s">
        <v>2056</v>
      </c>
      <c r="G340" t="s">
        <v>2277</v>
      </c>
      <c r="H340">
        <v>0</v>
      </c>
      <c r="I340">
        <v>0.11799999999999999</v>
      </c>
      <c r="J340">
        <v>128</v>
      </c>
    </row>
    <row r="341" spans="1:10" x14ac:dyDescent="0.2">
      <c r="A341" t="s">
        <v>638</v>
      </c>
      <c r="B341" t="s">
        <v>2278</v>
      </c>
      <c r="C341" t="s">
        <v>1506</v>
      </c>
      <c r="D341" t="s">
        <v>1507</v>
      </c>
      <c r="E341" t="s">
        <v>2055</v>
      </c>
      <c r="F341" t="s">
        <v>2056</v>
      </c>
      <c r="G341" t="s">
        <v>2277</v>
      </c>
      <c r="H341">
        <v>0</v>
      </c>
      <c r="I341">
        <v>0.11799999999999999</v>
      </c>
      <c r="J341">
        <v>128</v>
      </c>
    </row>
    <row r="342" spans="1:10" x14ac:dyDescent="0.2">
      <c r="A342" t="s">
        <v>638</v>
      </c>
      <c r="B342" t="s">
        <v>2279</v>
      </c>
      <c r="C342" t="s">
        <v>1506</v>
      </c>
      <c r="D342" t="s">
        <v>1507</v>
      </c>
      <c r="E342" t="s">
        <v>1519</v>
      </c>
      <c r="F342" t="s">
        <v>1520</v>
      </c>
      <c r="G342" t="s">
        <v>2280</v>
      </c>
      <c r="H342">
        <v>0</v>
      </c>
      <c r="I342">
        <v>0.10100000000000001</v>
      </c>
      <c r="J342">
        <v>128</v>
      </c>
    </row>
    <row r="343" spans="1:10" x14ac:dyDescent="0.2">
      <c r="A343" t="s">
        <v>638</v>
      </c>
      <c r="B343" t="s">
        <v>2281</v>
      </c>
      <c r="C343" t="s">
        <v>1506</v>
      </c>
      <c r="D343" t="s">
        <v>1507</v>
      </c>
      <c r="E343" t="s">
        <v>1508</v>
      </c>
      <c r="F343" t="s">
        <v>1509</v>
      </c>
      <c r="G343" t="s">
        <v>2282</v>
      </c>
      <c r="H343">
        <v>0</v>
      </c>
      <c r="I343">
        <v>9.9000000000000005E-2</v>
      </c>
      <c r="J343">
        <v>129</v>
      </c>
    </row>
    <row r="344" spans="1:10" x14ac:dyDescent="0.2">
      <c r="A344" t="s">
        <v>638</v>
      </c>
      <c r="B344" t="s">
        <v>2283</v>
      </c>
      <c r="C344" t="s">
        <v>1506</v>
      </c>
      <c r="D344" t="s">
        <v>1507</v>
      </c>
      <c r="E344" t="s">
        <v>1596</v>
      </c>
      <c r="F344" t="s">
        <v>2072</v>
      </c>
      <c r="G344" t="s">
        <v>2284</v>
      </c>
      <c r="H344">
        <v>0</v>
      </c>
      <c r="I344">
        <v>0.09</v>
      </c>
      <c r="J344">
        <v>129</v>
      </c>
    </row>
    <row r="345" spans="1:10" x14ac:dyDescent="0.2">
      <c r="A345" t="s">
        <v>638</v>
      </c>
      <c r="B345" t="s">
        <v>2285</v>
      </c>
      <c r="C345" t="s">
        <v>1506</v>
      </c>
      <c r="D345" t="s">
        <v>1507</v>
      </c>
      <c r="E345" t="s">
        <v>1596</v>
      </c>
      <c r="F345" t="s">
        <v>2072</v>
      </c>
      <c r="G345" t="s">
        <v>2284</v>
      </c>
      <c r="H345">
        <v>0</v>
      </c>
      <c r="I345">
        <v>0.09</v>
      </c>
      <c r="J345">
        <v>129</v>
      </c>
    </row>
    <row r="346" spans="1:10" x14ac:dyDescent="0.2">
      <c r="A346" t="s">
        <v>638</v>
      </c>
      <c r="B346" t="s">
        <v>2286</v>
      </c>
      <c r="C346" t="s">
        <v>1506</v>
      </c>
      <c r="D346" t="s">
        <v>1507</v>
      </c>
      <c r="E346" t="s">
        <v>2004</v>
      </c>
      <c r="F346" t="s">
        <v>2005</v>
      </c>
      <c r="G346" t="s">
        <v>2287</v>
      </c>
      <c r="H346">
        <v>0</v>
      </c>
      <c r="I346">
        <v>8.1000000000000003E-2</v>
      </c>
      <c r="J346">
        <v>128</v>
      </c>
    </row>
    <row r="347" spans="1:10" x14ac:dyDescent="0.2">
      <c r="A347" t="s">
        <v>638</v>
      </c>
      <c r="B347" t="s">
        <v>2288</v>
      </c>
      <c r="C347" t="s">
        <v>1506</v>
      </c>
      <c r="D347" t="s">
        <v>1507</v>
      </c>
      <c r="E347" t="s">
        <v>2004</v>
      </c>
      <c r="F347" t="s">
        <v>2005</v>
      </c>
      <c r="G347" t="s">
        <v>2289</v>
      </c>
      <c r="H347">
        <v>0</v>
      </c>
      <c r="I347">
        <v>8.1000000000000003E-2</v>
      </c>
      <c r="J347">
        <v>128</v>
      </c>
    </row>
    <row r="348" spans="1:10" x14ac:dyDescent="0.2">
      <c r="A348" t="s">
        <v>638</v>
      </c>
      <c r="B348" t="s">
        <v>2290</v>
      </c>
      <c r="C348" t="s">
        <v>1506</v>
      </c>
      <c r="D348" t="s">
        <v>1507</v>
      </c>
      <c r="E348" t="s">
        <v>2004</v>
      </c>
      <c r="F348" t="s">
        <v>2005</v>
      </c>
      <c r="G348" t="s">
        <v>2291</v>
      </c>
      <c r="H348">
        <v>0</v>
      </c>
      <c r="I348">
        <v>8.1000000000000003E-2</v>
      </c>
      <c r="J348">
        <v>128</v>
      </c>
    </row>
    <row r="349" spans="1:10" x14ac:dyDescent="0.2">
      <c r="A349" t="s">
        <v>638</v>
      </c>
      <c r="B349" t="s">
        <v>2292</v>
      </c>
      <c r="C349" t="s">
        <v>1506</v>
      </c>
      <c r="D349" t="s">
        <v>1507</v>
      </c>
      <c r="E349" t="s">
        <v>1508</v>
      </c>
      <c r="F349" t="s">
        <v>1509</v>
      </c>
      <c r="G349" t="s">
        <v>2293</v>
      </c>
      <c r="H349">
        <v>0</v>
      </c>
      <c r="I349">
        <v>7.9000000000000001E-2</v>
      </c>
      <c r="J349">
        <v>129</v>
      </c>
    </row>
    <row r="350" spans="1:10" x14ac:dyDescent="0.2">
      <c r="A350" t="s">
        <v>638</v>
      </c>
      <c r="B350" t="s">
        <v>2294</v>
      </c>
      <c r="C350" t="s">
        <v>1506</v>
      </c>
      <c r="D350" t="s">
        <v>1507</v>
      </c>
      <c r="E350" t="s">
        <v>1508</v>
      </c>
      <c r="F350" t="s">
        <v>1509</v>
      </c>
      <c r="G350" t="s">
        <v>2295</v>
      </c>
      <c r="H350">
        <v>0</v>
      </c>
      <c r="I350">
        <v>7.9000000000000001E-2</v>
      </c>
      <c r="J350">
        <v>129</v>
      </c>
    </row>
    <row r="351" spans="1:10" x14ac:dyDescent="0.2">
      <c r="A351" t="s">
        <v>638</v>
      </c>
      <c r="B351" t="s">
        <v>2296</v>
      </c>
      <c r="C351" t="s">
        <v>1506</v>
      </c>
      <c r="D351" t="s">
        <v>1507</v>
      </c>
      <c r="E351" t="s">
        <v>1508</v>
      </c>
      <c r="F351" t="s">
        <v>1509</v>
      </c>
      <c r="G351" t="s">
        <v>2297</v>
      </c>
      <c r="H351">
        <v>0</v>
      </c>
      <c r="I351">
        <v>7.9000000000000001E-2</v>
      </c>
      <c r="J351">
        <v>128</v>
      </c>
    </row>
    <row r="352" spans="1:10" x14ac:dyDescent="0.2">
      <c r="A352" t="s">
        <v>638</v>
      </c>
      <c r="B352" t="s">
        <v>2298</v>
      </c>
      <c r="C352" t="s">
        <v>1506</v>
      </c>
      <c r="D352" t="s">
        <v>1507</v>
      </c>
      <c r="E352" t="s">
        <v>8</v>
      </c>
      <c r="F352" t="s">
        <v>2299</v>
      </c>
      <c r="G352" t="s">
        <v>2300</v>
      </c>
      <c r="H352">
        <v>0</v>
      </c>
      <c r="I352">
        <v>7.3999999999999996E-2</v>
      </c>
      <c r="J352">
        <v>128</v>
      </c>
    </row>
    <row r="353" spans="1:10" x14ac:dyDescent="0.2">
      <c r="A353" t="s">
        <v>638</v>
      </c>
      <c r="B353" t="s">
        <v>2301</v>
      </c>
      <c r="C353" t="s">
        <v>1506</v>
      </c>
      <c r="D353" t="s">
        <v>1507</v>
      </c>
      <c r="E353" t="s">
        <v>8</v>
      </c>
      <c r="F353" t="s">
        <v>2302</v>
      </c>
      <c r="G353" t="s">
        <v>2303</v>
      </c>
      <c r="H353">
        <v>0</v>
      </c>
      <c r="I353">
        <v>7.2999999999999995E-2</v>
      </c>
      <c r="J353">
        <v>128</v>
      </c>
    </row>
    <row r="354" spans="1:10" x14ac:dyDescent="0.2">
      <c r="A354" t="s">
        <v>638</v>
      </c>
      <c r="B354" t="s">
        <v>2304</v>
      </c>
      <c r="C354" t="s">
        <v>1506</v>
      </c>
      <c r="D354" t="s">
        <v>1507</v>
      </c>
      <c r="E354" t="s">
        <v>1586</v>
      </c>
      <c r="F354" t="s">
        <v>2305</v>
      </c>
      <c r="G354" t="s">
        <v>2306</v>
      </c>
      <c r="H354">
        <v>0</v>
      </c>
      <c r="I354">
        <v>7.1999999999999995E-2</v>
      </c>
      <c r="J354">
        <v>128</v>
      </c>
    </row>
    <row r="355" spans="1:10" x14ac:dyDescent="0.2">
      <c r="A355" t="s">
        <v>638</v>
      </c>
      <c r="B355" t="s">
        <v>2307</v>
      </c>
      <c r="C355" t="s">
        <v>1506</v>
      </c>
      <c r="D355" t="s">
        <v>1507</v>
      </c>
      <c r="E355" t="s">
        <v>1658</v>
      </c>
      <c r="F355" t="s">
        <v>1973</v>
      </c>
      <c r="G355" t="s">
        <v>2308</v>
      </c>
      <c r="H355">
        <v>0</v>
      </c>
      <c r="I355">
        <v>7.0999999999999994E-2</v>
      </c>
      <c r="J355">
        <v>127</v>
      </c>
    </row>
    <row r="356" spans="1:10" x14ac:dyDescent="0.2">
      <c r="A356" t="s">
        <v>638</v>
      </c>
      <c r="B356" t="s">
        <v>2309</v>
      </c>
      <c r="C356" t="s">
        <v>1506</v>
      </c>
      <c r="D356" t="s">
        <v>1507</v>
      </c>
      <c r="E356" t="s">
        <v>1658</v>
      </c>
      <c r="F356" t="s">
        <v>1973</v>
      </c>
      <c r="G356" t="s">
        <v>2308</v>
      </c>
      <c r="H356">
        <v>0</v>
      </c>
      <c r="I356">
        <v>7.0999999999999994E-2</v>
      </c>
      <c r="J356">
        <v>127</v>
      </c>
    </row>
    <row r="357" spans="1:10" x14ac:dyDescent="0.2">
      <c r="A357" t="s">
        <v>638</v>
      </c>
      <c r="B357" t="s">
        <v>2310</v>
      </c>
      <c r="C357" t="s">
        <v>1506</v>
      </c>
      <c r="D357" t="s">
        <v>1507</v>
      </c>
      <c r="E357" t="s">
        <v>1789</v>
      </c>
      <c r="F357" t="s">
        <v>2170</v>
      </c>
      <c r="G357" t="s">
        <v>2311</v>
      </c>
      <c r="H357">
        <v>0</v>
      </c>
      <c r="I357">
        <v>6.8000000000000005E-2</v>
      </c>
      <c r="J357">
        <v>128</v>
      </c>
    </row>
    <row r="358" spans="1:10" x14ac:dyDescent="0.2">
      <c r="A358" t="s">
        <v>638</v>
      </c>
      <c r="B358" t="s">
        <v>2312</v>
      </c>
      <c r="C358" t="s">
        <v>1506</v>
      </c>
      <c r="D358" t="s">
        <v>1507</v>
      </c>
      <c r="E358" t="s">
        <v>1789</v>
      </c>
      <c r="F358" t="s">
        <v>2170</v>
      </c>
      <c r="G358" t="s">
        <v>2313</v>
      </c>
      <c r="H358">
        <v>0</v>
      </c>
      <c r="I358">
        <v>6.8000000000000005E-2</v>
      </c>
      <c r="J358">
        <v>128</v>
      </c>
    </row>
    <row r="359" spans="1:10" x14ac:dyDescent="0.2">
      <c r="A359" t="s">
        <v>638</v>
      </c>
      <c r="B359" t="s">
        <v>2314</v>
      </c>
      <c r="C359" t="s">
        <v>1506</v>
      </c>
      <c r="D359" t="s">
        <v>1507</v>
      </c>
      <c r="E359" t="s">
        <v>1556</v>
      </c>
      <c r="F359" t="s">
        <v>2315</v>
      </c>
      <c r="G359" t="s">
        <v>2316</v>
      </c>
      <c r="H359">
        <v>0</v>
      </c>
      <c r="I359">
        <v>6.2E-2</v>
      </c>
      <c r="J359">
        <v>128</v>
      </c>
    </row>
    <row r="360" spans="1:10" x14ac:dyDescent="0.2">
      <c r="A360" t="s">
        <v>638</v>
      </c>
      <c r="B360" t="s">
        <v>2317</v>
      </c>
      <c r="C360" t="s">
        <v>1506</v>
      </c>
      <c r="D360" t="s">
        <v>1507</v>
      </c>
      <c r="E360" t="s">
        <v>1633</v>
      </c>
      <c r="F360" t="s">
        <v>1832</v>
      </c>
      <c r="G360" t="s">
        <v>2318</v>
      </c>
      <c r="H360">
        <v>0</v>
      </c>
      <c r="I360">
        <v>6.2E-2</v>
      </c>
      <c r="J360">
        <v>128</v>
      </c>
    </row>
    <row r="361" spans="1:10" x14ac:dyDescent="0.2">
      <c r="A361" t="s">
        <v>638</v>
      </c>
      <c r="B361" t="s">
        <v>2319</v>
      </c>
      <c r="C361" t="s">
        <v>1506</v>
      </c>
      <c r="D361" t="s">
        <v>1507</v>
      </c>
      <c r="E361" t="s">
        <v>1633</v>
      </c>
      <c r="F361" t="s">
        <v>1832</v>
      </c>
      <c r="G361" t="s">
        <v>2318</v>
      </c>
      <c r="H361">
        <v>0</v>
      </c>
      <c r="I361">
        <v>6.2E-2</v>
      </c>
      <c r="J361">
        <v>128</v>
      </c>
    </row>
    <row r="362" spans="1:10" x14ac:dyDescent="0.2">
      <c r="A362" t="s">
        <v>638</v>
      </c>
      <c r="B362" t="s">
        <v>2320</v>
      </c>
      <c r="C362" t="s">
        <v>1506</v>
      </c>
      <c r="D362" t="s">
        <v>1507</v>
      </c>
      <c r="E362" t="s">
        <v>1531</v>
      </c>
      <c r="F362" t="s">
        <v>2321</v>
      </c>
      <c r="G362" t="s">
        <v>2322</v>
      </c>
      <c r="H362">
        <v>0</v>
      </c>
      <c r="I362">
        <v>6.2E-2</v>
      </c>
      <c r="J362">
        <v>128</v>
      </c>
    </row>
    <row r="363" spans="1:10" x14ac:dyDescent="0.2">
      <c r="A363" t="s">
        <v>638</v>
      </c>
      <c r="B363" t="s">
        <v>2323</v>
      </c>
      <c r="C363" t="s">
        <v>1506</v>
      </c>
      <c r="D363" t="s">
        <v>1507</v>
      </c>
      <c r="E363" t="s">
        <v>1633</v>
      </c>
      <c r="F363" t="s">
        <v>1634</v>
      </c>
      <c r="G363" t="s">
        <v>2324</v>
      </c>
      <c r="H363">
        <v>0</v>
      </c>
      <c r="I363">
        <v>6.2E-2</v>
      </c>
      <c r="J363">
        <v>128</v>
      </c>
    </row>
    <row r="364" spans="1:10" x14ac:dyDescent="0.2">
      <c r="A364" t="s">
        <v>638</v>
      </c>
      <c r="B364" t="s">
        <v>2325</v>
      </c>
      <c r="C364" t="s">
        <v>1506</v>
      </c>
      <c r="D364" t="s">
        <v>1507</v>
      </c>
      <c r="E364" t="s">
        <v>1633</v>
      </c>
      <c r="F364" t="s">
        <v>1634</v>
      </c>
      <c r="G364" t="s">
        <v>2326</v>
      </c>
      <c r="H364">
        <v>0</v>
      </c>
      <c r="I364">
        <v>6.2E-2</v>
      </c>
      <c r="J364">
        <v>128</v>
      </c>
    </row>
    <row r="365" spans="1:10" x14ac:dyDescent="0.2">
      <c r="A365" t="s">
        <v>638</v>
      </c>
      <c r="B365" t="s">
        <v>2327</v>
      </c>
      <c r="C365" t="s">
        <v>1506</v>
      </c>
      <c r="D365" t="s">
        <v>1507</v>
      </c>
      <c r="E365" t="s">
        <v>8</v>
      </c>
      <c r="F365" t="s">
        <v>2302</v>
      </c>
      <c r="G365" t="s">
        <v>2328</v>
      </c>
      <c r="H365">
        <v>0</v>
      </c>
      <c r="I365">
        <v>6.2E-2</v>
      </c>
      <c r="J365">
        <v>128</v>
      </c>
    </row>
    <row r="366" spans="1:10" x14ac:dyDescent="0.2">
      <c r="A366" t="s">
        <v>638</v>
      </c>
      <c r="B366" t="s">
        <v>2329</v>
      </c>
      <c r="C366" t="s">
        <v>1506</v>
      </c>
      <c r="D366" t="s">
        <v>1507</v>
      </c>
      <c r="E366" t="s">
        <v>1523</v>
      </c>
      <c r="F366" t="s">
        <v>1916</v>
      </c>
      <c r="G366" t="s">
        <v>2330</v>
      </c>
      <c r="H366">
        <v>0</v>
      </c>
      <c r="I366">
        <v>5.8999999999999997E-2</v>
      </c>
      <c r="J366">
        <v>128</v>
      </c>
    </row>
    <row r="367" spans="1:10" x14ac:dyDescent="0.2">
      <c r="A367" t="s">
        <v>638</v>
      </c>
      <c r="B367" t="s">
        <v>2331</v>
      </c>
      <c r="C367" t="s">
        <v>1506</v>
      </c>
      <c r="D367" t="s">
        <v>1507</v>
      </c>
      <c r="E367" t="s">
        <v>1511</v>
      </c>
      <c r="F367" t="s">
        <v>2332</v>
      </c>
      <c r="G367" t="s">
        <v>2333</v>
      </c>
      <c r="H367">
        <v>0</v>
      </c>
      <c r="I367">
        <v>5.8999999999999997E-2</v>
      </c>
      <c r="J367">
        <v>128</v>
      </c>
    </row>
    <row r="368" spans="1:10" x14ac:dyDescent="0.2">
      <c r="A368" t="s">
        <v>638</v>
      </c>
      <c r="B368" t="s">
        <v>2334</v>
      </c>
      <c r="C368" t="s">
        <v>1506</v>
      </c>
      <c r="D368" t="s">
        <v>1507</v>
      </c>
      <c r="E368" t="s">
        <v>1511</v>
      </c>
      <c r="F368" t="s">
        <v>2332</v>
      </c>
      <c r="G368" t="s">
        <v>2335</v>
      </c>
      <c r="H368">
        <v>0</v>
      </c>
      <c r="I368">
        <v>5.8999999999999997E-2</v>
      </c>
      <c r="J368">
        <v>128</v>
      </c>
    </row>
    <row r="369" spans="1:10" x14ac:dyDescent="0.2">
      <c r="A369" t="s">
        <v>638</v>
      </c>
      <c r="B369" t="s">
        <v>2336</v>
      </c>
      <c r="C369" t="s">
        <v>1506</v>
      </c>
      <c r="D369" t="s">
        <v>1507</v>
      </c>
      <c r="E369" t="s">
        <v>1511</v>
      </c>
      <c r="F369" t="s">
        <v>2332</v>
      </c>
      <c r="G369" t="s">
        <v>2337</v>
      </c>
      <c r="H369">
        <v>0</v>
      </c>
      <c r="I369">
        <v>5.8999999999999997E-2</v>
      </c>
      <c r="J369">
        <v>128</v>
      </c>
    </row>
    <row r="370" spans="1:10" x14ac:dyDescent="0.2">
      <c r="A370" t="s">
        <v>638</v>
      </c>
      <c r="B370" t="s">
        <v>2338</v>
      </c>
      <c r="C370" t="s">
        <v>1506</v>
      </c>
      <c r="D370" t="s">
        <v>1507</v>
      </c>
      <c r="E370" t="s">
        <v>1511</v>
      </c>
      <c r="F370" t="s">
        <v>2332</v>
      </c>
      <c r="G370" t="s">
        <v>2339</v>
      </c>
      <c r="H370">
        <v>0</v>
      </c>
      <c r="I370">
        <v>5.8999999999999997E-2</v>
      </c>
      <c r="J370">
        <v>128</v>
      </c>
    </row>
    <row r="371" spans="1:10" x14ac:dyDescent="0.2">
      <c r="A371" t="s">
        <v>638</v>
      </c>
      <c r="B371" t="s">
        <v>2340</v>
      </c>
      <c r="C371" t="s">
        <v>1506</v>
      </c>
      <c r="D371" t="s">
        <v>1507</v>
      </c>
      <c r="E371" t="s">
        <v>1511</v>
      </c>
      <c r="F371" t="s">
        <v>2332</v>
      </c>
      <c r="G371" t="s">
        <v>2339</v>
      </c>
      <c r="H371">
        <v>0</v>
      </c>
      <c r="I371">
        <v>5.8999999999999997E-2</v>
      </c>
      <c r="J371">
        <v>128</v>
      </c>
    </row>
    <row r="372" spans="1:10" x14ac:dyDescent="0.2">
      <c r="A372" t="s">
        <v>638</v>
      </c>
      <c r="B372" t="s">
        <v>2341</v>
      </c>
      <c r="C372" t="s">
        <v>1506</v>
      </c>
      <c r="D372" t="s">
        <v>1507</v>
      </c>
      <c r="E372" t="s">
        <v>1511</v>
      </c>
      <c r="F372" t="s">
        <v>2332</v>
      </c>
      <c r="G372" t="s">
        <v>2342</v>
      </c>
      <c r="H372">
        <v>0</v>
      </c>
      <c r="I372">
        <v>5.8999999999999997E-2</v>
      </c>
      <c r="J372">
        <v>128</v>
      </c>
    </row>
    <row r="373" spans="1:10" x14ac:dyDescent="0.2">
      <c r="A373" t="s">
        <v>638</v>
      </c>
      <c r="B373" t="s">
        <v>2343</v>
      </c>
      <c r="C373" t="s">
        <v>1506</v>
      </c>
      <c r="D373" t="s">
        <v>1507</v>
      </c>
      <c r="E373" t="s">
        <v>1511</v>
      </c>
      <c r="F373" t="s">
        <v>2332</v>
      </c>
      <c r="G373" t="s">
        <v>2342</v>
      </c>
      <c r="H373">
        <v>0</v>
      </c>
      <c r="I373">
        <v>5.8999999999999997E-2</v>
      </c>
      <c r="J373">
        <v>128</v>
      </c>
    </row>
    <row r="374" spans="1:10" x14ac:dyDescent="0.2">
      <c r="A374" t="s">
        <v>638</v>
      </c>
      <c r="B374" t="s">
        <v>2344</v>
      </c>
      <c r="C374" t="s">
        <v>1506</v>
      </c>
      <c r="D374" t="s">
        <v>1507</v>
      </c>
      <c r="E374" t="s">
        <v>1511</v>
      </c>
      <c r="F374" t="s">
        <v>2332</v>
      </c>
      <c r="G374" t="s">
        <v>2345</v>
      </c>
      <c r="H374">
        <v>0</v>
      </c>
      <c r="I374">
        <v>5.8999999999999997E-2</v>
      </c>
      <c r="J374">
        <v>128</v>
      </c>
    </row>
    <row r="375" spans="1:10" x14ac:dyDescent="0.2">
      <c r="A375" t="s">
        <v>638</v>
      </c>
      <c r="B375" t="s">
        <v>2346</v>
      </c>
      <c r="C375" t="s">
        <v>1506</v>
      </c>
      <c r="D375" t="s">
        <v>1507</v>
      </c>
      <c r="E375" t="s">
        <v>1515</v>
      </c>
      <c r="F375" t="s">
        <v>1516</v>
      </c>
      <c r="G375" t="s">
        <v>2347</v>
      </c>
      <c r="H375">
        <v>0</v>
      </c>
      <c r="I375">
        <v>5.7000000000000002E-2</v>
      </c>
      <c r="J375">
        <v>128</v>
      </c>
    </row>
    <row r="376" spans="1:10" x14ac:dyDescent="0.2">
      <c r="A376" t="s">
        <v>638</v>
      </c>
      <c r="B376" t="s">
        <v>2348</v>
      </c>
      <c r="C376" t="s">
        <v>1506</v>
      </c>
      <c r="D376" t="s">
        <v>1507</v>
      </c>
      <c r="E376" t="s">
        <v>1508</v>
      </c>
      <c r="F376" t="s">
        <v>1509</v>
      </c>
      <c r="G376" t="s">
        <v>2349</v>
      </c>
      <c r="H376">
        <v>0</v>
      </c>
      <c r="I376">
        <v>5.3999999999999999E-2</v>
      </c>
      <c r="J376">
        <v>128</v>
      </c>
    </row>
    <row r="377" spans="1:10" x14ac:dyDescent="0.2">
      <c r="A377" t="s">
        <v>638</v>
      </c>
      <c r="B377" t="s">
        <v>2350</v>
      </c>
      <c r="C377" t="s">
        <v>1506</v>
      </c>
      <c r="D377" t="s">
        <v>1507</v>
      </c>
      <c r="E377" t="s">
        <v>1508</v>
      </c>
      <c r="F377" t="s">
        <v>1509</v>
      </c>
      <c r="G377" t="s">
        <v>2351</v>
      </c>
      <c r="H377">
        <v>0</v>
      </c>
      <c r="I377">
        <v>5.3999999999999999E-2</v>
      </c>
      <c r="J377">
        <v>128</v>
      </c>
    </row>
    <row r="378" spans="1:10" x14ac:dyDescent="0.2">
      <c r="A378" t="s">
        <v>638</v>
      </c>
      <c r="B378" t="s">
        <v>2352</v>
      </c>
      <c r="C378" t="s">
        <v>1506</v>
      </c>
      <c r="D378" t="s">
        <v>1507</v>
      </c>
      <c r="E378" t="s">
        <v>1508</v>
      </c>
      <c r="F378" t="s">
        <v>1509</v>
      </c>
      <c r="G378" t="s">
        <v>2353</v>
      </c>
      <c r="H378">
        <v>0</v>
      </c>
      <c r="I378">
        <v>5.3999999999999999E-2</v>
      </c>
      <c r="J378">
        <v>128</v>
      </c>
    </row>
    <row r="379" spans="1:10" x14ac:dyDescent="0.2">
      <c r="A379" t="s">
        <v>638</v>
      </c>
      <c r="B379" t="s">
        <v>2354</v>
      </c>
      <c r="C379" t="s">
        <v>1506</v>
      </c>
      <c r="D379" t="s">
        <v>1507</v>
      </c>
      <c r="E379" t="s">
        <v>1544</v>
      </c>
      <c r="F379" t="s">
        <v>1545</v>
      </c>
      <c r="G379" t="s">
        <v>2355</v>
      </c>
      <c r="H379">
        <v>0</v>
      </c>
      <c r="I379">
        <v>5.2999999999999999E-2</v>
      </c>
      <c r="J379">
        <v>129</v>
      </c>
    </row>
    <row r="380" spans="1:10" x14ac:dyDescent="0.2">
      <c r="A380" t="s">
        <v>638</v>
      </c>
      <c r="B380" t="s">
        <v>2356</v>
      </c>
      <c r="C380" t="s">
        <v>1506</v>
      </c>
      <c r="D380" t="s">
        <v>1507</v>
      </c>
      <c r="E380" t="s">
        <v>2357</v>
      </c>
      <c r="F380" t="s">
        <v>2358</v>
      </c>
      <c r="G380" t="s">
        <v>2359</v>
      </c>
      <c r="H380">
        <v>0</v>
      </c>
      <c r="I380">
        <v>5.2999999999999999E-2</v>
      </c>
      <c r="J380">
        <v>128</v>
      </c>
    </row>
    <row r="381" spans="1:10" x14ac:dyDescent="0.2">
      <c r="A381" t="s">
        <v>638</v>
      </c>
      <c r="B381" t="s">
        <v>2360</v>
      </c>
      <c r="C381" t="s">
        <v>1506</v>
      </c>
      <c r="D381" t="s">
        <v>1507</v>
      </c>
      <c r="E381" t="s">
        <v>1544</v>
      </c>
      <c r="F381" t="s">
        <v>1545</v>
      </c>
      <c r="G381" t="s">
        <v>2361</v>
      </c>
      <c r="H381">
        <v>0</v>
      </c>
      <c r="I381">
        <v>5.2999999999999999E-2</v>
      </c>
      <c r="J381">
        <v>128</v>
      </c>
    </row>
    <row r="382" spans="1:10" x14ac:dyDescent="0.2">
      <c r="A382" t="s">
        <v>638</v>
      </c>
      <c r="B382" t="s">
        <v>2362</v>
      </c>
      <c r="C382" t="s">
        <v>1506</v>
      </c>
      <c r="D382" t="s">
        <v>1507</v>
      </c>
      <c r="E382" t="s">
        <v>1544</v>
      </c>
      <c r="F382" t="s">
        <v>1545</v>
      </c>
      <c r="G382" t="s">
        <v>2361</v>
      </c>
      <c r="H382">
        <v>0</v>
      </c>
      <c r="I382">
        <v>5.2999999999999999E-2</v>
      </c>
      <c r="J382">
        <v>128</v>
      </c>
    </row>
    <row r="383" spans="1:10" x14ac:dyDescent="0.2">
      <c r="A383" t="s">
        <v>638</v>
      </c>
      <c r="B383" t="s">
        <v>2363</v>
      </c>
      <c r="C383" t="s">
        <v>1506</v>
      </c>
      <c r="D383" t="s">
        <v>1507</v>
      </c>
      <c r="E383" t="s">
        <v>1544</v>
      </c>
      <c r="F383" t="s">
        <v>1545</v>
      </c>
      <c r="G383" t="s">
        <v>2361</v>
      </c>
      <c r="H383">
        <v>0</v>
      </c>
      <c r="I383">
        <v>5.2999999999999999E-2</v>
      </c>
      <c r="J383">
        <v>128</v>
      </c>
    </row>
    <row r="384" spans="1:10" x14ac:dyDescent="0.2">
      <c r="A384" t="s">
        <v>638</v>
      </c>
      <c r="B384" t="s">
        <v>2364</v>
      </c>
      <c r="C384" t="s">
        <v>1506</v>
      </c>
      <c r="D384" t="s">
        <v>1507</v>
      </c>
      <c r="E384" t="s">
        <v>1544</v>
      </c>
      <c r="F384" t="s">
        <v>1545</v>
      </c>
      <c r="G384" t="s">
        <v>2361</v>
      </c>
      <c r="H384">
        <v>0</v>
      </c>
      <c r="I384">
        <v>5.2999999999999999E-2</v>
      </c>
      <c r="J384">
        <v>128</v>
      </c>
    </row>
    <row r="385" spans="1:10" x14ac:dyDescent="0.2">
      <c r="A385" t="s">
        <v>638</v>
      </c>
      <c r="B385" t="s">
        <v>2365</v>
      </c>
      <c r="C385" t="s">
        <v>1506</v>
      </c>
      <c r="D385" t="s">
        <v>1507</v>
      </c>
      <c r="E385" t="s">
        <v>1596</v>
      </c>
      <c r="F385" t="s">
        <v>2366</v>
      </c>
      <c r="G385" t="s">
        <v>2367</v>
      </c>
      <c r="H385">
        <v>0</v>
      </c>
      <c r="I385">
        <v>5.2999999999999999E-2</v>
      </c>
      <c r="J385">
        <v>128</v>
      </c>
    </row>
    <row r="386" spans="1:10" x14ac:dyDescent="0.2">
      <c r="A386" t="s">
        <v>638</v>
      </c>
      <c r="B386" t="s">
        <v>2368</v>
      </c>
      <c r="C386" t="s">
        <v>1506</v>
      </c>
      <c r="D386" t="s">
        <v>1507</v>
      </c>
      <c r="E386" t="s">
        <v>1596</v>
      </c>
      <c r="F386" t="s">
        <v>2072</v>
      </c>
      <c r="G386" t="s">
        <v>2369</v>
      </c>
      <c r="H386">
        <v>0</v>
      </c>
      <c r="I386">
        <v>5.2999999999999999E-2</v>
      </c>
      <c r="J386">
        <v>129</v>
      </c>
    </row>
    <row r="387" spans="1:10" x14ac:dyDescent="0.2">
      <c r="A387" t="s">
        <v>638</v>
      </c>
      <c r="B387" t="s">
        <v>2370</v>
      </c>
      <c r="C387" t="s">
        <v>1506</v>
      </c>
      <c r="D387" t="s">
        <v>1507</v>
      </c>
      <c r="E387" t="s">
        <v>1544</v>
      </c>
      <c r="F387" t="s">
        <v>1545</v>
      </c>
      <c r="G387" t="s">
        <v>2371</v>
      </c>
      <c r="H387">
        <v>0</v>
      </c>
      <c r="I387">
        <v>5.2999999999999999E-2</v>
      </c>
      <c r="J387">
        <v>128</v>
      </c>
    </row>
    <row r="388" spans="1:10" x14ac:dyDescent="0.2">
      <c r="A388" t="s">
        <v>638</v>
      </c>
      <c r="B388" t="s">
        <v>2372</v>
      </c>
      <c r="C388" t="s">
        <v>1506</v>
      </c>
      <c r="D388" t="s">
        <v>1507</v>
      </c>
      <c r="E388" t="s">
        <v>1633</v>
      </c>
      <c r="F388" t="s">
        <v>1832</v>
      </c>
      <c r="G388" t="s">
        <v>2373</v>
      </c>
      <c r="H388">
        <v>0</v>
      </c>
      <c r="I388">
        <v>5.1999999999999998E-2</v>
      </c>
      <c r="J388">
        <v>128</v>
      </c>
    </row>
    <row r="389" spans="1:10" x14ac:dyDescent="0.2">
      <c r="A389" t="s">
        <v>638</v>
      </c>
      <c r="B389" t="s">
        <v>2374</v>
      </c>
      <c r="C389" t="s">
        <v>1506</v>
      </c>
      <c r="D389" t="s">
        <v>1507</v>
      </c>
      <c r="E389" t="s">
        <v>1523</v>
      </c>
      <c r="F389" t="s">
        <v>1916</v>
      </c>
      <c r="G389" t="s">
        <v>2375</v>
      </c>
      <c r="H389">
        <v>0</v>
      </c>
      <c r="I389">
        <v>5.1999999999999998E-2</v>
      </c>
      <c r="J389">
        <v>128</v>
      </c>
    </row>
    <row r="390" spans="1:10" x14ac:dyDescent="0.2">
      <c r="A390" t="s">
        <v>638</v>
      </c>
      <c r="B390" t="s">
        <v>2376</v>
      </c>
      <c r="C390" t="s">
        <v>1506</v>
      </c>
      <c r="D390" t="s">
        <v>1507</v>
      </c>
      <c r="E390" t="s">
        <v>1511</v>
      </c>
      <c r="F390" t="s">
        <v>2332</v>
      </c>
      <c r="G390" t="s">
        <v>2377</v>
      </c>
      <c r="H390">
        <v>0</v>
      </c>
      <c r="I390">
        <v>5.1999999999999998E-2</v>
      </c>
      <c r="J390">
        <v>128</v>
      </c>
    </row>
    <row r="391" spans="1:10" x14ac:dyDescent="0.2">
      <c r="A391" t="s">
        <v>638</v>
      </c>
      <c r="B391" t="s">
        <v>47</v>
      </c>
      <c r="C391" t="s">
        <v>1506</v>
      </c>
      <c r="D391" t="s">
        <v>1507</v>
      </c>
      <c r="E391" t="s">
        <v>1508</v>
      </c>
      <c r="F391" t="s">
        <v>1509</v>
      </c>
      <c r="G391" t="s">
        <v>46</v>
      </c>
      <c r="H391">
        <v>0</v>
      </c>
      <c r="I391">
        <v>5.1999999999999998E-2</v>
      </c>
      <c r="J391">
        <v>129</v>
      </c>
    </row>
    <row r="392" spans="1:10" x14ac:dyDescent="0.2">
      <c r="A392" t="s">
        <v>638</v>
      </c>
      <c r="B392" t="s">
        <v>2378</v>
      </c>
      <c r="C392" t="s">
        <v>1506</v>
      </c>
      <c r="D392" t="s">
        <v>1507</v>
      </c>
      <c r="E392" t="s">
        <v>1508</v>
      </c>
      <c r="F392" t="s">
        <v>1509</v>
      </c>
      <c r="G392" t="s">
        <v>2379</v>
      </c>
      <c r="H392">
        <v>0</v>
      </c>
      <c r="I392">
        <v>5.1999999999999998E-2</v>
      </c>
      <c r="J392">
        <v>129</v>
      </c>
    </row>
    <row r="393" spans="1:10" x14ac:dyDescent="0.2">
      <c r="A393" t="s">
        <v>638</v>
      </c>
      <c r="B393" t="s">
        <v>37</v>
      </c>
      <c r="C393" t="s">
        <v>1506</v>
      </c>
      <c r="D393" t="s">
        <v>1507</v>
      </c>
      <c r="E393" t="s">
        <v>1508</v>
      </c>
      <c r="F393" t="s">
        <v>1509</v>
      </c>
      <c r="G393" t="s">
        <v>26</v>
      </c>
      <c r="H393">
        <v>0</v>
      </c>
      <c r="I393">
        <v>5.1999999999999998E-2</v>
      </c>
      <c r="J393">
        <v>128</v>
      </c>
    </row>
    <row r="394" spans="1:10" x14ac:dyDescent="0.2">
      <c r="A394" t="s">
        <v>638</v>
      </c>
      <c r="B394" t="s">
        <v>28</v>
      </c>
      <c r="C394" t="s">
        <v>1506</v>
      </c>
      <c r="D394" t="s">
        <v>1507</v>
      </c>
      <c r="E394" t="s">
        <v>1508</v>
      </c>
      <c r="F394" t="s">
        <v>1509</v>
      </c>
      <c r="G394" t="s">
        <v>29</v>
      </c>
      <c r="H394">
        <v>0</v>
      </c>
      <c r="I394">
        <v>5.1999999999999998E-2</v>
      </c>
      <c r="J394">
        <v>129</v>
      </c>
    </row>
    <row r="395" spans="1:10" x14ac:dyDescent="0.2">
      <c r="A395" t="s">
        <v>638</v>
      </c>
      <c r="B395" t="s">
        <v>76</v>
      </c>
      <c r="C395" t="s">
        <v>1506</v>
      </c>
      <c r="D395" t="s">
        <v>1507</v>
      </c>
      <c r="E395" t="s">
        <v>1508</v>
      </c>
      <c r="F395" t="s">
        <v>1509</v>
      </c>
      <c r="G395" t="s">
        <v>75</v>
      </c>
      <c r="H395">
        <v>0</v>
      </c>
      <c r="I395">
        <v>5.1999999999999998E-2</v>
      </c>
      <c r="J395">
        <v>129</v>
      </c>
    </row>
    <row r="396" spans="1:10" x14ac:dyDescent="0.2">
      <c r="A396" t="s">
        <v>638</v>
      </c>
      <c r="B396" t="s">
        <v>2380</v>
      </c>
      <c r="C396" t="s">
        <v>1506</v>
      </c>
      <c r="D396" t="s">
        <v>1507</v>
      </c>
      <c r="E396" t="s">
        <v>1658</v>
      </c>
      <c r="F396" t="s">
        <v>2381</v>
      </c>
      <c r="G396" t="s">
        <v>2382</v>
      </c>
      <c r="H396">
        <v>0</v>
      </c>
      <c r="I396">
        <v>5.1999999999999998E-2</v>
      </c>
      <c r="J396">
        <v>129</v>
      </c>
    </row>
    <row r="397" spans="1:10" x14ac:dyDescent="0.2">
      <c r="A397" t="s">
        <v>638</v>
      </c>
      <c r="B397" t="s">
        <v>2383</v>
      </c>
      <c r="C397" t="s">
        <v>1506</v>
      </c>
      <c r="D397" t="s">
        <v>1507</v>
      </c>
      <c r="E397" t="s">
        <v>1658</v>
      </c>
      <c r="F397" t="s">
        <v>2381</v>
      </c>
      <c r="G397" t="s">
        <v>2384</v>
      </c>
      <c r="H397">
        <v>0</v>
      </c>
      <c r="I397">
        <v>5.1999999999999998E-2</v>
      </c>
      <c r="J397">
        <v>129</v>
      </c>
    </row>
    <row r="398" spans="1:10" x14ac:dyDescent="0.2">
      <c r="A398" t="s">
        <v>638</v>
      </c>
      <c r="B398" t="s">
        <v>2385</v>
      </c>
      <c r="C398" t="s">
        <v>1506</v>
      </c>
      <c r="D398" t="s">
        <v>1507</v>
      </c>
      <c r="E398" t="s">
        <v>8</v>
      </c>
      <c r="F398" t="s">
        <v>2302</v>
      </c>
      <c r="G398" t="s">
        <v>2386</v>
      </c>
      <c r="H398">
        <v>0</v>
      </c>
      <c r="I398">
        <v>5.1999999999999998E-2</v>
      </c>
      <c r="J398">
        <v>128</v>
      </c>
    </row>
    <row r="399" spans="1:10" x14ac:dyDescent="0.2">
      <c r="A399" t="s">
        <v>638</v>
      </c>
      <c r="B399" t="s">
        <v>2387</v>
      </c>
      <c r="C399" t="s">
        <v>1506</v>
      </c>
      <c r="D399" t="s">
        <v>1507</v>
      </c>
      <c r="E399" t="s">
        <v>1519</v>
      </c>
      <c r="F399" t="s">
        <v>1520</v>
      </c>
      <c r="G399" t="s">
        <v>2388</v>
      </c>
      <c r="H399">
        <v>0</v>
      </c>
      <c r="I399">
        <v>5.1999999999999998E-2</v>
      </c>
      <c r="J399">
        <v>128</v>
      </c>
    </row>
    <row r="400" spans="1:10" x14ac:dyDescent="0.2">
      <c r="A400" t="s">
        <v>638</v>
      </c>
      <c r="B400" t="s">
        <v>2389</v>
      </c>
      <c r="C400" t="s">
        <v>1506</v>
      </c>
      <c r="D400" t="s">
        <v>1507</v>
      </c>
      <c r="E400" t="s">
        <v>1789</v>
      </c>
      <c r="F400" t="s">
        <v>2170</v>
      </c>
      <c r="G400" t="s">
        <v>2390</v>
      </c>
      <c r="H400">
        <v>0</v>
      </c>
      <c r="I400">
        <v>5.1999999999999998E-2</v>
      </c>
      <c r="J400">
        <v>129</v>
      </c>
    </row>
    <row r="401" spans="1:10" x14ac:dyDescent="0.2">
      <c r="A401" t="s">
        <v>638</v>
      </c>
      <c r="B401" t="s">
        <v>2391</v>
      </c>
      <c r="C401" t="s">
        <v>1506</v>
      </c>
      <c r="D401" t="s">
        <v>1507</v>
      </c>
      <c r="E401" t="s">
        <v>1523</v>
      </c>
      <c r="F401" t="s">
        <v>1985</v>
      </c>
      <c r="G401" t="s">
        <v>2392</v>
      </c>
      <c r="H401">
        <v>0</v>
      </c>
      <c r="I401">
        <v>5.0999999999999997E-2</v>
      </c>
      <c r="J401">
        <v>129</v>
      </c>
    </row>
    <row r="402" spans="1:10" x14ac:dyDescent="0.2">
      <c r="A402" t="s">
        <v>638</v>
      </c>
      <c r="B402" t="s">
        <v>2393</v>
      </c>
      <c r="C402" t="s">
        <v>1506</v>
      </c>
      <c r="D402" t="s">
        <v>1507</v>
      </c>
      <c r="E402" t="s">
        <v>1511</v>
      </c>
      <c r="F402" t="s">
        <v>2232</v>
      </c>
      <c r="G402" t="s">
        <v>2394</v>
      </c>
      <c r="H402">
        <v>0</v>
      </c>
      <c r="I402">
        <v>5.0999999999999997E-2</v>
      </c>
      <c r="J402">
        <v>129</v>
      </c>
    </row>
    <row r="403" spans="1:10" x14ac:dyDescent="0.2">
      <c r="A403" t="s">
        <v>638</v>
      </c>
      <c r="B403" t="s">
        <v>16</v>
      </c>
      <c r="C403" t="s">
        <v>1506</v>
      </c>
      <c r="D403" t="s">
        <v>1507</v>
      </c>
      <c r="E403" t="s">
        <v>1508</v>
      </c>
      <c r="F403" t="s">
        <v>1509</v>
      </c>
      <c r="G403" t="s">
        <v>15</v>
      </c>
      <c r="H403">
        <v>0</v>
      </c>
      <c r="I403">
        <v>5.0999999999999997E-2</v>
      </c>
      <c r="J403">
        <v>129</v>
      </c>
    </row>
    <row r="404" spans="1:10" x14ac:dyDescent="0.2">
      <c r="A404" t="s">
        <v>638</v>
      </c>
      <c r="B404" t="s">
        <v>18</v>
      </c>
      <c r="C404" t="s">
        <v>1506</v>
      </c>
      <c r="D404" t="s">
        <v>1507</v>
      </c>
      <c r="E404" t="s">
        <v>1508</v>
      </c>
      <c r="F404" t="s">
        <v>1509</v>
      </c>
      <c r="G404" t="s">
        <v>26</v>
      </c>
      <c r="H404">
        <v>0</v>
      </c>
      <c r="I404">
        <v>5.0999999999999997E-2</v>
      </c>
      <c r="J404">
        <v>129</v>
      </c>
    </row>
    <row r="405" spans="1:10" x14ac:dyDescent="0.2">
      <c r="A405" t="s">
        <v>638</v>
      </c>
      <c r="B405" t="s">
        <v>34</v>
      </c>
      <c r="C405" t="s">
        <v>1506</v>
      </c>
      <c r="D405" t="s">
        <v>1507</v>
      </c>
      <c r="E405" t="s">
        <v>1508</v>
      </c>
      <c r="F405" t="s">
        <v>1509</v>
      </c>
      <c r="G405" t="s">
        <v>35</v>
      </c>
      <c r="H405">
        <v>0</v>
      </c>
      <c r="I405">
        <v>5.0999999999999997E-2</v>
      </c>
      <c r="J405">
        <v>129</v>
      </c>
    </row>
    <row r="406" spans="1:10" x14ac:dyDescent="0.2">
      <c r="A406" t="s">
        <v>638</v>
      </c>
      <c r="B406" t="s">
        <v>71</v>
      </c>
      <c r="C406" t="s">
        <v>1506</v>
      </c>
      <c r="D406" t="s">
        <v>1507</v>
      </c>
      <c r="E406" t="s">
        <v>1508</v>
      </c>
      <c r="F406" t="s">
        <v>1509</v>
      </c>
      <c r="G406" t="s">
        <v>63</v>
      </c>
      <c r="H406">
        <v>0</v>
      </c>
      <c r="I406">
        <v>5.0999999999999997E-2</v>
      </c>
      <c r="J406">
        <v>129</v>
      </c>
    </row>
    <row r="407" spans="1:10" x14ac:dyDescent="0.2">
      <c r="A407" t="s">
        <v>638</v>
      </c>
      <c r="B407" t="s">
        <v>2395</v>
      </c>
      <c r="C407" t="s">
        <v>1506</v>
      </c>
      <c r="D407" t="s">
        <v>1507</v>
      </c>
      <c r="E407" t="s">
        <v>2004</v>
      </c>
      <c r="F407" t="s">
        <v>2005</v>
      </c>
      <c r="G407" t="s">
        <v>2396</v>
      </c>
      <c r="H407">
        <v>0</v>
      </c>
      <c r="I407">
        <v>5.0999999999999997E-2</v>
      </c>
      <c r="J407">
        <v>128</v>
      </c>
    </row>
    <row r="408" spans="1:10" x14ac:dyDescent="0.2">
      <c r="A408" t="s">
        <v>638</v>
      </c>
      <c r="B408" t="s">
        <v>2397</v>
      </c>
      <c r="C408" t="s">
        <v>1506</v>
      </c>
      <c r="D408" t="s">
        <v>1507</v>
      </c>
      <c r="E408" t="s">
        <v>1508</v>
      </c>
      <c r="F408" t="s">
        <v>1509</v>
      </c>
      <c r="G408" t="s">
        <v>2398</v>
      </c>
      <c r="H408">
        <v>0</v>
      </c>
      <c r="I408">
        <v>5.0999999999999997E-2</v>
      </c>
      <c r="J408">
        <v>129</v>
      </c>
    </row>
    <row r="409" spans="1:10" x14ac:dyDescent="0.2">
      <c r="A409" t="s">
        <v>638</v>
      </c>
      <c r="B409" t="s">
        <v>2399</v>
      </c>
      <c r="C409" t="s">
        <v>1506</v>
      </c>
      <c r="D409" t="s">
        <v>1507</v>
      </c>
      <c r="E409" t="s">
        <v>1544</v>
      </c>
      <c r="F409" t="s">
        <v>1545</v>
      </c>
      <c r="G409" t="s">
        <v>2400</v>
      </c>
      <c r="H409">
        <v>0</v>
      </c>
      <c r="I409">
        <v>4.7E-2</v>
      </c>
      <c r="J409">
        <v>128</v>
      </c>
    </row>
    <row r="410" spans="1:10" x14ac:dyDescent="0.2">
      <c r="A410" t="s">
        <v>638</v>
      </c>
      <c r="B410" t="s">
        <v>2401</v>
      </c>
      <c r="C410" t="s">
        <v>1506</v>
      </c>
      <c r="D410" t="s">
        <v>1507</v>
      </c>
      <c r="E410" t="s">
        <v>1586</v>
      </c>
      <c r="F410" t="s">
        <v>2402</v>
      </c>
      <c r="G410" t="s">
        <v>2403</v>
      </c>
      <c r="H410">
        <v>0</v>
      </c>
      <c r="I410">
        <v>4.5999999999999999E-2</v>
      </c>
      <c r="J410">
        <v>127</v>
      </c>
    </row>
    <row r="411" spans="1:10" x14ac:dyDescent="0.2">
      <c r="A411" t="s">
        <v>638</v>
      </c>
      <c r="B411" t="s">
        <v>2404</v>
      </c>
      <c r="C411" t="s">
        <v>1506</v>
      </c>
      <c r="D411" t="s">
        <v>1507</v>
      </c>
      <c r="E411" t="s">
        <v>1586</v>
      </c>
      <c r="F411" t="s">
        <v>2402</v>
      </c>
      <c r="G411" t="s">
        <v>2405</v>
      </c>
      <c r="H411">
        <v>0</v>
      </c>
      <c r="I411">
        <v>4.5999999999999999E-2</v>
      </c>
      <c r="J411">
        <v>127</v>
      </c>
    </row>
    <row r="412" spans="1:10" x14ac:dyDescent="0.2">
      <c r="A412" t="s">
        <v>638</v>
      </c>
      <c r="B412" t="s">
        <v>2406</v>
      </c>
      <c r="C412" t="s">
        <v>1506</v>
      </c>
      <c r="D412" t="s">
        <v>1507</v>
      </c>
      <c r="E412" t="s">
        <v>1586</v>
      </c>
      <c r="F412" t="s">
        <v>2402</v>
      </c>
      <c r="G412" t="s">
        <v>2407</v>
      </c>
      <c r="H412">
        <v>0</v>
      </c>
      <c r="I412">
        <v>4.5999999999999999E-2</v>
      </c>
      <c r="J412">
        <v>127</v>
      </c>
    </row>
    <row r="413" spans="1:10" x14ac:dyDescent="0.2">
      <c r="A413" t="s">
        <v>638</v>
      </c>
      <c r="B413" t="s">
        <v>2408</v>
      </c>
      <c r="C413" t="s">
        <v>1506</v>
      </c>
      <c r="D413" t="s">
        <v>1507</v>
      </c>
      <c r="E413" t="s">
        <v>1586</v>
      </c>
      <c r="F413" t="s">
        <v>2409</v>
      </c>
      <c r="G413" t="s">
        <v>2410</v>
      </c>
      <c r="H413">
        <v>0</v>
      </c>
      <c r="I413">
        <v>4.3999999999999997E-2</v>
      </c>
      <c r="J413">
        <v>128</v>
      </c>
    </row>
    <row r="414" spans="1:10" x14ac:dyDescent="0.2">
      <c r="A414" t="s">
        <v>638</v>
      </c>
      <c r="B414" t="s">
        <v>2411</v>
      </c>
      <c r="C414" t="s">
        <v>1506</v>
      </c>
      <c r="D414" t="s">
        <v>1507</v>
      </c>
      <c r="E414" t="s">
        <v>1511</v>
      </c>
      <c r="F414" t="s">
        <v>2332</v>
      </c>
      <c r="G414" t="s">
        <v>2412</v>
      </c>
      <c r="H414">
        <v>0</v>
      </c>
      <c r="I414">
        <v>4.3999999999999997E-2</v>
      </c>
      <c r="J414">
        <v>128</v>
      </c>
    </row>
    <row r="415" spans="1:10" x14ac:dyDescent="0.2">
      <c r="A415" t="s">
        <v>638</v>
      </c>
      <c r="B415" t="s">
        <v>2413</v>
      </c>
      <c r="C415" t="s">
        <v>1506</v>
      </c>
      <c r="D415" t="s">
        <v>1507</v>
      </c>
      <c r="E415" t="s">
        <v>1511</v>
      </c>
      <c r="F415" t="s">
        <v>2332</v>
      </c>
      <c r="G415" t="s">
        <v>2414</v>
      </c>
      <c r="H415">
        <v>0</v>
      </c>
      <c r="I415">
        <v>4.3999999999999997E-2</v>
      </c>
      <c r="J415">
        <v>128</v>
      </c>
    </row>
    <row r="416" spans="1:10" x14ac:dyDescent="0.2">
      <c r="A416" t="s">
        <v>638</v>
      </c>
      <c r="B416" t="s">
        <v>2415</v>
      </c>
      <c r="C416" t="s">
        <v>1506</v>
      </c>
      <c r="D416" t="s">
        <v>1507</v>
      </c>
      <c r="E416" t="s">
        <v>1511</v>
      </c>
      <c r="F416" t="s">
        <v>2332</v>
      </c>
      <c r="G416" t="s">
        <v>2416</v>
      </c>
      <c r="H416">
        <v>0</v>
      </c>
      <c r="I416">
        <v>4.3999999999999997E-2</v>
      </c>
      <c r="J416">
        <v>128</v>
      </c>
    </row>
    <row r="417" spans="1:10" x14ac:dyDescent="0.2">
      <c r="A417" t="s">
        <v>638</v>
      </c>
      <c r="B417" t="s">
        <v>2417</v>
      </c>
      <c r="C417" t="s">
        <v>1506</v>
      </c>
      <c r="D417" t="s">
        <v>1507</v>
      </c>
      <c r="E417" t="s">
        <v>8</v>
      </c>
      <c r="F417" t="s">
        <v>2302</v>
      </c>
      <c r="G417" t="s">
        <v>2418</v>
      </c>
      <c r="H417">
        <v>0</v>
      </c>
      <c r="I417">
        <v>4.3999999999999997E-2</v>
      </c>
      <c r="J417">
        <v>128</v>
      </c>
    </row>
    <row r="418" spans="1:10" x14ac:dyDescent="0.2">
      <c r="A418" t="s">
        <v>638</v>
      </c>
      <c r="B418" t="s">
        <v>2419</v>
      </c>
      <c r="C418" t="s">
        <v>1506</v>
      </c>
      <c r="D418" t="s">
        <v>1507</v>
      </c>
      <c r="E418" t="s">
        <v>1544</v>
      </c>
      <c r="F418" t="s">
        <v>1705</v>
      </c>
      <c r="G418" t="s">
        <v>2420</v>
      </c>
      <c r="H418">
        <v>0</v>
      </c>
      <c r="I418">
        <v>4.2999999999999997E-2</v>
      </c>
      <c r="J418">
        <v>129</v>
      </c>
    </row>
    <row r="419" spans="1:10" x14ac:dyDescent="0.2">
      <c r="A419" t="s">
        <v>638</v>
      </c>
      <c r="B419" t="s">
        <v>2421</v>
      </c>
      <c r="C419" t="s">
        <v>1506</v>
      </c>
      <c r="D419" t="s">
        <v>1507</v>
      </c>
      <c r="E419" t="s">
        <v>1544</v>
      </c>
      <c r="F419" t="s">
        <v>1705</v>
      </c>
      <c r="G419" t="s">
        <v>2420</v>
      </c>
      <c r="H419">
        <v>0</v>
      </c>
      <c r="I419">
        <v>4.2999999999999997E-2</v>
      </c>
      <c r="J419">
        <v>129</v>
      </c>
    </row>
    <row r="420" spans="1:10" x14ac:dyDescent="0.2">
      <c r="A420" t="s">
        <v>638</v>
      </c>
      <c r="B420" t="s">
        <v>2422</v>
      </c>
      <c r="C420" t="s">
        <v>1506</v>
      </c>
      <c r="D420" t="s">
        <v>1507</v>
      </c>
      <c r="E420" t="s">
        <v>2004</v>
      </c>
      <c r="F420" t="s">
        <v>2005</v>
      </c>
      <c r="G420" t="s">
        <v>2423</v>
      </c>
      <c r="H420">
        <v>0</v>
      </c>
      <c r="I420">
        <v>4.2999999999999997E-2</v>
      </c>
      <c r="J420">
        <v>128</v>
      </c>
    </row>
    <row r="421" spans="1:10" x14ac:dyDescent="0.2">
      <c r="A421" t="s">
        <v>638</v>
      </c>
      <c r="B421" t="s">
        <v>2424</v>
      </c>
      <c r="C421" t="s">
        <v>1506</v>
      </c>
      <c r="D421" t="s">
        <v>1507</v>
      </c>
      <c r="E421" t="s">
        <v>1907</v>
      </c>
      <c r="F421" t="s">
        <v>2425</v>
      </c>
      <c r="G421" t="s">
        <v>2426</v>
      </c>
      <c r="H421">
        <v>0</v>
      </c>
      <c r="I421">
        <v>4.2000000000000003E-2</v>
      </c>
      <c r="J421">
        <v>130</v>
      </c>
    </row>
    <row r="422" spans="1:10" x14ac:dyDescent="0.2">
      <c r="A422" t="s">
        <v>638</v>
      </c>
      <c r="B422" t="s">
        <v>2427</v>
      </c>
      <c r="C422" t="s">
        <v>1506</v>
      </c>
      <c r="D422" t="s">
        <v>1507</v>
      </c>
      <c r="E422" t="s">
        <v>2428</v>
      </c>
      <c r="F422" t="s">
        <v>2429</v>
      </c>
      <c r="G422" t="s">
        <v>2430</v>
      </c>
      <c r="H422">
        <v>0</v>
      </c>
      <c r="I422">
        <v>4.1000000000000002E-2</v>
      </c>
      <c r="J422">
        <v>128</v>
      </c>
    </row>
    <row r="423" spans="1:10" x14ac:dyDescent="0.2">
      <c r="A423" t="s">
        <v>638</v>
      </c>
      <c r="B423" t="s">
        <v>2431</v>
      </c>
      <c r="C423" t="s">
        <v>1506</v>
      </c>
      <c r="D423" t="s">
        <v>1507</v>
      </c>
      <c r="E423" t="s">
        <v>1544</v>
      </c>
      <c r="F423" t="s">
        <v>1705</v>
      </c>
      <c r="G423" t="s">
        <v>2432</v>
      </c>
      <c r="H423">
        <v>0</v>
      </c>
      <c r="I423">
        <v>3.9E-2</v>
      </c>
      <c r="J423">
        <v>129</v>
      </c>
    </row>
    <row r="424" spans="1:10" x14ac:dyDescent="0.2">
      <c r="A424" t="s">
        <v>638</v>
      </c>
      <c r="B424" t="s">
        <v>2433</v>
      </c>
      <c r="C424" t="s">
        <v>1506</v>
      </c>
      <c r="D424" t="s">
        <v>1507</v>
      </c>
      <c r="E424" t="s">
        <v>8</v>
      </c>
      <c r="F424" t="s">
        <v>2302</v>
      </c>
      <c r="G424" t="s">
        <v>2434</v>
      </c>
      <c r="H424">
        <v>0</v>
      </c>
      <c r="I424">
        <v>3.7999999999999999E-2</v>
      </c>
      <c r="J424">
        <v>128</v>
      </c>
    </row>
    <row r="425" spans="1:10" x14ac:dyDescent="0.2">
      <c r="A425" t="s">
        <v>638</v>
      </c>
      <c r="B425" t="s">
        <v>2435</v>
      </c>
      <c r="C425" t="s">
        <v>1506</v>
      </c>
      <c r="D425" t="s">
        <v>1507</v>
      </c>
      <c r="E425" t="s">
        <v>1508</v>
      </c>
      <c r="F425" t="s">
        <v>1509</v>
      </c>
      <c r="G425" t="s">
        <v>2436</v>
      </c>
      <c r="H425">
        <v>0</v>
      </c>
      <c r="I425">
        <v>3.7999999999999999E-2</v>
      </c>
      <c r="J425">
        <v>129</v>
      </c>
    </row>
    <row r="426" spans="1:10" x14ac:dyDescent="0.2">
      <c r="A426" t="s">
        <v>638</v>
      </c>
      <c r="B426" t="s">
        <v>2437</v>
      </c>
      <c r="C426" t="s">
        <v>1506</v>
      </c>
      <c r="D426" t="s">
        <v>1507</v>
      </c>
      <c r="E426" t="s">
        <v>1508</v>
      </c>
      <c r="F426" t="s">
        <v>1509</v>
      </c>
      <c r="G426" t="s">
        <v>2438</v>
      </c>
      <c r="H426">
        <v>0</v>
      </c>
      <c r="I426">
        <v>3.7999999999999999E-2</v>
      </c>
      <c r="J426">
        <v>129</v>
      </c>
    </row>
    <row r="427" spans="1:10" x14ac:dyDescent="0.2">
      <c r="A427" t="s">
        <v>638</v>
      </c>
      <c r="B427" t="s">
        <v>2439</v>
      </c>
      <c r="C427" t="s">
        <v>1506</v>
      </c>
      <c r="D427" t="s">
        <v>1507</v>
      </c>
      <c r="E427" t="s">
        <v>1508</v>
      </c>
      <c r="F427" t="s">
        <v>1509</v>
      </c>
      <c r="G427" t="s">
        <v>2440</v>
      </c>
      <c r="H427">
        <v>0</v>
      </c>
      <c r="I427">
        <v>3.7999999999999999E-2</v>
      </c>
      <c r="J427">
        <v>129</v>
      </c>
    </row>
    <row r="428" spans="1:10" x14ac:dyDescent="0.2">
      <c r="A428" t="s">
        <v>638</v>
      </c>
      <c r="B428" t="s">
        <v>2441</v>
      </c>
      <c r="C428" t="s">
        <v>1506</v>
      </c>
      <c r="D428" t="s">
        <v>1507</v>
      </c>
      <c r="E428" t="s">
        <v>1907</v>
      </c>
      <c r="F428" t="s">
        <v>2442</v>
      </c>
      <c r="G428" t="s">
        <v>2443</v>
      </c>
      <c r="H428">
        <v>0</v>
      </c>
      <c r="I428">
        <v>3.7999999999999999E-2</v>
      </c>
      <c r="J428">
        <v>127</v>
      </c>
    </row>
    <row r="429" spans="1:10" x14ac:dyDescent="0.2">
      <c r="A429" t="s">
        <v>638</v>
      </c>
      <c r="B429" t="s">
        <v>2444</v>
      </c>
      <c r="C429" t="s">
        <v>1506</v>
      </c>
      <c r="D429" t="s">
        <v>1507</v>
      </c>
      <c r="E429" t="s">
        <v>1508</v>
      </c>
      <c r="F429" t="s">
        <v>1509</v>
      </c>
      <c r="G429" t="s">
        <v>2445</v>
      </c>
      <c r="H429">
        <v>0</v>
      </c>
      <c r="I429">
        <v>3.6999999999999998E-2</v>
      </c>
      <c r="J429">
        <v>129</v>
      </c>
    </row>
    <row r="430" spans="1:10" x14ac:dyDescent="0.2">
      <c r="A430" t="s">
        <v>638</v>
      </c>
      <c r="B430" t="s">
        <v>2446</v>
      </c>
      <c r="C430" t="s">
        <v>1506</v>
      </c>
      <c r="D430" t="s">
        <v>1507</v>
      </c>
      <c r="E430" t="s">
        <v>1508</v>
      </c>
      <c r="F430" t="s">
        <v>1509</v>
      </c>
      <c r="G430" t="s">
        <v>2447</v>
      </c>
      <c r="H430">
        <v>0</v>
      </c>
      <c r="I430">
        <v>3.6999999999999998E-2</v>
      </c>
      <c r="J430">
        <v>129</v>
      </c>
    </row>
    <row r="431" spans="1:10" x14ac:dyDescent="0.2">
      <c r="A431" t="s">
        <v>638</v>
      </c>
      <c r="B431" t="s">
        <v>2448</v>
      </c>
      <c r="C431" t="s">
        <v>1506</v>
      </c>
      <c r="D431" t="s">
        <v>1507</v>
      </c>
      <c r="E431" t="s">
        <v>8</v>
      </c>
      <c r="F431" t="s">
        <v>2075</v>
      </c>
      <c r="G431" t="s">
        <v>2449</v>
      </c>
      <c r="H431">
        <v>0</v>
      </c>
      <c r="I431">
        <v>3.6999999999999998E-2</v>
      </c>
      <c r="J431">
        <v>129</v>
      </c>
    </row>
    <row r="432" spans="1:10" x14ac:dyDescent="0.2">
      <c r="A432" t="s">
        <v>638</v>
      </c>
      <c r="B432" t="s">
        <v>2450</v>
      </c>
      <c r="C432" t="s">
        <v>1506</v>
      </c>
      <c r="D432" t="s">
        <v>1507</v>
      </c>
      <c r="E432" t="s">
        <v>8</v>
      </c>
      <c r="F432" t="s">
        <v>2075</v>
      </c>
      <c r="G432" t="s">
        <v>2451</v>
      </c>
      <c r="H432">
        <v>0</v>
      </c>
      <c r="I432">
        <v>3.6999999999999998E-2</v>
      </c>
      <c r="J432">
        <v>129</v>
      </c>
    </row>
    <row r="433" spans="1:10" x14ac:dyDescent="0.2">
      <c r="A433" t="s">
        <v>638</v>
      </c>
      <c r="B433" t="s">
        <v>2452</v>
      </c>
      <c r="C433" t="s">
        <v>1506</v>
      </c>
      <c r="D433" t="s">
        <v>1507</v>
      </c>
      <c r="E433" t="s">
        <v>1508</v>
      </c>
      <c r="F433" t="s">
        <v>1509</v>
      </c>
      <c r="G433" t="s">
        <v>2453</v>
      </c>
      <c r="H433">
        <v>0</v>
      </c>
      <c r="I433">
        <v>3.6999999999999998E-2</v>
      </c>
      <c r="J433">
        <v>128</v>
      </c>
    </row>
    <row r="434" spans="1:10" x14ac:dyDescent="0.2">
      <c r="A434" t="s">
        <v>638</v>
      </c>
      <c r="B434" t="s">
        <v>2454</v>
      </c>
      <c r="C434" t="s">
        <v>1506</v>
      </c>
      <c r="D434" t="s">
        <v>1507</v>
      </c>
      <c r="E434" t="s">
        <v>2055</v>
      </c>
      <c r="F434" t="s">
        <v>2056</v>
      </c>
      <c r="G434" t="s">
        <v>2455</v>
      </c>
      <c r="H434">
        <v>0</v>
      </c>
      <c r="I434">
        <v>3.5999999999999997E-2</v>
      </c>
      <c r="J434">
        <v>128</v>
      </c>
    </row>
    <row r="435" spans="1:10" x14ac:dyDescent="0.2">
      <c r="A435" t="s">
        <v>638</v>
      </c>
      <c r="B435" t="s">
        <v>2456</v>
      </c>
      <c r="C435" t="s">
        <v>1506</v>
      </c>
      <c r="D435" t="s">
        <v>1507</v>
      </c>
      <c r="E435" t="s">
        <v>1544</v>
      </c>
      <c r="F435" t="s">
        <v>1545</v>
      </c>
      <c r="G435" t="s">
        <v>2457</v>
      </c>
      <c r="H435">
        <v>0</v>
      </c>
      <c r="I435">
        <v>3.3000000000000002E-2</v>
      </c>
      <c r="J435">
        <v>129</v>
      </c>
    </row>
    <row r="436" spans="1:10" x14ac:dyDescent="0.2">
      <c r="A436" t="s">
        <v>638</v>
      </c>
      <c r="B436" t="s">
        <v>2458</v>
      </c>
      <c r="C436" t="s">
        <v>1506</v>
      </c>
      <c r="D436" t="s">
        <v>1507</v>
      </c>
      <c r="E436" t="s">
        <v>1633</v>
      </c>
      <c r="F436" t="s">
        <v>1634</v>
      </c>
      <c r="G436" t="s">
        <v>2459</v>
      </c>
      <c r="H436">
        <v>0</v>
      </c>
      <c r="I436">
        <v>3.3000000000000002E-2</v>
      </c>
      <c r="J436">
        <v>127</v>
      </c>
    </row>
    <row r="437" spans="1:10" x14ac:dyDescent="0.2">
      <c r="A437" t="s">
        <v>638</v>
      </c>
      <c r="B437" t="s">
        <v>2460</v>
      </c>
      <c r="C437" t="s">
        <v>1506</v>
      </c>
      <c r="D437" t="s">
        <v>1507</v>
      </c>
      <c r="E437" t="s">
        <v>1633</v>
      </c>
      <c r="F437" t="s">
        <v>1634</v>
      </c>
      <c r="G437" t="s">
        <v>2459</v>
      </c>
      <c r="H437">
        <v>0</v>
      </c>
      <c r="I437">
        <v>3.3000000000000002E-2</v>
      </c>
      <c r="J437">
        <v>127</v>
      </c>
    </row>
    <row r="438" spans="1:10" x14ac:dyDescent="0.2">
      <c r="A438" t="s">
        <v>638</v>
      </c>
      <c r="B438" t="s">
        <v>2461</v>
      </c>
      <c r="C438" t="s">
        <v>1506</v>
      </c>
      <c r="D438" t="s">
        <v>1507</v>
      </c>
      <c r="E438" t="s">
        <v>1789</v>
      </c>
      <c r="F438" t="s">
        <v>2029</v>
      </c>
      <c r="G438" t="s">
        <v>2462</v>
      </c>
      <c r="H438">
        <v>0</v>
      </c>
      <c r="I438">
        <v>3.3000000000000002E-2</v>
      </c>
      <c r="J438">
        <v>129</v>
      </c>
    </row>
    <row r="439" spans="1:10" x14ac:dyDescent="0.2">
      <c r="A439" t="s">
        <v>638</v>
      </c>
      <c r="B439" t="s">
        <v>2463</v>
      </c>
      <c r="C439" t="s">
        <v>1506</v>
      </c>
      <c r="D439" t="s">
        <v>1507</v>
      </c>
      <c r="E439" t="s">
        <v>1586</v>
      </c>
      <c r="F439" t="s">
        <v>2305</v>
      </c>
      <c r="G439" t="s">
        <v>2464</v>
      </c>
      <c r="H439">
        <v>0</v>
      </c>
      <c r="I439">
        <v>3.3000000000000002E-2</v>
      </c>
      <c r="J439">
        <v>128</v>
      </c>
    </row>
    <row r="440" spans="1:10" x14ac:dyDescent="0.2">
      <c r="A440" t="s">
        <v>638</v>
      </c>
      <c r="B440" t="s">
        <v>2465</v>
      </c>
      <c r="C440" t="s">
        <v>1506</v>
      </c>
      <c r="D440" t="s">
        <v>1507</v>
      </c>
      <c r="E440" t="s">
        <v>1586</v>
      </c>
      <c r="F440" t="s">
        <v>2305</v>
      </c>
      <c r="G440" t="s">
        <v>2464</v>
      </c>
      <c r="H440">
        <v>0</v>
      </c>
      <c r="I440">
        <v>3.3000000000000002E-2</v>
      </c>
      <c r="J440">
        <v>128</v>
      </c>
    </row>
    <row r="441" spans="1:10" x14ac:dyDescent="0.2">
      <c r="A441" t="s">
        <v>638</v>
      </c>
      <c r="B441" t="s">
        <v>2466</v>
      </c>
      <c r="C441" t="s">
        <v>1506</v>
      </c>
      <c r="D441" t="s">
        <v>1507</v>
      </c>
      <c r="E441" t="s">
        <v>1511</v>
      </c>
      <c r="F441" t="s">
        <v>2332</v>
      </c>
      <c r="G441" t="s">
        <v>2339</v>
      </c>
      <c r="H441">
        <v>0</v>
      </c>
      <c r="I441">
        <v>3.3000000000000002E-2</v>
      </c>
      <c r="J441">
        <v>128</v>
      </c>
    </row>
    <row r="442" spans="1:10" x14ac:dyDescent="0.2">
      <c r="A442" t="s">
        <v>638</v>
      </c>
      <c r="B442" t="s">
        <v>2467</v>
      </c>
      <c r="C442" t="s">
        <v>1506</v>
      </c>
      <c r="D442" t="s">
        <v>1507</v>
      </c>
      <c r="E442" t="s">
        <v>1511</v>
      </c>
      <c r="F442" t="s">
        <v>2332</v>
      </c>
      <c r="G442" t="s">
        <v>2468</v>
      </c>
      <c r="H442">
        <v>0</v>
      </c>
      <c r="I442">
        <v>3.3000000000000002E-2</v>
      </c>
      <c r="J442">
        <v>128</v>
      </c>
    </row>
    <row r="443" spans="1:10" x14ac:dyDescent="0.2">
      <c r="A443" t="s">
        <v>638</v>
      </c>
      <c r="B443" t="s">
        <v>2469</v>
      </c>
      <c r="C443" t="s">
        <v>1506</v>
      </c>
      <c r="D443" t="s">
        <v>1507</v>
      </c>
      <c r="E443" t="s">
        <v>1523</v>
      </c>
      <c r="F443" t="s">
        <v>2020</v>
      </c>
      <c r="G443" t="s">
        <v>2470</v>
      </c>
      <c r="H443">
        <v>0</v>
      </c>
      <c r="I443">
        <v>3.3000000000000002E-2</v>
      </c>
      <c r="J443">
        <v>129</v>
      </c>
    </row>
    <row r="444" spans="1:10" x14ac:dyDescent="0.2">
      <c r="A444" t="s">
        <v>638</v>
      </c>
      <c r="B444" t="s">
        <v>2471</v>
      </c>
      <c r="C444" t="s">
        <v>1506</v>
      </c>
      <c r="D444" t="s">
        <v>1507</v>
      </c>
      <c r="E444" t="s">
        <v>2472</v>
      </c>
      <c r="F444" t="s">
        <v>2473</v>
      </c>
      <c r="G444" t="s">
        <v>2474</v>
      </c>
      <c r="H444">
        <v>0</v>
      </c>
      <c r="I444">
        <v>3.1E-2</v>
      </c>
      <c r="J444">
        <v>131</v>
      </c>
    </row>
    <row r="445" spans="1:10" x14ac:dyDescent="0.2">
      <c r="A445" t="s">
        <v>638</v>
      </c>
      <c r="B445" t="s">
        <v>2475</v>
      </c>
      <c r="C445" t="s">
        <v>1506</v>
      </c>
      <c r="D445" t="s">
        <v>1507</v>
      </c>
      <c r="E445" t="s">
        <v>1658</v>
      </c>
      <c r="F445" t="s">
        <v>1769</v>
      </c>
      <c r="G445" t="s">
        <v>2476</v>
      </c>
      <c r="H445">
        <v>0</v>
      </c>
      <c r="I445">
        <v>3.1E-2</v>
      </c>
      <c r="J445">
        <v>127</v>
      </c>
    </row>
    <row r="446" spans="1:10" x14ac:dyDescent="0.2">
      <c r="A446" t="s">
        <v>638</v>
      </c>
      <c r="B446" t="s">
        <v>2477</v>
      </c>
      <c r="C446" t="s">
        <v>1506</v>
      </c>
      <c r="D446" t="s">
        <v>1507</v>
      </c>
      <c r="E446" t="s">
        <v>1658</v>
      </c>
      <c r="F446" t="s">
        <v>2478</v>
      </c>
      <c r="G446" t="s">
        <v>2479</v>
      </c>
      <c r="H446">
        <v>0</v>
      </c>
      <c r="I446">
        <v>3.1E-2</v>
      </c>
      <c r="J446">
        <v>128</v>
      </c>
    </row>
    <row r="447" spans="1:10" x14ac:dyDescent="0.2">
      <c r="A447" t="s">
        <v>638</v>
      </c>
      <c r="B447" t="s">
        <v>2480</v>
      </c>
      <c r="C447" t="s">
        <v>1506</v>
      </c>
      <c r="D447" t="s">
        <v>1507</v>
      </c>
      <c r="E447" t="s">
        <v>1844</v>
      </c>
      <c r="F447" t="s">
        <v>1845</v>
      </c>
      <c r="G447" t="s">
        <v>2481</v>
      </c>
      <c r="H447">
        <v>0</v>
      </c>
      <c r="I447">
        <v>3.1E-2</v>
      </c>
      <c r="J447">
        <v>128</v>
      </c>
    </row>
    <row r="448" spans="1:10" x14ac:dyDescent="0.2">
      <c r="A448" t="s">
        <v>638</v>
      </c>
      <c r="B448" t="s">
        <v>2482</v>
      </c>
      <c r="C448" t="s">
        <v>1506</v>
      </c>
      <c r="D448" t="s">
        <v>1507</v>
      </c>
      <c r="E448" t="s">
        <v>1523</v>
      </c>
      <c r="F448" t="s">
        <v>1985</v>
      </c>
      <c r="G448" t="s">
        <v>2483</v>
      </c>
      <c r="H448">
        <v>0</v>
      </c>
      <c r="I448">
        <v>0.03</v>
      </c>
      <c r="J448">
        <v>129</v>
      </c>
    </row>
    <row r="449" spans="1:10" x14ac:dyDescent="0.2">
      <c r="A449" t="s">
        <v>638</v>
      </c>
      <c r="B449" t="s">
        <v>2484</v>
      </c>
      <c r="C449" t="s">
        <v>1506</v>
      </c>
      <c r="D449" t="s">
        <v>1507</v>
      </c>
      <c r="E449" t="s">
        <v>8</v>
      </c>
      <c r="F449" t="s">
        <v>2075</v>
      </c>
      <c r="G449" t="s">
        <v>2485</v>
      </c>
      <c r="H449">
        <v>0</v>
      </c>
      <c r="I449">
        <v>0.03</v>
      </c>
      <c r="J449">
        <v>129</v>
      </c>
    </row>
    <row r="450" spans="1:10" x14ac:dyDescent="0.2">
      <c r="A450" t="s">
        <v>638</v>
      </c>
      <c r="B450" t="s">
        <v>2486</v>
      </c>
      <c r="C450" t="s">
        <v>1506</v>
      </c>
      <c r="D450" t="s">
        <v>1507</v>
      </c>
      <c r="E450" t="s">
        <v>8</v>
      </c>
      <c r="F450" t="s">
        <v>1578</v>
      </c>
      <c r="G450" t="s">
        <v>2487</v>
      </c>
      <c r="H450">
        <v>0</v>
      </c>
      <c r="I450">
        <v>2.9000000000000001E-2</v>
      </c>
      <c r="J450">
        <v>128</v>
      </c>
    </row>
    <row r="451" spans="1:10" x14ac:dyDescent="0.2">
      <c r="A451" t="s">
        <v>638</v>
      </c>
      <c r="B451" t="s">
        <v>2488</v>
      </c>
      <c r="C451" t="s">
        <v>1506</v>
      </c>
      <c r="D451" t="s">
        <v>1507</v>
      </c>
      <c r="E451" t="s">
        <v>2055</v>
      </c>
      <c r="F451" t="s">
        <v>2056</v>
      </c>
      <c r="G451" t="s">
        <v>2489</v>
      </c>
      <c r="H451">
        <v>0</v>
      </c>
      <c r="I451">
        <v>2.9000000000000001E-2</v>
      </c>
      <c r="J451">
        <v>128</v>
      </c>
    </row>
    <row r="452" spans="1:10" x14ac:dyDescent="0.2">
      <c r="A452" t="s">
        <v>638</v>
      </c>
      <c r="B452" t="s">
        <v>2490</v>
      </c>
      <c r="C452" t="s">
        <v>1506</v>
      </c>
      <c r="D452" t="s">
        <v>1507</v>
      </c>
      <c r="E452" t="s">
        <v>1531</v>
      </c>
      <c r="F452" t="s">
        <v>2321</v>
      </c>
      <c r="G452" t="s">
        <v>2491</v>
      </c>
      <c r="H452">
        <v>0</v>
      </c>
      <c r="I452">
        <v>2.8000000000000001E-2</v>
      </c>
      <c r="J452">
        <v>129</v>
      </c>
    </row>
    <row r="453" spans="1:10" x14ac:dyDescent="0.2">
      <c r="A453" t="s">
        <v>638</v>
      </c>
      <c r="B453" t="s">
        <v>2492</v>
      </c>
      <c r="C453" t="s">
        <v>1506</v>
      </c>
      <c r="D453" t="s">
        <v>1507</v>
      </c>
      <c r="E453" t="s">
        <v>8</v>
      </c>
      <c r="F453" t="s">
        <v>2493</v>
      </c>
      <c r="G453" t="s">
        <v>2494</v>
      </c>
      <c r="H453">
        <v>0</v>
      </c>
      <c r="I453">
        <v>2.8000000000000001E-2</v>
      </c>
      <c r="J453">
        <v>128</v>
      </c>
    </row>
    <row r="454" spans="1:10" x14ac:dyDescent="0.2">
      <c r="A454" t="s">
        <v>638</v>
      </c>
      <c r="B454" t="s">
        <v>2495</v>
      </c>
      <c r="C454" t="s">
        <v>1506</v>
      </c>
      <c r="D454" t="s">
        <v>1507</v>
      </c>
      <c r="E454" t="s">
        <v>1519</v>
      </c>
      <c r="F454" t="s">
        <v>1520</v>
      </c>
      <c r="G454" t="s">
        <v>2496</v>
      </c>
      <c r="H454">
        <v>0</v>
      </c>
      <c r="I454">
        <v>2.8000000000000001E-2</v>
      </c>
      <c r="J454">
        <v>128</v>
      </c>
    </row>
    <row r="455" spans="1:10" x14ac:dyDescent="0.2">
      <c r="A455" t="s">
        <v>638</v>
      </c>
      <c r="B455" t="s">
        <v>2497</v>
      </c>
      <c r="C455" t="s">
        <v>1506</v>
      </c>
      <c r="D455" t="s">
        <v>1507</v>
      </c>
      <c r="E455" t="s">
        <v>1508</v>
      </c>
      <c r="F455" t="s">
        <v>1509</v>
      </c>
      <c r="G455" t="s">
        <v>2498</v>
      </c>
      <c r="H455">
        <v>0</v>
      </c>
      <c r="I455">
        <v>2.8000000000000001E-2</v>
      </c>
      <c r="J455">
        <v>129</v>
      </c>
    </row>
    <row r="456" spans="1:10" x14ac:dyDescent="0.2">
      <c r="A456" t="s">
        <v>638</v>
      </c>
      <c r="B456" t="s">
        <v>2499</v>
      </c>
      <c r="C456" t="s">
        <v>1506</v>
      </c>
      <c r="D456" t="s">
        <v>1507</v>
      </c>
      <c r="E456" t="s">
        <v>1523</v>
      </c>
      <c r="F456" t="s">
        <v>2500</v>
      </c>
      <c r="G456" t="s">
        <v>2501</v>
      </c>
      <c r="H456">
        <v>0</v>
      </c>
      <c r="I456">
        <v>2.7E-2</v>
      </c>
      <c r="J456">
        <v>128</v>
      </c>
    </row>
    <row r="457" spans="1:10" x14ac:dyDescent="0.2">
      <c r="A457" t="s">
        <v>638</v>
      </c>
      <c r="B457" t="s">
        <v>2502</v>
      </c>
      <c r="C457" t="s">
        <v>1506</v>
      </c>
      <c r="D457" t="s">
        <v>1507</v>
      </c>
      <c r="E457" t="s">
        <v>1523</v>
      </c>
      <c r="F457" t="s">
        <v>2500</v>
      </c>
      <c r="G457" t="s">
        <v>2503</v>
      </c>
      <c r="H457">
        <v>0</v>
      </c>
      <c r="I457">
        <v>2.7E-2</v>
      </c>
      <c r="J457">
        <v>128</v>
      </c>
    </row>
    <row r="458" spans="1:10" x14ac:dyDescent="0.2">
      <c r="A458" t="s">
        <v>638</v>
      </c>
      <c r="B458" t="s">
        <v>2504</v>
      </c>
      <c r="C458" t="s">
        <v>1506</v>
      </c>
      <c r="D458" t="s">
        <v>1507</v>
      </c>
      <c r="E458" t="s">
        <v>1696</v>
      </c>
      <c r="F458" t="s">
        <v>2505</v>
      </c>
      <c r="G458" t="s">
        <v>2506</v>
      </c>
      <c r="H458">
        <v>0</v>
      </c>
      <c r="I458">
        <v>2.7E-2</v>
      </c>
      <c r="J458">
        <v>128</v>
      </c>
    </row>
    <row r="459" spans="1:10" x14ac:dyDescent="0.2">
      <c r="A459" t="s">
        <v>638</v>
      </c>
      <c r="B459" t="s">
        <v>2507</v>
      </c>
      <c r="C459" t="s">
        <v>1506</v>
      </c>
      <c r="D459" t="s">
        <v>1507</v>
      </c>
      <c r="E459" t="s">
        <v>1907</v>
      </c>
      <c r="F459" t="s">
        <v>2508</v>
      </c>
      <c r="G459" t="s">
        <v>2509</v>
      </c>
      <c r="H459">
        <v>0</v>
      </c>
      <c r="I459">
        <v>2.7E-2</v>
      </c>
      <c r="J459">
        <v>129</v>
      </c>
    </row>
    <row r="460" spans="1:10" x14ac:dyDescent="0.2">
      <c r="A460" t="s">
        <v>638</v>
      </c>
      <c r="B460" t="s">
        <v>2510</v>
      </c>
      <c r="C460" t="s">
        <v>1506</v>
      </c>
      <c r="D460" t="s">
        <v>1507</v>
      </c>
      <c r="E460" t="s">
        <v>1523</v>
      </c>
      <c r="F460" t="s">
        <v>1985</v>
      </c>
      <c r="G460" t="s">
        <v>2511</v>
      </c>
      <c r="H460">
        <v>0</v>
      </c>
      <c r="I460">
        <v>2.7E-2</v>
      </c>
      <c r="J460">
        <v>128</v>
      </c>
    </row>
    <row r="461" spans="1:10" x14ac:dyDescent="0.2">
      <c r="A461" t="s">
        <v>638</v>
      </c>
      <c r="B461" t="s">
        <v>2512</v>
      </c>
      <c r="C461" t="s">
        <v>1506</v>
      </c>
      <c r="D461" t="s">
        <v>1507</v>
      </c>
      <c r="E461" t="s">
        <v>1679</v>
      </c>
      <c r="F461" t="s">
        <v>1680</v>
      </c>
      <c r="G461" t="s">
        <v>2513</v>
      </c>
      <c r="H461">
        <v>0</v>
      </c>
      <c r="I461">
        <v>2.7E-2</v>
      </c>
      <c r="J461">
        <v>127</v>
      </c>
    </row>
    <row r="462" spans="1:10" x14ac:dyDescent="0.2">
      <c r="A462" t="s">
        <v>638</v>
      </c>
      <c r="B462" t="s">
        <v>2514</v>
      </c>
      <c r="C462" t="s">
        <v>1506</v>
      </c>
      <c r="D462" t="s">
        <v>1507</v>
      </c>
      <c r="E462" t="s">
        <v>1523</v>
      </c>
      <c r="F462" t="s">
        <v>1524</v>
      </c>
      <c r="G462" t="s">
        <v>2515</v>
      </c>
      <c r="H462">
        <v>0</v>
      </c>
      <c r="I462">
        <v>2.1999999999999999E-2</v>
      </c>
      <c r="J462">
        <v>128</v>
      </c>
    </row>
    <row r="463" spans="1:10" x14ac:dyDescent="0.2">
      <c r="A463" t="s">
        <v>638</v>
      </c>
      <c r="B463" t="s">
        <v>2516</v>
      </c>
      <c r="C463" t="s">
        <v>1506</v>
      </c>
      <c r="D463" t="s">
        <v>1507</v>
      </c>
      <c r="E463" t="s">
        <v>1523</v>
      </c>
      <c r="F463" t="s">
        <v>1916</v>
      </c>
      <c r="G463" t="s">
        <v>2517</v>
      </c>
      <c r="H463">
        <v>0</v>
      </c>
      <c r="I463">
        <v>2.1999999999999999E-2</v>
      </c>
      <c r="J463">
        <v>128</v>
      </c>
    </row>
    <row r="464" spans="1:10" x14ac:dyDescent="0.2">
      <c r="A464" t="s">
        <v>638</v>
      </c>
      <c r="B464" t="s">
        <v>2518</v>
      </c>
      <c r="C464" t="s">
        <v>1506</v>
      </c>
      <c r="D464" t="s">
        <v>1507</v>
      </c>
      <c r="E464" t="s">
        <v>2068</v>
      </c>
      <c r="F464" t="s">
        <v>2519</v>
      </c>
      <c r="G464" t="s">
        <v>2520</v>
      </c>
      <c r="H464">
        <v>0</v>
      </c>
      <c r="I464">
        <v>2.1999999999999999E-2</v>
      </c>
      <c r="J464">
        <v>128</v>
      </c>
    </row>
    <row r="465" spans="1:10" x14ac:dyDescent="0.2">
      <c r="A465" t="s">
        <v>638</v>
      </c>
      <c r="B465" t="s">
        <v>2521</v>
      </c>
      <c r="C465" t="s">
        <v>1506</v>
      </c>
      <c r="D465" t="s">
        <v>1507</v>
      </c>
      <c r="E465" t="s">
        <v>1523</v>
      </c>
      <c r="F465" t="s">
        <v>2522</v>
      </c>
      <c r="G465" t="s">
        <v>2523</v>
      </c>
      <c r="H465">
        <v>0</v>
      </c>
      <c r="I465">
        <v>2.1999999999999999E-2</v>
      </c>
      <c r="J465">
        <v>128</v>
      </c>
    </row>
    <row r="466" spans="1:10" x14ac:dyDescent="0.2">
      <c r="A466" t="s">
        <v>638</v>
      </c>
      <c r="B466" t="s">
        <v>2524</v>
      </c>
      <c r="C466" t="s">
        <v>1506</v>
      </c>
      <c r="D466" t="s">
        <v>1507</v>
      </c>
      <c r="E466" t="s">
        <v>1523</v>
      </c>
      <c r="F466" t="s">
        <v>2522</v>
      </c>
      <c r="G466" t="s">
        <v>2525</v>
      </c>
      <c r="H466">
        <v>0</v>
      </c>
      <c r="I466">
        <v>2.1999999999999999E-2</v>
      </c>
      <c r="J466">
        <v>128</v>
      </c>
    </row>
    <row r="467" spans="1:10" x14ac:dyDescent="0.2">
      <c r="A467" t="s">
        <v>638</v>
      </c>
      <c r="B467" t="s">
        <v>2526</v>
      </c>
      <c r="C467" t="s">
        <v>1506</v>
      </c>
      <c r="D467" t="s">
        <v>1507</v>
      </c>
      <c r="E467" t="s">
        <v>1511</v>
      </c>
      <c r="F467" t="s">
        <v>2332</v>
      </c>
      <c r="G467" t="s">
        <v>2527</v>
      </c>
      <c r="H467">
        <v>0</v>
      </c>
      <c r="I467">
        <v>2.1999999999999999E-2</v>
      </c>
      <c r="J467">
        <v>128</v>
      </c>
    </row>
    <row r="468" spans="1:10" x14ac:dyDescent="0.2">
      <c r="A468" t="s">
        <v>638</v>
      </c>
      <c r="B468" t="s">
        <v>2528</v>
      </c>
      <c r="C468" t="s">
        <v>1506</v>
      </c>
      <c r="D468" t="s">
        <v>1507</v>
      </c>
      <c r="E468" t="s">
        <v>1511</v>
      </c>
      <c r="F468" t="s">
        <v>2332</v>
      </c>
      <c r="G468" t="s">
        <v>2529</v>
      </c>
      <c r="H468">
        <v>0</v>
      </c>
      <c r="I468">
        <v>2.1999999999999999E-2</v>
      </c>
      <c r="J468">
        <v>128</v>
      </c>
    </row>
    <row r="469" spans="1:10" x14ac:dyDescent="0.2">
      <c r="A469" t="s">
        <v>638</v>
      </c>
      <c r="B469" t="s">
        <v>2530</v>
      </c>
      <c r="C469" t="s">
        <v>1506</v>
      </c>
      <c r="D469" t="s">
        <v>1507</v>
      </c>
      <c r="E469" t="s">
        <v>1511</v>
      </c>
      <c r="F469" t="s">
        <v>2332</v>
      </c>
      <c r="G469" t="s">
        <v>2468</v>
      </c>
      <c r="H469">
        <v>0</v>
      </c>
      <c r="I469">
        <v>2.1999999999999999E-2</v>
      </c>
      <c r="J469">
        <v>128</v>
      </c>
    </row>
    <row r="470" spans="1:10" x14ac:dyDescent="0.2">
      <c r="A470" t="s">
        <v>638</v>
      </c>
      <c r="B470" t="s">
        <v>2531</v>
      </c>
      <c r="C470" t="s">
        <v>1506</v>
      </c>
      <c r="D470" t="s">
        <v>1507</v>
      </c>
      <c r="E470" t="s">
        <v>1511</v>
      </c>
      <c r="F470" t="s">
        <v>2332</v>
      </c>
      <c r="G470" t="s">
        <v>2532</v>
      </c>
      <c r="H470">
        <v>0</v>
      </c>
      <c r="I470">
        <v>2.1999999999999999E-2</v>
      </c>
      <c r="J470">
        <v>128</v>
      </c>
    </row>
    <row r="471" spans="1:10" x14ac:dyDescent="0.2">
      <c r="A471" t="s">
        <v>638</v>
      </c>
      <c r="B471" t="s">
        <v>2533</v>
      </c>
      <c r="C471" t="s">
        <v>1506</v>
      </c>
      <c r="D471" t="s">
        <v>1507</v>
      </c>
      <c r="E471" t="s">
        <v>1511</v>
      </c>
      <c r="F471" t="s">
        <v>2332</v>
      </c>
      <c r="G471" t="s">
        <v>2534</v>
      </c>
      <c r="H471">
        <v>0</v>
      </c>
      <c r="I471">
        <v>2.1999999999999999E-2</v>
      </c>
      <c r="J471">
        <v>128</v>
      </c>
    </row>
    <row r="472" spans="1:10" x14ac:dyDescent="0.2">
      <c r="A472" t="s">
        <v>638</v>
      </c>
      <c r="B472" t="s">
        <v>2535</v>
      </c>
      <c r="C472" t="s">
        <v>1506</v>
      </c>
      <c r="D472" t="s">
        <v>1507</v>
      </c>
      <c r="E472" t="s">
        <v>1511</v>
      </c>
      <c r="F472" t="s">
        <v>2332</v>
      </c>
      <c r="G472" t="s">
        <v>2536</v>
      </c>
      <c r="H472">
        <v>0</v>
      </c>
      <c r="I472">
        <v>2.1999999999999999E-2</v>
      </c>
      <c r="J472">
        <v>128</v>
      </c>
    </row>
    <row r="473" spans="1:10" x14ac:dyDescent="0.2">
      <c r="A473" t="s">
        <v>638</v>
      </c>
      <c r="B473" t="s">
        <v>2537</v>
      </c>
      <c r="C473" t="s">
        <v>1506</v>
      </c>
      <c r="D473" t="s">
        <v>1507</v>
      </c>
      <c r="E473" t="s">
        <v>1511</v>
      </c>
      <c r="F473" t="s">
        <v>2332</v>
      </c>
      <c r="G473" t="s">
        <v>2345</v>
      </c>
      <c r="H473">
        <v>0</v>
      </c>
      <c r="I473">
        <v>2.1999999999999999E-2</v>
      </c>
      <c r="J473">
        <v>128</v>
      </c>
    </row>
    <row r="474" spans="1:10" x14ac:dyDescent="0.2">
      <c r="A474" t="s">
        <v>638</v>
      </c>
      <c r="B474" t="s">
        <v>2538</v>
      </c>
      <c r="C474" t="s">
        <v>1506</v>
      </c>
      <c r="D474" t="s">
        <v>1507</v>
      </c>
      <c r="E474" t="s">
        <v>1511</v>
      </c>
      <c r="F474" t="s">
        <v>2332</v>
      </c>
      <c r="G474" t="s">
        <v>2539</v>
      </c>
      <c r="H474">
        <v>0</v>
      </c>
      <c r="I474">
        <v>2.1999999999999999E-2</v>
      </c>
      <c r="J474">
        <v>128</v>
      </c>
    </row>
    <row r="475" spans="1:10" x14ac:dyDescent="0.2">
      <c r="A475" t="s">
        <v>638</v>
      </c>
      <c r="B475" t="s">
        <v>2540</v>
      </c>
      <c r="C475" t="s">
        <v>1506</v>
      </c>
      <c r="D475" t="s">
        <v>1507</v>
      </c>
      <c r="E475" t="s">
        <v>1511</v>
      </c>
      <c r="F475" t="s">
        <v>2332</v>
      </c>
      <c r="G475" t="s">
        <v>2541</v>
      </c>
      <c r="H475">
        <v>0</v>
      </c>
      <c r="I475">
        <v>2.1999999999999999E-2</v>
      </c>
      <c r="J475">
        <v>128</v>
      </c>
    </row>
    <row r="476" spans="1:10" x14ac:dyDescent="0.2">
      <c r="A476" t="s">
        <v>638</v>
      </c>
      <c r="B476" t="s">
        <v>2542</v>
      </c>
      <c r="C476" t="s">
        <v>1506</v>
      </c>
      <c r="D476" t="s">
        <v>1507</v>
      </c>
      <c r="E476" t="s">
        <v>1511</v>
      </c>
      <c r="F476" t="s">
        <v>2332</v>
      </c>
      <c r="G476" t="s">
        <v>2541</v>
      </c>
      <c r="H476">
        <v>0</v>
      </c>
      <c r="I476">
        <v>2.1999999999999999E-2</v>
      </c>
      <c r="J476">
        <v>128</v>
      </c>
    </row>
    <row r="477" spans="1:10" x14ac:dyDescent="0.2">
      <c r="A477" t="s">
        <v>638</v>
      </c>
      <c r="B477" t="s">
        <v>2543</v>
      </c>
      <c r="C477" t="s">
        <v>1506</v>
      </c>
      <c r="D477" t="s">
        <v>1507</v>
      </c>
      <c r="E477" t="s">
        <v>1511</v>
      </c>
      <c r="F477" t="s">
        <v>2332</v>
      </c>
      <c r="G477" t="s">
        <v>2541</v>
      </c>
      <c r="H477">
        <v>0</v>
      </c>
      <c r="I477">
        <v>2.1999999999999999E-2</v>
      </c>
      <c r="J477">
        <v>128</v>
      </c>
    </row>
    <row r="478" spans="1:10" x14ac:dyDescent="0.2">
      <c r="A478" t="s">
        <v>638</v>
      </c>
      <c r="B478" t="s">
        <v>2544</v>
      </c>
      <c r="C478" t="s">
        <v>1506</v>
      </c>
      <c r="D478" t="s">
        <v>1507</v>
      </c>
      <c r="E478" t="s">
        <v>1895</v>
      </c>
      <c r="F478" t="s">
        <v>1896</v>
      </c>
      <c r="G478" t="s">
        <v>2545</v>
      </c>
      <c r="H478">
        <v>0</v>
      </c>
      <c r="I478">
        <v>2.1000000000000001E-2</v>
      </c>
      <c r="J478">
        <v>128</v>
      </c>
    </row>
    <row r="479" spans="1:10" x14ac:dyDescent="0.2">
      <c r="A479" t="s">
        <v>638</v>
      </c>
      <c r="B479" t="s">
        <v>2546</v>
      </c>
      <c r="C479" t="s">
        <v>1506</v>
      </c>
      <c r="D479" t="s">
        <v>1507</v>
      </c>
      <c r="E479" t="s">
        <v>1523</v>
      </c>
      <c r="F479" t="s">
        <v>2089</v>
      </c>
      <c r="G479" t="s">
        <v>2547</v>
      </c>
      <c r="H479">
        <v>0</v>
      </c>
      <c r="I479">
        <v>2.1000000000000001E-2</v>
      </c>
      <c r="J479">
        <v>128</v>
      </c>
    </row>
    <row r="480" spans="1:10" x14ac:dyDescent="0.2">
      <c r="A480" t="s">
        <v>638</v>
      </c>
      <c r="B480" t="s">
        <v>2548</v>
      </c>
      <c r="C480" t="s">
        <v>1506</v>
      </c>
      <c r="D480" t="s">
        <v>1507</v>
      </c>
      <c r="E480" t="s">
        <v>2004</v>
      </c>
      <c r="F480" t="s">
        <v>2005</v>
      </c>
      <c r="G480" t="s">
        <v>2549</v>
      </c>
      <c r="H480">
        <v>0</v>
      </c>
      <c r="I480">
        <v>2.1000000000000001E-2</v>
      </c>
      <c r="J480">
        <v>128</v>
      </c>
    </row>
    <row r="481" spans="1:10" x14ac:dyDescent="0.2">
      <c r="A481" t="s">
        <v>638</v>
      </c>
      <c r="B481" t="s">
        <v>2550</v>
      </c>
      <c r="C481" t="s">
        <v>1506</v>
      </c>
      <c r="D481" t="s">
        <v>1507</v>
      </c>
      <c r="E481" t="s">
        <v>2004</v>
      </c>
      <c r="F481" t="s">
        <v>2005</v>
      </c>
      <c r="G481" t="s">
        <v>2549</v>
      </c>
      <c r="H481">
        <v>0</v>
      </c>
      <c r="I481">
        <v>2.1000000000000001E-2</v>
      </c>
      <c r="J481">
        <v>128</v>
      </c>
    </row>
    <row r="482" spans="1:10" x14ac:dyDescent="0.2">
      <c r="A482" t="s">
        <v>638</v>
      </c>
      <c r="B482" t="s">
        <v>2551</v>
      </c>
      <c r="C482" t="s">
        <v>1506</v>
      </c>
      <c r="D482" t="s">
        <v>1507</v>
      </c>
      <c r="E482" t="s">
        <v>1523</v>
      </c>
      <c r="F482" t="s">
        <v>1985</v>
      </c>
      <c r="G482" t="s">
        <v>2552</v>
      </c>
      <c r="H482">
        <v>0</v>
      </c>
      <c r="I482">
        <v>0.02</v>
      </c>
      <c r="J482">
        <v>129</v>
      </c>
    </row>
    <row r="483" spans="1:10" x14ac:dyDescent="0.2">
      <c r="A483" t="s">
        <v>638</v>
      </c>
      <c r="B483" t="s">
        <v>2553</v>
      </c>
      <c r="C483" t="s">
        <v>1506</v>
      </c>
      <c r="D483" t="s">
        <v>1507</v>
      </c>
      <c r="E483" t="s">
        <v>1789</v>
      </c>
      <c r="F483" t="s">
        <v>2170</v>
      </c>
      <c r="G483" t="s">
        <v>2554</v>
      </c>
      <c r="H483">
        <v>0</v>
      </c>
      <c r="I483">
        <v>0.02</v>
      </c>
      <c r="J483">
        <v>129</v>
      </c>
    </row>
    <row r="484" spans="1:10" x14ac:dyDescent="0.2">
      <c r="A484" t="s">
        <v>638</v>
      </c>
      <c r="B484" t="s">
        <v>2555</v>
      </c>
      <c r="C484" t="s">
        <v>1506</v>
      </c>
      <c r="D484" t="s">
        <v>1507</v>
      </c>
      <c r="E484" t="s">
        <v>1544</v>
      </c>
      <c r="F484" t="s">
        <v>1545</v>
      </c>
      <c r="G484" t="s">
        <v>2556</v>
      </c>
      <c r="H484">
        <v>0</v>
      </c>
      <c r="I484">
        <v>0.02</v>
      </c>
      <c r="J484">
        <v>128</v>
      </c>
    </row>
    <row r="485" spans="1:10" x14ac:dyDescent="0.2">
      <c r="A485" t="s">
        <v>638</v>
      </c>
      <c r="B485" t="s">
        <v>2557</v>
      </c>
      <c r="C485" t="s">
        <v>1506</v>
      </c>
      <c r="D485" t="s">
        <v>1507</v>
      </c>
      <c r="E485" t="s">
        <v>2357</v>
      </c>
      <c r="F485" t="s">
        <v>2358</v>
      </c>
      <c r="G485" t="s">
        <v>2558</v>
      </c>
      <c r="H485">
        <v>0</v>
      </c>
      <c r="I485">
        <v>0.02</v>
      </c>
      <c r="J485">
        <v>128</v>
      </c>
    </row>
    <row r="486" spans="1:10" x14ac:dyDescent="0.2">
      <c r="A486" t="s">
        <v>638</v>
      </c>
      <c r="B486" t="s">
        <v>2559</v>
      </c>
      <c r="C486" t="s">
        <v>1506</v>
      </c>
      <c r="D486" t="s">
        <v>1507</v>
      </c>
      <c r="E486" t="s">
        <v>1596</v>
      </c>
      <c r="F486" t="s">
        <v>2072</v>
      </c>
      <c r="G486" t="s">
        <v>2560</v>
      </c>
      <c r="H486">
        <v>0</v>
      </c>
      <c r="I486">
        <v>0.02</v>
      </c>
      <c r="J486">
        <v>129</v>
      </c>
    </row>
    <row r="487" spans="1:10" x14ac:dyDescent="0.2">
      <c r="A487" t="s">
        <v>638</v>
      </c>
      <c r="B487" t="s">
        <v>2561</v>
      </c>
      <c r="C487" t="s">
        <v>1506</v>
      </c>
      <c r="D487" t="s">
        <v>1507</v>
      </c>
      <c r="E487" t="s">
        <v>1789</v>
      </c>
      <c r="F487" t="s">
        <v>2029</v>
      </c>
      <c r="G487" t="s">
        <v>2562</v>
      </c>
      <c r="H487">
        <v>0</v>
      </c>
      <c r="I487">
        <v>0.02</v>
      </c>
      <c r="J487">
        <v>129</v>
      </c>
    </row>
    <row r="488" spans="1:10" x14ac:dyDescent="0.2">
      <c r="A488" t="s">
        <v>638</v>
      </c>
      <c r="B488" t="s">
        <v>2563</v>
      </c>
      <c r="C488" t="s">
        <v>1506</v>
      </c>
      <c r="D488" t="s">
        <v>1507</v>
      </c>
      <c r="E488" t="s">
        <v>1789</v>
      </c>
      <c r="F488" t="s">
        <v>2029</v>
      </c>
      <c r="G488" t="s">
        <v>2564</v>
      </c>
      <c r="H488">
        <v>0</v>
      </c>
      <c r="I488">
        <v>0.02</v>
      </c>
      <c r="J488">
        <v>128</v>
      </c>
    </row>
    <row r="489" spans="1:10" x14ac:dyDescent="0.2">
      <c r="A489" t="s">
        <v>638</v>
      </c>
      <c r="B489" t="s">
        <v>2565</v>
      </c>
      <c r="C489" t="s">
        <v>1506</v>
      </c>
      <c r="D489" t="s">
        <v>1507</v>
      </c>
      <c r="E489" t="s">
        <v>2004</v>
      </c>
      <c r="F489" t="s">
        <v>2005</v>
      </c>
      <c r="G489" t="s">
        <v>2566</v>
      </c>
      <c r="H489">
        <v>0</v>
      </c>
      <c r="I489">
        <v>0.02</v>
      </c>
      <c r="J489">
        <v>128</v>
      </c>
    </row>
    <row r="490" spans="1:10" x14ac:dyDescent="0.2">
      <c r="A490" t="s">
        <v>638</v>
      </c>
      <c r="B490" t="s">
        <v>2567</v>
      </c>
      <c r="C490" t="s">
        <v>1506</v>
      </c>
      <c r="D490" t="s">
        <v>1507</v>
      </c>
      <c r="E490" t="s">
        <v>1508</v>
      </c>
      <c r="F490" t="s">
        <v>1509</v>
      </c>
      <c r="G490" t="s">
        <v>2568</v>
      </c>
      <c r="H490">
        <v>0</v>
      </c>
      <c r="I490">
        <v>0.02</v>
      </c>
      <c r="J490">
        <v>129</v>
      </c>
    </row>
    <row r="491" spans="1:10" x14ac:dyDescent="0.2">
      <c r="A491" t="s">
        <v>638</v>
      </c>
      <c r="B491" t="s">
        <v>39</v>
      </c>
      <c r="C491" t="s">
        <v>1506</v>
      </c>
      <c r="D491" t="s">
        <v>1507</v>
      </c>
      <c r="E491" t="s">
        <v>1508</v>
      </c>
      <c r="F491" t="s">
        <v>1509</v>
      </c>
      <c r="G491" t="s">
        <v>40</v>
      </c>
      <c r="H491">
        <v>0</v>
      </c>
      <c r="I491">
        <v>0.02</v>
      </c>
      <c r="J491">
        <v>129</v>
      </c>
    </row>
    <row r="492" spans="1:10" x14ac:dyDescent="0.2">
      <c r="A492" t="s">
        <v>638</v>
      </c>
      <c r="B492" t="s">
        <v>42</v>
      </c>
      <c r="C492" t="s">
        <v>1506</v>
      </c>
      <c r="D492" t="s">
        <v>1507</v>
      </c>
      <c r="E492" t="s">
        <v>1508</v>
      </c>
      <c r="F492" t="s">
        <v>1509</v>
      </c>
      <c r="G492" t="s">
        <v>43</v>
      </c>
      <c r="H492">
        <v>0</v>
      </c>
      <c r="I492">
        <v>0.02</v>
      </c>
      <c r="J492">
        <v>129</v>
      </c>
    </row>
    <row r="493" spans="1:10" x14ac:dyDescent="0.2">
      <c r="A493" t="s">
        <v>638</v>
      </c>
      <c r="B493" t="s">
        <v>7</v>
      </c>
      <c r="C493" t="s">
        <v>1506</v>
      </c>
      <c r="D493" t="s">
        <v>1507</v>
      </c>
      <c r="E493" t="s">
        <v>1508</v>
      </c>
      <c r="F493" t="s">
        <v>1509</v>
      </c>
      <c r="G493" t="s">
        <v>9</v>
      </c>
      <c r="H493">
        <v>0</v>
      </c>
      <c r="I493">
        <v>0.02</v>
      </c>
      <c r="J493">
        <v>129</v>
      </c>
    </row>
    <row r="494" spans="1:10" x14ac:dyDescent="0.2">
      <c r="A494" t="s">
        <v>638</v>
      </c>
      <c r="B494" t="s">
        <v>2569</v>
      </c>
      <c r="C494" t="s">
        <v>1506</v>
      </c>
      <c r="D494" t="s">
        <v>1507</v>
      </c>
      <c r="E494" t="s">
        <v>1596</v>
      </c>
      <c r="F494" t="s">
        <v>2072</v>
      </c>
      <c r="G494" t="s">
        <v>2570</v>
      </c>
      <c r="H494">
        <v>0</v>
      </c>
      <c r="I494">
        <v>0.02</v>
      </c>
      <c r="J494">
        <v>128</v>
      </c>
    </row>
    <row r="495" spans="1:10" x14ac:dyDescent="0.2">
      <c r="A495" t="s">
        <v>638</v>
      </c>
      <c r="B495" t="s">
        <v>2571</v>
      </c>
      <c r="C495" t="s">
        <v>1506</v>
      </c>
      <c r="D495" t="s">
        <v>1507</v>
      </c>
      <c r="E495" t="s">
        <v>1596</v>
      </c>
      <c r="F495" t="s">
        <v>2072</v>
      </c>
      <c r="G495" t="s">
        <v>2572</v>
      </c>
      <c r="H495">
        <v>0</v>
      </c>
      <c r="I495">
        <v>0.02</v>
      </c>
      <c r="J495">
        <v>128</v>
      </c>
    </row>
    <row r="496" spans="1:10" x14ac:dyDescent="0.2">
      <c r="A496" t="s">
        <v>638</v>
      </c>
      <c r="B496" t="s">
        <v>2573</v>
      </c>
      <c r="C496" t="s">
        <v>1506</v>
      </c>
      <c r="D496" t="s">
        <v>1507</v>
      </c>
      <c r="E496" t="s">
        <v>1596</v>
      </c>
      <c r="F496" t="s">
        <v>2072</v>
      </c>
      <c r="G496" t="s">
        <v>2572</v>
      </c>
      <c r="H496">
        <v>0</v>
      </c>
      <c r="I496">
        <v>0.02</v>
      </c>
      <c r="J496">
        <v>128</v>
      </c>
    </row>
    <row r="497" spans="1:10" x14ac:dyDescent="0.2">
      <c r="A497" t="s">
        <v>638</v>
      </c>
      <c r="B497" t="s">
        <v>2574</v>
      </c>
      <c r="C497" t="s">
        <v>1506</v>
      </c>
      <c r="D497" t="s">
        <v>1507</v>
      </c>
      <c r="E497" t="s">
        <v>1658</v>
      </c>
      <c r="F497" t="s">
        <v>1973</v>
      </c>
      <c r="G497" t="s">
        <v>2575</v>
      </c>
      <c r="H497">
        <v>0</v>
      </c>
      <c r="I497">
        <v>0.02</v>
      </c>
      <c r="J497">
        <v>128</v>
      </c>
    </row>
    <row r="498" spans="1:10" x14ac:dyDescent="0.2">
      <c r="A498" t="s">
        <v>638</v>
      </c>
      <c r="B498" t="s">
        <v>2576</v>
      </c>
      <c r="C498" t="s">
        <v>1506</v>
      </c>
      <c r="D498" t="s">
        <v>1507</v>
      </c>
      <c r="E498" t="s">
        <v>1596</v>
      </c>
      <c r="F498" t="s">
        <v>2072</v>
      </c>
      <c r="G498" t="s">
        <v>2577</v>
      </c>
      <c r="H498">
        <v>0</v>
      </c>
      <c r="I498">
        <v>0.02</v>
      </c>
      <c r="J498">
        <v>129</v>
      </c>
    </row>
    <row r="499" spans="1:10" x14ac:dyDescent="0.2">
      <c r="A499" t="s">
        <v>638</v>
      </c>
      <c r="B499" t="s">
        <v>2578</v>
      </c>
      <c r="C499" t="s">
        <v>1506</v>
      </c>
      <c r="D499" t="s">
        <v>1507</v>
      </c>
      <c r="E499" t="s">
        <v>1789</v>
      </c>
      <c r="F499" t="s">
        <v>2029</v>
      </c>
      <c r="G499" t="s">
        <v>2579</v>
      </c>
      <c r="H499">
        <v>0</v>
      </c>
      <c r="I499">
        <v>1.9E-2</v>
      </c>
      <c r="J499">
        <v>129</v>
      </c>
    </row>
    <row r="500" spans="1:10" x14ac:dyDescent="0.2">
      <c r="A500" t="s">
        <v>638</v>
      </c>
      <c r="B500" t="s">
        <v>2580</v>
      </c>
      <c r="C500" t="s">
        <v>1506</v>
      </c>
      <c r="D500" t="s">
        <v>1507</v>
      </c>
      <c r="E500" t="s">
        <v>1515</v>
      </c>
      <c r="F500" t="s">
        <v>1516</v>
      </c>
      <c r="G500" t="s">
        <v>2581</v>
      </c>
      <c r="H500">
        <v>0</v>
      </c>
      <c r="I500">
        <v>1.9E-2</v>
      </c>
      <c r="J500">
        <v>129</v>
      </c>
    </row>
    <row r="501" spans="1:10" x14ac:dyDescent="0.2">
      <c r="A501" t="s">
        <v>638</v>
      </c>
      <c r="B501" t="s">
        <v>2582</v>
      </c>
      <c r="C501" t="s">
        <v>1506</v>
      </c>
      <c r="D501" t="s">
        <v>1507</v>
      </c>
      <c r="E501" t="s">
        <v>1571</v>
      </c>
      <c r="F501" t="s">
        <v>1572</v>
      </c>
      <c r="G501" t="s">
        <v>2583</v>
      </c>
      <c r="H501">
        <v>0</v>
      </c>
      <c r="I501">
        <v>1.9E-2</v>
      </c>
      <c r="J501">
        <v>128</v>
      </c>
    </row>
    <row r="502" spans="1:10" x14ac:dyDescent="0.2">
      <c r="A502" t="s">
        <v>638</v>
      </c>
      <c r="B502" t="s">
        <v>2584</v>
      </c>
      <c r="C502" t="s">
        <v>1506</v>
      </c>
      <c r="D502" t="s">
        <v>1507</v>
      </c>
      <c r="E502" t="s">
        <v>2585</v>
      </c>
      <c r="F502" t="s">
        <v>2586</v>
      </c>
      <c r="G502" t="s">
        <v>2587</v>
      </c>
      <c r="H502">
        <v>0</v>
      </c>
      <c r="I502">
        <v>1.7999999999999999E-2</v>
      </c>
      <c r="J502">
        <v>130</v>
      </c>
    </row>
    <row r="503" spans="1:10" x14ac:dyDescent="0.2">
      <c r="A503" t="s">
        <v>638</v>
      </c>
      <c r="B503" t="s">
        <v>2588</v>
      </c>
      <c r="C503" t="s">
        <v>1506</v>
      </c>
      <c r="D503" t="s">
        <v>1507</v>
      </c>
      <c r="E503" t="s">
        <v>1511</v>
      </c>
      <c r="F503" t="s">
        <v>1512</v>
      </c>
      <c r="G503" t="s">
        <v>2589</v>
      </c>
      <c r="H503">
        <v>0</v>
      </c>
      <c r="I503">
        <v>1.7999999999999999E-2</v>
      </c>
      <c r="J503">
        <v>128</v>
      </c>
    </row>
    <row r="504" spans="1:10" x14ac:dyDescent="0.2">
      <c r="A504" t="s">
        <v>638</v>
      </c>
      <c r="B504" t="s">
        <v>2590</v>
      </c>
      <c r="C504" t="s">
        <v>1506</v>
      </c>
      <c r="D504" t="s">
        <v>1507</v>
      </c>
      <c r="E504" t="s">
        <v>1765</v>
      </c>
      <c r="F504" t="s">
        <v>2591</v>
      </c>
      <c r="G504" t="s">
        <v>2592</v>
      </c>
      <c r="H504">
        <v>0</v>
      </c>
      <c r="I504">
        <v>1.7999999999999999E-2</v>
      </c>
      <c r="J504">
        <v>128</v>
      </c>
    </row>
    <row r="505" spans="1:10" x14ac:dyDescent="0.2">
      <c r="A505" t="s">
        <v>638</v>
      </c>
      <c r="B505" t="s">
        <v>2593</v>
      </c>
      <c r="C505" t="s">
        <v>1506</v>
      </c>
      <c r="D505" t="s">
        <v>1507</v>
      </c>
      <c r="E505" t="s">
        <v>1633</v>
      </c>
      <c r="F505" t="s">
        <v>1634</v>
      </c>
      <c r="G505" t="s">
        <v>2594</v>
      </c>
      <c r="H505">
        <v>0</v>
      </c>
      <c r="I505">
        <v>1.7999999999999999E-2</v>
      </c>
      <c r="J505">
        <v>128</v>
      </c>
    </row>
    <row r="506" spans="1:10" x14ac:dyDescent="0.2">
      <c r="A506" t="s">
        <v>638</v>
      </c>
      <c r="B506" t="s">
        <v>2595</v>
      </c>
      <c r="C506" t="s">
        <v>1506</v>
      </c>
      <c r="D506" t="s">
        <v>1507</v>
      </c>
      <c r="E506" t="s">
        <v>1523</v>
      </c>
      <c r="F506" t="s">
        <v>1985</v>
      </c>
      <c r="G506" t="s">
        <v>2596</v>
      </c>
      <c r="H506">
        <v>0</v>
      </c>
      <c r="I506">
        <v>1.7000000000000001E-2</v>
      </c>
      <c r="J506">
        <v>129</v>
      </c>
    </row>
    <row r="507" spans="1:10" x14ac:dyDescent="0.2">
      <c r="A507" t="s">
        <v>638</v>
      </c>
      <c r="B507" t="s">
        <v>2597</v>
      </c>
      <c r="C507" t="s">
        <v>1506</v>
      </c>
      <c r="D507" t="s">
        <v>1507</v>
      </c>
      <c r="E507" t="s">
        <v>2357</v>
      </c>
      <c r="F507" t="s">
        <v>2598</v>
      </c>
      <c r="G507" t="s">
        <v>2599</v>
      </c>
      <c r="H507">
        <v>0</v>
      </c>
      <c r="I507">
        <v>1.7000000000000001E-2</v>
      </c>
      <c r="J507">
        <v>128</v>
      </c>
    </row>
    <row r="508" spans="1:10" x14ac:dyDescent="0.2">
      <c r="A508" t="s">
        <v>638</v>
      </c>
      <c r="B508" t="s">
        <v>2600</v>
      </c>
      <c r="C508" t="s">
        <v>1506</v>
      </c>
      <c r="D508" t="s">
        <v>1507</v>
      </c>
      <c r="E508" t="s">
        <v>1523</v>
      </c>
      <c r="F508" t="s">
        <v>1985</v>
      </c>
      <c r="G508" t="s">
        <v>2601</v>
      </c>
      <c r="H508">
        <v>0</v>
      </c>
      <c r="I508">
        <v>1.7000000000000001E-2</v>
      </c>
      <c r="J508">
        <v>129</v>
      </c>
    </row>
    <row r="509" spans="1:10" x14ac:dyDescent="0.2">
      <c r="A509" t="s">
        <v>638</v>
      </c>
      <c r="B509" t="s">
        <v>2602</v>
      </c>
      <c r="C509" t="s">
        <v>1506</v>
      </c>
      <c r="D509" t="s">
        <v>1507</v>
      </c>
      <c r="E509" t="s">
        <v>1571</v>
      </c>
      <c r="F509" t="s">
        <v>1572</v>
      </c>
      <c r="G509" t="s">
        <v>2603</v>
      </c>
      <c r="H509">
        <v>0</v>
      </c>
      <c r="I509">
        <v>1.7000000000000001E-2</v>
      </c>
      <c r="J509">
        <v>128</v>
      </c>
    </row>
    <row r="510" spans="1:10" x14ac:dyDescent="0.2">
      <c r="A510" t="s">
        <v>638</v>
      </c>
      <c r="B510" t="s">
        <v>2604</v>
      </c>
      <c r="C510" t="s">
        <v>1506</v>
      </c>
      <c r="D510" t="s">
        <v>1507</v>
      </c>
      <c r="E510" t="s">
        <v>1895</v>
      </c>
      <c r="F510" t="s">
        <v>1896</v>
      </c>
      <c r="G510" t="s">
        <v>2605</v>
      </c>
      <c r="H510">
        <v>0</v>
      </c>
      <c r="I510">
        <v>1.7000000000000001E-2</v>
      </c>
      <c r="J510">
        <v>128</v>
      </c>
    </row>
    <row r="511" spans="1:10" x14ac:dyDescent="0.2">
      <c r="A511" t="s">
        <v>638</v>
      </c>
      <c r="B511" t="s">
        <v>2606</v>
      </c>
      <c r="C511" t="s">
        <v>1506</v>
      </c>
      <c r="D511" t="s">
        <v>1507</v>
      </c>
      <c r="E511" t="s">
        <v>1895</v>
      </c>
      <c r="F511" t="s">
        <v>1896</v>
      </c>
      <c r="G511" t="s">
        <v>2607</v>
      </c>
      <c r="H511">
        <v>0</v>
      </c>
      <c r="I511">
        <v>1.7000000000000001E-2</v>
      </c>
      <c r="J511">
        <v>128</v>
      </c>
    </row>
    <row r="512" spans="1:10" x14ac:dyDescent="0.2">
      <c r="A512" t="s">
        <v>638</v>
      </c>
      <c r="B512" t="s">
        <v>2608</v>
      </c>
      <c r="C512" t="s">
        <v>1506</v>
      </c>
      <c r="D512" t="s">
        <v>1507</v>
      </c>
      <c r="E512" t="s">
        <v>1511</v>
      </c>
      <c r="F512" t="s">
        <v>2332</v>
      </c>
      <c r="G512" t="s">
        <v>2609</v>
      </c>
      <c r="H512">
        <v>0</v>
      </c>
      <c r="I512">
        <v>1.7000000000000001E-2</v>
      </c>
      <c r="J512">
        <v>128</v>
      </c>
    </row>
    <row r="513" spans="1:10" x14ac:dyDescent="0.2">
      <c r="A513" t="s">
        <v>638</v>
      </c>
      <c r="B513" t="s">
        <v>2610</v>
      </c>
      <c r="C513" t="s">
        <v>1506</v>
      </c>
      <c r="D513" t="s">
        <v>1507</v>
      </c>
      <c r="E513" t="s">
        <v>8</v>
      </c>
      <c r="F513" t="s">
        <v>1578</v>
      </c>
      <c r="G513" t="s">
        <v>2611</v>
      </c>
      <c r="H513">
        <v>0</v>
      </c>
      <c r="I513">
        <v>1.7000000000000001E-2</v>
      </c>
      <c r="J513">
        <v>129</v>
      </c>
    </row>
    <row r="514" spans="1:10" x14ac:dyDescent="0.2">
      <c r="A514" t="s">
        <v>638</v>
      </c>
      <c r="B514" t="s">
        <v>2612</v>
      </c>
      <c r="C514" t="s">
        <v>1506</v>
      </c>
      <c r="D514" t="s">
        <v>1507</v>
      </c>
      <c r="E514" t="s">
        <v>1508</v>
      </c>
      <c r="F514" t="s">
        <v>1509</v>
      </c>
      <c r="G514" t="s">
        <v>2613</v>
      </c>
      <c r="H514">
        <v>0</v>
      </c>
      <c r="I514">
        <v>1.7000000000000001E-2</v>
      </c>
      <c r="J514">
        <v>129</v>
      </c>
    </row>
    <row r="515" spans="1:10" x14ac:dyDescent="0.2">
      <c r="A515" t="s">
        <v>638</v>
      </c>
      <c r="B515" t="s">
        <v>2614</v>
      </c>
      <c r="C515" t="s">
        <v>1506</v>
      </c>
      <c r="D515" t="s">
        <v>1507</v>
      </c>
      <c r="E515" t="s">
        <v>1508</v>
      </c>
      <c r="F515" t="s">
        <v>1509</v>
      </c>
      <c r="G515" t="s">
        <v>2615</v>
      </c>
      <c r="H515">
        <v>0</v>
      </c>
      <c r="I515">
        <v>1.7000000000000001E-2</v>
      </c>
      <c r="J515">
        <v>129</v>
      </c>
    </row>
    <row r="516" spans="1:10" x14ac:dyDescent="0.2">
      <c r="A516" t="s">
        <v>638</v>
      </c>
      <c r="B516" t="s">
        <v>2616</v>
      </c>
      <c r="C516" t="s">
        <v>1506</v>
      </c>
      <c r="D516" t="s">
        <v>1507</v>
      </c>
      <c r="E516" t="s">
        <v>1844</v>
      </c>
      <c r="F516" t="s">
        <v>2617</v>
      </c>
      <c r="G516" t="s">
        <v>2618</v>
      </c>
      <c r="H516">
        <v>0</v>
      </c>
      <c r="I516">
        <v>1.7000000000000001E-2</v>
      </c>
      <c r="J516">
        <v>128</v>
      </c>
    </row>
    <row r="517" spans="1:10" x14ac:dyDescent="0.2">
      <c r="A517" t="s">
        <v>638</v>
      </c>
      <c r="B517" t="s">
        <v>2619</v>
      </c>
      <c r="C517" t="s">
        <v>1506</v>
      </c>
      <c r="D517" t="s">
        <v>1507</v>
      </c>
      <c r="E517" t="s">
        <v>1519</v>
      </c>
      <c r="F517" t="s">
        <v>2620</v>
      </c>
      <c r="G517" t="s">
        <v>2621</v>
      </c>
      <c r="H517">
        <v>0</v>
      </c>
      <c r="I517">
        <v>1.7000000000000001E-2</v>
      </c>
      <c r="J517">
        <v>128</v>
      </c>
    </row>
    <row r="518" spans="1:10" x14ac:dyDescent="0.2">
      <c r="A518" t="s">
        <v>638</v>
      </c>
      <c r="B518" t="s">
        <v>2622</v>
      </c>
      <c r="C518" t="s">
        <v>1506</v>
      </c>
      <c r="D518" t="s">
        <v>1507</v>
      </c>
      <c r="E518" t="s">
        <v>1658</v>
      </c>
      <c r="F518" t="s">
        <v>2381</v>
      </c>
      <c r="G518" t="s">
        <v>2623</v>
      </c>
      <c r="H518">
        <v>0</v>
      </c>
      <c r="I518">
        <v>1.7000000000000001E-2</v>
      </c>
      <c r="J518">
        <v>128</v>
      </c>
    </row>
    <row r="519" spans="1:10" x14ac:dyDescent="0.2">
      <c r="A519" t="s">
        <v>638</v>
      </c>
      <c r="B519" t="s">
        <v>2624</v>
      </c>
      <c r="C519" t="s">
        <v>1506</v>
      </c>
      <c r="D519" t="s">
        <v>1507</v>
      </c>
      <c r="E519" t="s">
        <v>1679</v>
      </c>
      <c r="F519" t="s">
        <v>1680</v>
      </c>
      <c r="G519" t="s">
        <v>2625</v>
      </c>
      <c r="H519">
        <v>0</v>
      </c>
      <c r="I519">
        <v>1.7000000000000001E-2</v>
      </c>
      <c r="J519">
        <v>130</v>
      </c>
    </row>
    <row r="520" spans="1:10" x14ac:dyDescent="0.2">
      <c r="A520" t="s">
        <v>638</v>
      </c>
      <c r="B520" t="s">
        <v>2626</v>
      </c>
      <c r="C520" t="s">
        <v>1506</v>
      </c>
      <c r="D520" t="s">
        <v>1507</v>
      </c>
      <c r="E520" t="s">
        <v>1679</v>
      </c>
      <c r="F520" t="s">
        <v>1680</v>
      </c>
      <c r="G520" t="s">
        <v>2627</v>
      </c>
      <c r="H520">
        <v>0</v>
      </c>
      <c r="I520">
        <v>1.7000000000000001E-2</v>
      </c>
      <c r="J520">
        <v>127</v>
      </c>
    </row>
    <row r="521" spans="1:10" x14ac:dyDescent="0.2">
      <c r="A521" t="s">
        <v>638</v>
      </c>
      <c r="B521" t="s">
        <v>2628</v>
      </c>
      <c r="C521" t="s">
        <v>1506</v>
      </c>
      <c r="D521" t="s">
        <v>1507</v>
      </c>
      <c r="E521" t="s">
        <v>1679</v>
      </c>
      <c r="F521" t="s">
        <v>1680</v>
      </c>
      <c r="G521" t="s">
        <v>2629</v>
      </c>
      <c r="H521">
        <v>0</v>
      </c>
      <c r="I521">
        <v>1.7000000000000001E-2</v>
      </c>
      <c r="J521">
        <v>127</v>
      </c>
    </row>
    <row r="522" spans="1:10" x14ac:dyDescent="0.2">
      <c r="A522" t="s">
        <v>638</v>
      </c>
      <c r="B522" t="s">
        <v>2630</v>
      </c>
      <c r="C522" t="s">
        <v>1506</v>
      </c>
      <c r="D522" t="s">
        <v>1507</v>
      </c>
      <c r="E522" t="s">
        <v>1571</v>
      </c>
      <c r="F522" t="s">
        <v>1572</v>
      </c>
      <c r="G522" t="s">
        <v>2631</v>
      </c>
      <c r="H522">
        <v>0</v>
      </c>
      <c r="I522">
        <v>1.7000000000000001E-2</v>
      </c>
      <c r="J522">
        <v>128</v>
      </c>
    </row>
    <row r="523" spans="1:10" x14ac:dyDescent="0.2">
      <c r="A523" t="s">
        <v>638</v>
      </c>
      <c r="B523" t="s">
        <v>2632</v>
      </c>
      <c r="C523" t="s">
        <v>1506</v>
      </c>
      <c r="D523" t="s">
        <v>1507</v>
      </c>
      <c r="E523" t="s">
        <v>1596</v>
      </c>
      <c r="F523" t="s">
        <v>2072</v>
      </c>
      <c r="G523" t="s">
        <v>2633</v>
      </c>
      <c r="H523">
        <v>0</v>
      </c>
      <c r="I523">
        <v>1.7000000000000001E-2</v>
      </c>
      <c r="J523">
        <v>129</v>
      </c>
    </row>
    <row r="524" spans="1:10" x14ac:dyDescent="0.2">
      <c r="A524" t="s">
        <v>638</v>
      </c>
      <c r="B524" t="s">
        <v>2634</v>
      </c>
      <c r="C524" t="s">
        <v>1506</v>
      </c>
      <c r="D524" t="s">
        <v>1507</v>
      </c>
      <c r="E524" t="s">
        <v>1633</v>
      </c>
      <c r="F524" t="s">
        <v>1634</v>
      </c>
      <c r="G524" t="s">
        <v>2635</v>
      </c>
      <c r="H524">
        <v>0</v>
      </c>
      <c r="I524">
        <v>1.7000000000000001E-2</v>
      </c>
      <c r="J524">
        <v>128</v>
      </c>
    </row>
    <row r="525" spans="1:10" x14ac:dyDescent="0.2">
      <c r="A525" t="s">
        <v>638</v>
      </c>
      <c r="B525" t="s">
        <v>2636</v>
      </c>
      <c r="C525" t="s">
        <v>1506</v>
      </c>
      <c r="D525" t="s">
        <v>1507</v>
      </c>
      <c r="E525" t="s">
        <v>1633</v>
      </c>
      <c r="F525" t="s">
        <v>1634</v>
      </c>
      <c r="G525" t="s">
        <v>2637</v>
      </c>
      <c r="H525">
        <v>0</v>
      </c>
      <c r="I525">
        <v>1.7000000000000001E-2</v>
      </c>
      <c r="J525">
        <v>128</v>
      </c>
    </row>
    <row r="526" spans="1:10" x14ac:dyDescent="0.2">
      <c r="A526" t="s">
        <v>638</v>
      </c>
      <c r="B526" t="s">
        <v>2638</v>
      </c>
      <c r="C526" t="s">
        <v>1506</v>
      </c>
      <c r="D526" t="s">
        <v>1507</v>
      </c>
      <c r="E526" t="s">
        <v>1633</v>
      </c>
      <c r="F526" t="s">
        <v>1634</v>
      </c>
      <c r="G526" t="s">
        <v>2639</v>
      </c>
      <c r="H526">
        <v>0</v>
      </c>
      <c r="I526">
        <v>1.7000000000000001E-2</v>
      </c>
      <c r="J526">
        <v>128</v>
      </c>
    </row>
    <row r="527" spans="1:10" x14ac:dyDescent="0.2">
      <c r="A527" t="s">
        <v>638</v>
      </c>
      <c r="B527" t="s">
        <v>2640</v>
      </c>
      <c r="C527" t="s">
        <v>1506</v>
      </c>
      <c r="D527" t="s">
        <v>1507</v>
      </c>
      <c r="E527" t="s">
        <v>1633</v>
      </c>
      <c r="F527" t="s">
        <v>1634</v>
      </c>
      <c r="G527" t="s">
        <v>2641</v>
      </c>
      <c r="H527">
        <v>0</v>
      </c>
      <c r="I527">
        <v>1.7000000000000001E-2</v>
      </c>
      <c r="J527">
        <v>128</v>
      </c>
    </row>
    <row r="528" spans="1:10" x14ac:dyDescent="0.2">
      <c r="A528" t="s">
        <v>638</v>
      </c>
      <c r="B528" t="s">
        <v>2642</v>
      </c>
      <c r="C528" t="s">
        <v>1506</v>
      </c>
      <c r="D528" t="s">
        <v>1507</v>
      </c>
      <c r="E528" t="s">
        <v>8</v>
      </c>
      <c r="F528" t="s">
        <v>1756</v>
      </c>
      <c r="G528" t="s">
        <v>2643</v>
      </c>
      <c r="H528">
        <v>0</v>
      </c>
      <c r="I528">
        <v>1.7000000000000001E-2</v>
      </c>
      <c r="J528">
        <v>127</v>
      </c>
    </row>
    <row r="529" spans="1:10" x14ac:dyDescent="0.2">
      <c r="A529" t="s">
        <v>638</v>
      </c>
      <c r="B529" t="s">
        <v>2644</v>
      </c>
      <c r="C529" t="s">
        <v>1506</v>
      </c>
      <c r="D529" t="s">
        <v>1507</v>
      </c>
      <c r="E529" t="s">
        <v>1523</v>
      </c>
      <c r="F529" t="s">
        <v>1985</v>
      </c>
      <c r="G529" t="s">
        <v>2645</v>
      </c>
      <c r="H529">
        <v>0</v>
      </c>
      <c r="I529">
        <v>1.7000000000000001E-2</v>
      </c>
      <c r="J529">
        <v>129</v>
      </c>
    </row>
    <row r="530" spans="1:10" x14ac:dyDescent="0.2">
      <c r="A530" t="s">
        <v>638</v>
      </c>
      <c r="B530" t="s">
        <v>2646</v>
      </c>
      <c r="C530" t="s">
        <v>1506</v>
      </c>
      <c r="D530" t="s">
        <v>1507</v>
      </c>
      <c r="E530" t="s">
        <v>1523</v>
      </c>
      <c r="F530" t="s">
        <v>1985</v>
      </c>
      <c r="G530" t="s">
        <v>2647</v>
      </c>
      <c r="H530">
        <v>0</v>
      </c>
      <c r="I530">
        <v>1.7000000000000001E-2</v>
      </c>
      <c r="J530">
        <v>129</v>
      </c>
    </row>
    <row r="531" spans="1:10" x14ac:dyDescent="0.2">
      <c r="A531" t="s">
        <v>638</v>
      </c>
      <c r="B531" t="s">
        <v>2648</v>
      </c>
      <c r="C531" t="s">
        <v>1506</v>
      </c>
      <c r="D531" t="s">
        <v>1507</v>
      </c>
      <c r="E531" t="s">
        <v>1523</v>
      </c>
      <c r="F531" t="s">
        <v>1985</v>
      </c>
      <c r="G531" t="s">
        <v>2647</v>
      </c>
      <c r="H531">
        <v>0</v>
      </c>
      <c r="I531">
        <v>1.7000000000000001E-2</v>
      </c>
      <c r="J531">
        <v>129</v>
      </c>
    </row>
    <row r="532" spans="1:10" x14ac:dyDescent="0.2">
      <c r="A532" t="s">
        <v>638</v>
      </c>
      <c r="B532" t="s">
        <v>2649</v>
      </c>
      <c r="C532" t="s">
        <v>1506</v>
      </c>
      <c r="D532" t="s">
        <v>1507</v>
      </c>
      <c r="E532" t="s">
        <v>1658</v>
      </c>
      <c r="F532" t="s">
        <v>2381</v>
      </c>
      <c r="G532" t="s">
        <v>2650</v>
      </c>
      <c r="H532">
        <v>0</v>
      </c>
      <c r="I532">
        <v>1.7000000000000001E-2</v>
      </c>
      <c r="J532">
        <v>128</v>
      </c>
    </row>
    <row r="533" spans="1:10" x14ac:dyDescent="0.2">
      <c r="A533" t="s">
        <v>638</v>
      </c>
      <c r="B533" t="s">
        <v>2651</v>
      </c>
      <c r="C533" t="s">
        <v>1506</v>
      </c>
      <c r="D533" t="s">
        <v>1507</v>
      </c>
      <c r="E533" t="s">
        <v>1523</v>
      </c>
      <c r="F533" t="s">
        <v>2652</v>
      </c>
      <c r="G533" t="s">
        <v>2653</v>
      </c>
      <c r="H533">
        <v>0</v>
      </c>
      <c r="I533">
        <v>1.7000000000000001E-2</v>
      </c>
      <c r="J533">
        <v>127</v>
      </c>
    </row>
    <row r="534" spans="1:10" x14ac:dyDescent="0.2">
      <c r="A534" t="s">
        <v>638</v>
      </c>
      <c r="B534" t="s">
        <v>2654</v>
      </c>
      <c r="C534" t="s">
        <v>1506</v>
      </c>
      <c r="D534" t="s">
        <v>1507</v>
      </c>
      <c r="E534" t="s">
        <v>1523</v>
      </c>
      <c r="F534" t="s">
        <v>1916</v>
      </c>
      <c r="G534" t="s">
        <v>2655</v>
      </c>
      <c r="H534">
        <v>0</v>
      </c>
      <c r="I534">
        <v>1.7000000000000001E-2</v>
      </c>
      <c r="J534">
        <v>127</v>
      </c>
    </row>
    <row r="535" spans="1:10" x14ac:dyDescent="0.2">
      <c r="A535" t="s">
        <v>638</v>
      </c>
      <c r="B535" t="s">
        <v>2656</v>
      </c>
      <c r="C535" t="s">
        <v>1506</v>
      </c>
      <c r="D535" t="s">
        <v>1507</v>
      </c>
      <c r="E535" t="s">
        <v>1523</v>
      </c>
      <c r="F535" t="s">
        <v>1985</v>
      </c>
      <c r="G535" t="s">
        <v>2657</v>
      </c>
      <c r="H535">
        <v>0</v>
      </c>
      <c r="I535">
        <v>1.7000000000000001E-2</v>
      </c>
      <c r="J535">
        <v>129</v>
      </c>
    </row>
    <row r="536" spans="1:10" x14ac:dyDescent="0.2">
      <c r="A536" t="s">
        <v>638</v>
      </c>
      <c r="B536" t="s">
        <v>2658</v>
      </c>
      <c r="C536" t="s">
        <v>1506</v>
      </c>
      <c r="D536" t="s">
        <v>1507</v>
      </c>
      <c r="E536" t="s">
        <v>1571</v>
      </c>
      <c r="F536" t="s">
        <v>1572</v>
      </c>
      <c r="G536" t="s">
        <v>2659</v>
      </c>
      <c r="H536">
        <v>0</v>
      </c>
      <c r="I536">
        <v>1.7000000000000001E-2</v>
      </c>
      <c r="J536">
        <v>128</v>
      </c>
    </row>
    <row r="537" spans="1:10" x14ac:dyDescent="0.2">
      <c r="A537" t="s">
        <v>638</v>
      </c>
      <c r="B537" t="s">
        <v>2660</v>
      </c>
      <c r="C537" t="s">
        <v>1506</v>
      </c>
      <c r="D537" t="s">
        <v>1507</v>
      </c>
      <c r="E537" t="s">
        <v>1571</v>
      </c>
      <c r="F537" t="s">
        <v>1572</v>
      </c>
      <c r="G537" t="s">
        <v>2659</v>
      </c>
      <c r="H537">
        <v>0</v>
      </c>
      <c r="I537">
        <v>1.7000000000000001E-2</v>
      </c>
      <c r="J537">
        <v>128</v>
      </c>
    </row>
    <row r="538" spans="1:10" x14ac:dyDescent="0.2">
      <c r="A538" t="s">
        <v>638</v>
      </c>
      <c r="B538" t="s">
        <v>2661</v>
      </c>
      <c r="C538" t="s">
        <v>1506</v>
      </c>
      <c r="D538" t="s">
        <v>1507</v>
      </c>
      <c r="E538" t="s">
        <v>1523</v>
      </c>
      <c r="F538" t="s">
        <v>1967</v>
      </c>
      <c r="G538" t="s">
        <v>2662</v>
      </c>
      <c r="H538">
        <v>0</v>
      </c>
      <c r="I538">
        <v>1.7000000000000001E-2</v>
      </c>
      <c r="J538">
        <v>128</v>
      </c>
    </row>
    <row r="539" spans="1:10" x14ac:dyDescent="0.2">
      <c r="A539" t="s">
        <v>638</v>
      </c>
      <c r="B539" t="s">
        <v>2663</v>
      </c>
      <c r="C539" t="s">
        <v>1506</v>
      </c>
      <c r="D539" t="s">
        <v>1507</v>
      </c>
      <c r="E539" t="s">
        <v>1625</v>
      </c>
      <c r="F539" t="s">
        <v>2664</v>
      </c>
      <c r="G539" t="s">
        <v>2665</v>
      </c>
      <c r="H539">
        <v>0</v>
      </c>
      <c r="I539">
        <v>1.7000000000000001E-2</v>
      </c>
      <c r="J539">
        <v>128</v>
      </c>
    </row>
    <row r="540" spans="1:10" x14ac:dyDescent="0.2">
      <c r="A540" t="s">
        <v>638</v>
      </c>
      <c r="B540" t="s">
        <v>2666</v>
      </c>
      <c r="C540" t="s">
        <v>1506</v>
      </c>
      <c r="D540" t="s">
        <v>1507</v>
      </c>
      <c r="E540" t="s">
        <v>1519</v>
      </c>
      <c r="F540" t="s">
        <v>1520</v>
      </c>
      <c r="G540" t="s">
        <v>2667</v>
      </c>
      <c r="H540">
        <v>0</v>
      </c>
      <c r="I540">
        <v>1.7000000000000001E-2</v>
      </c>
      <c r="J540">
        <v>129</v>
      </c>
    </row>
    <row r="541" spans="1:10" x14ac:dyDescent="0.2">
      <c r="A541" t="s">
        <v>638</v>
      </c>
      <c r="B541" t="s">
        <v>2668</v>
      </c>
      <c r="C541" t="s">
        <v>1506</v>
      </c>
      <c r="D541" t="s">
        <v>1507</v>
      </c>
      <c r="E541" t="s">
        <v>1523</v>
      </c>
      <c r="F541" t="s">
        <v>2522</v>
      </c>
      <c r="G541" t="s">
        <v>2669</v>
      </c>
      <c r="H541">
        <v>0</v>
      </c>
      <c r="I541">
        <v>1.7000000000000001E-2</v>
      </c>
      <c r="J541">
        <v>128</v>
      </c>
    </row>
    <row r="542" spans="1:10" x14ac:dyDescent="0.2">
      <c r="A542" t="s">
        <v>638</v>
      </c>
      <c r="B542" t="s">
        <v>2670</v>
      </c>
      <c r="C542" t="s">
        <v>1506</v>
      </c>
      <c r="D542" t="s">
        <v>1507</v>
      </c>
      <c r="E542" t="s">
        <v>1796</v>
      </c>
      <c r="F542" t="s">
        <v>1797</v>
      </c>
      <c r="G542" t="s">
        <v>2671</v>
      </c>
      <c r="H542">
        <v>0</v>
      </c>
      <c r="I542">
        <v>1.7000000000000001E-2</v>
      </c>
      <c r="J542">
        <v>127</v>
      </c>
    </row>
    <row r="543" spans="1:10" x14ac:dyDescent="0.2">
      <c r="A543" t="s">
        <v>638</v>
      </c>
      <c r="B543" t="s">
        <v>2672</v>
      </c>
      <c r="C543" t="s">
        <v>1506</v>
      </c>
      <c r="D543" t="s">
        <v>1507</v>
      </c>
      <c r="E543" t="s">
        <v>1523</v>
      </c>
      <c r="F543" t="s">
        <v>1985</v>
      </c>
      <c r="G543" t="s">
        <v>2053</v>
      </c>
      <c r="H543">
        <v>0</v>
      </c>
      <c r="I543">
        <v>1.6E-2</v>
      </c>
      <c r="J543">
        <v>129</v>
      </c>
    </row>
    <row r="544" spans="1:10" x14ac:dyDescent="0.2">
      <c r="A544" t="s">
        <v>638</v>
      </c>
      <c r="B544" t="s">
        <v>2673</v>
      </c>
      <c r="C544" t="s">
        <v>1506</v>
      </c>
      <c r="D544" t="s">
        <v>1507</v>
      </c>
      <c r="E544" t="s">
        <v>2674</v>
      </c>
      <c r="F544" t="s">
        <v>2675</v>
      </c>
      <c r="G544" t="s">
        <v>2676</v>
      </c>
      <c r="H544">
        <v>0</v>
      </c>
      <c r="I544">
        <v>1.6E-2</v>
      </c>
      <c r="J544">
        <v>129</v>
      </c>
    </row>
    <row r="545" spans="1:10" x14ac:dyDescent="0.2">
      <c r="A545" t="s">
        <v>638</v>
      </c>
      <c r="B545" t="s">
        <v>2677</v>
      </c>
      <c r="C545" t="s">
        <v>1506</v>
      </c>
      <c r="D545" t="s">
        <v>1507</v>
      </c>
      <c r="E545" t="s">
        <v>1523</v>
      </c>
      <c r="F545" t="s">
        <v>2678</v>
      </c>
      <c r="G545" t="s">
        <v>2679</v>
      </c>
      <c r="H545">
        <v>0</v>
      </c>
      <c r="I545">
        <v>1.6E-2</v>
      </c>
      <c r="J545">
        <v>129</v>
      </c>
    </row>
    <row r="546" spans="1:10" x14ac:dyDescent="0.2">
      <c r="A546" t="s">
        <v>638</v>
      </c>
      <c r="B546" t="s">
        <v>2680</v>
      </c>
      <c r="C546" t="s">
        <v>1506</v>
      </c>
      <c r="D546" t="s">
        <v>1507</v>
      </c>
      <c r="E546" t="s">
        <v>1596</v>
      </c>
      <c r="F546" t="s">
        <v>2072</v>
      </c>
      <c r="G546" t="s">
        <v>2577</v>
      </c>
      <c r="H546">
        <v>0</v>
      </c>
      <c r="I546">
        <v>1.6E-2</v>
      </c>
      <c r="J546">
        <v>129</v>
      </c>
    </row>
    <row r="547" spans="1:10" x14ac:dyDescent="0.2">
      <c r="A547" t="s">
        <v>638</v>
      </c>
      <c r="B547" t="s">
        <v>2681</v>
      </c>
      <c r="C547" t="s">
        <v>1506</v>
      </c>
      <c r="D547" t="s">
        <v>1507</v>
      </c>
      <c r="E547" t="s">
        <v>1508</v>
      </c>
      <c r="F547" t="s">
        <v>1509</v>
      </c>
      <c r="G547" t="s">
        <v>2682</v>
      </c>
      <c r="H547">
        <v>0</v>
      </c>
      <c r="I547">
        <v>1.4999999999999999E-2</v>
      </c>
      <c r="J547">
        <v>129</v>
      </c>
    </row>
    <row r="548" spans="1:10" x14ac:dyDescent="0.2">
      <c r="A548" t="s">
        <v>638</v>
      </c>
      <c r="B548" t="s">
        <v>2683</v>
      </c>
      <c r="C548" t="s">
        <v>1506</v>
      </c>
      <c r="D548" t="s">
        <v>1507</v>
      </c>
      <c r="E548" t="s">
        <v>1508</v>
      </c>
      <c r="F548" t="s">
        <v>1509</v>
      </c>
      <c r="G548" t="s">
        <v>2684</v>
      </c>
      <c r="H548">
        <v>0</v>
      </c>
      <c r="I548">
        <v>1.4999999999999999E-2</v>
      </c>
      <c r="J548">
        <v>129</v>
      </c>
    </row>
    <row r="549" spans="1:10" x14ac:dyDescent="0.2">
      <c r="A549" t="s">
        <v>638</v>
      </c>
      <c r="B549" t="s">
        <v>2685</v>
      </c>
      <c r="C549" t="s">
        <v>1506</v>
      </c>
      <c r="D549" t="s">
        <v>1507</v>
      </c>
      <c r="E549" t="s">
        <v>1633</v>
      </c>
      <c r="F549" t="s">
        <v>1634</v>
      </c>
      <c r="G549" t="s">
        <v>2686</v>
      </c>
      <c r="H549">
        <v>0</v>
      </c>
      <c r="I549">
        <v>1.4999999999999999E-2</v>
      </c>
      <c r="J549">
        <v>128</v>
      </c>
    </row>
    <row r="550" spans="1:10" x14ac:dyDescent="0.2">
      <c r="A550" t="s">
        <v>638</v>
      </c>
      <c r="B550" t="s">
        <v>2687</v>
      </c>
      <c r="C550" t="s">
        <v>1506</v>
      </c>
      <c r="D550" t="s">
        <v>1507</v>
      </c>
      <c r="E550" t="s">
        <v>1511</v>
      </c>
      <c r="F550" t="s">
        <v>2332</v>
      </c>
      <c r="G550" t="s">
        <v>2688</v>
      </c>
      <c r="H550">
        <v>0</v>
      </c>
      <c r="I550">
        <v>1.4999999999999999E-2</v>
      </c>
      <c r="J550">
        <v>128</v>
      </c>
    </row>
    <row r="551" spans="1:10" x14ac:dyDescent="0.2">
      <c r="A551" t="s">
        <v>638</v>
      </c>
      <c r="B551" t="s">
        <v>2689</v>
      </c>
      <c r="C551" t="s">
        <v>1506</v>
      </c>
      <c r="D551" t="s">
        <v>1507</v>
      </c>
      <c r="E551" t="s">
        <v>1907</v>
      </c>
      <c r="F551" t="s">
        <v>2425</v>
      </c>
      <c r="G551" t="s">
        <v>2690</v>
      </c>
      <c r="H551">
        <v>0</v>
      </c>
      <c r="I551">
        <v>1.4999999999999999E-2</v>
      </c>
      <c r="J551">
        <v>130</v>
      </c>
    </row>
    <row r="552" spans="1:10" x14ac:dyDescent="0.2">
      <c r="A552" t="s">
        <v>638</v>
      </c>
      <c r="B552" t="s">
        <v>2691</v>
      </c>
      <c r="C552" t="s">
        <v>1506</v>
      </c>
      <c r="D552" t="s">
        <v>1507</v>
      </c>
      <c r="E552" t="s">
        <v>8</v>
      </c>
      <c r="F552" t="s">
        <v>2302</v>
      </c>
      <c r="G552" t="s">
        <v>2692</v>
      </c>
      <c r="H552">
        <v>0</v>
      </c>
      <c r="I552">
        <v>1.4999999999999999E-2</v>
      </c>
      <c r="J552">
        <v>128</v>
      </c>
    </row>
    <row r="553" spans="1:10" x14ac:dyDescent="0.2">
      <c r="A553" t="s">
        <v>638</v>
      </c>
      <c r="B553" t="s">
        <v>2693</v>
      </c>
      <c r="C553" t="s">
        <v>1506</v>
      </c>
      <c r="D553" t="s">
        <v>1507</v>
      </c>
      <c r="E553" t="s">
        <v>1519</v>
      </c>
      <c r="F553" t="s">
        <v>1520</v>
      </c>
      <c r="G553" t="s">
        <v>2694</v>
      </c>
      <c r="H553">
        <v>0</v>
      </c>
      <c r="I553">
        <v>1.4999999999999999E-2</v>
      </c>
      <c r="J553">
        <v>129</v>
      </c>
    </row>
    <row r="554" spans="1:10" x14ac:dyDescent="0.2">
      <c r="A554" t="s">
        <v>638</v>
      </c>
      <c r="B554" t="s">
        <v>2695</v>
      </c>
      <c r="C554" t="s">
        <v>1506</v>
      </c>
      <c r="D554" t="s">
        <v>1507</v>
      </c>
      <c r="E554" t="s">
        <v>1692</v>
      </c>
      <c r="F554" t="s">
        <v>1693</v>
      </c>
      <c r="G554" t="s">
        <v>2696</v>
      </c>
      <c r="H554">
        <v>0</v>
      </c>
      <c r="I554">
        <v>1.4999999999999999E-2</v>
      </c>
      <c r="J554">
        <v>128</v>
      </c>
    </row>
    <row r="555" spans="1:10" x14ac:dyDescent="0.2">
      <c r="A555" t="s">
        <v>638</v>
      </c>
      <c r="B555" t="s">
        <v>2697</v>
      </c>
      <c r="C555" t="s">
        <v>1506</v>
      </c>
      <c r="D555" t="s">
        <v>1507</v>
      </c>
      <c r="E555" t="s">
        <v>1523</v>
      </c>
      <c r="F555" t="s">
        <v>1967</v>
      </c>
      <c r="G555" t="s">
        <v>2698</v>
      </c>
      <c r="H555">
        <v>0</v>
      </c>
      <c r="I555">
        <v>1.4E-2</v>
      </c>
      <c r="J555">
        <v>128</v>
      </c>
    </row>
    <row r="556" spans="1:10" x14ac:dyDescent="0.2">
      <c r="A556" t="s">
        <v>638</v>
      </c>
      <c r="B556" t="s">
        <v>2699</v>
      </c>
      <c r="C556" t="s">
        <v>1506</v>
      </c>
      <c r="D556" t="s">
        <v>1507</v>
      </c>
      <c r="E556" t="s">
        <v>1940</v>
      </c>
      <c r="F556" t="s">
        <v>2700</v>
      </c>
      <c r="G556" t="s">
        <v>2701</v>
      </c>
      <c r="H556">
        <v>0</v>
      </c>
      <c r="I556">
        <v>1.4E-2</v>
      </c>
      <c r="J556">
        <v>128</v>
      </c>
    </row>
    <row r="557" spans="1:10" x14ac:dyDescent="0.2">
      <c r="A557" t="s">
        <v>638</v>
      </c>
      <c r="B557" t="s">
        <v>2702</v>
      </c>
      <c r="C557" t="s">
        <v>1506</v>
      </c>
      <c r="D557" t="s">
        <v>1507</v>
      </c>
      <c r="E557" t="s">
        <v>1523</v>
      </c>
      <c r="F557" t="s">
        <v>1985</v>
      </c>
      <c r="G557" t="s">
        <v>2703</v>
      </c>
      <c r="H557">
        <v>0</v>
      </c>
      <c r="I557">
        <v>1.4E-2</v>
      </c>
      <c r="J557">
        <v>128</v>
      </c>
    </row>
    <row r="558" spans="1:10" x14ac:dyDescent="0.2">
      <c r="A558" t="s">
        <v>638</v>
      </c>
      <c r="B558" t="s">
        <v>2704</v>
      </c>
      <c r="C558" t="s">
        <v>1506</v>
      </c>
      <c r="D558" t="s">
        <v>1507</v>
      </c>
      <c r="E558" t="s">
        <v>1633</v>
      </c>
      <c r="F558" t="s">
        <v>1634</v>
      </c>
      <c r="G558" t="s">
        <v>2705</v>
      </c>
      <c r="H558">
        <v>0</v>
      </c>
      <c r="I558">
        <v>1.4E-2</v>
      </c>
      <c r="J558">
        <v>128</v>
      </c>
    </row>
    <row r="559" spans="1:10" x14ac:dyDescent="0.2">
      <c r="A559" t="s">
        <v>638</v>
      </c>
      <c r="B559" t="s">
        <v>2706</v>
      </c>
      <c r="C559" t="s">
        <v>1506</v>
      </c>
      <c r="D559" t="s">
        <v>1507</v>
      </c>
      <c r="E559" t="s">
        <v>1523</v>
      </c>
      <c r="F559" t="s">
        <v>1916</v>
      </c>
      <c r="G559" t="s">
        <v>2707</v>
      </c>
      <c r="H559">
        <v>0</v>
      </c>
      <c r="I559">
        <v>1.4E-2</v>
      </c>
      <c r="J559">
        <v>128</v>
      </c>
    </row>
    <row r="560" spans="1:10" x14ac:dyDescent="0.2">
      <c r="A560" t="s">
        <v>638</v>
      </c>
      <c r="B560" t="s">
        <v>2708</v>
      </c>
      <c r="C560" t="s">
        <v>1506</v>
      </c>
      <c r="D560" t="s">
        <v>1507</v>
      </c>
      <c r="E560" t="s">
        <v>1523</v>
      </c>
      <c r="F560" t="s">
        <v>1985</v>
      </c>
      <c r="G560" t="s">
        <v>2709</v>
      </c>
      <c r="H560">
        <v>0</v>
      </c>
      <c r="I560">
        <v>1.4E-2</v>
      </c>
      <c r="J560">
        <v>128</v>
      </c>
    </row>
    <row r="561" spans="1:10" x14ac:dyDescent="0.2">
      <c r="A561" t="s">
        <v>638</v>
      </c>
      <c r="B561" t="s">
        <v>2710</v>
      </c>
      <c r="C561" t="s">
        <v>1506</v>
      </c>
      <c r="D561" t="s">
        <v>1507</v>
      </c>
      <c r="E561" t="s">
        <v>1658</v>
      </c>
      <c r="F561" t="s">
        <v>1973</v>
      </c>
      <c r="G561" t="s">
        <v>2711</v>
      </c>
      <c r="H561">
        <v>0</v>
      </c>
      <c r="I561">
        <v>1.4E-2</v>
      </c>
      <c r="J561">
        <v>128</v>
      </c>
    </row>
    <row r="562" spans="1:10" x14ac:dyDescent="0.2">
      <c r="A562" t="s">
        <v>638</v>
      </c>
      <c r="B562" t="s">
        <v>2712</v>
      </c>
      <c r="C562" t="s">
        <v>1506</v>
      </c>
      <c r="D562" t="s">
        <v>1507</v>
      </c>
      <c r="E562" t="s">
        <v>2357</v>
      </c>
      <c r="F562" t="s">
        <v>2598</v>
      </c>
      <c r="G562" t="s">
        <v>2713</v>
      </c>
      <c r="H562">
        <v>0</v>
      </c>
      <c r="I562">
        <v>1.2999999999999999E-2</v>
      </c>
      <c r="J562">
        <v>128</v>
      </c>
    </row>
    <row r="563" spans="1:10" x14ac:dyDescent="0.2">
      <c r="A563" t="s">
        <v>638</v>
      </c>
      <c r="B563" t="s">
        <v>2714</v>
      </c>
      <c r="C563" t="s">
        <v>1506</v>
      </c>
      <c r="D563" t="s">
        <v>1507</v>
      </c>
      <c r="E563" t="s">
        <v>1596</v>
      </c>
      <c r="F563" t="s">
        <v>2072</v>
      </c>
      <c r="G563" t="s">
        <v>2715</v>
      </c>
      <c r="H563">
        <v>0</v>
      </c>
      <c r="I563">
        <v>1.2999999999999999E-2</v>
      </c>
      <c r="J563">
        <v>129</v>
      </c>
    </row>
    <row r="564" spans="1:10" x14ac:dyDescent="0.2">
      <c r="A564" t="s">
        <v>638</v>
      </c>
      <c r="B564" t="s">
        <v>2716</v>
      </c>
      <c r="C564" t="s">
        <v>1506</v>
      </c>
      <c r="D564" t="s">
        <v>1507</v>
      </c>
      <c r="E564" t="s">
        <v>1523</v>
      </c>
      <c r="F564" t="s">
        <v>1553</v>
      </c>
      <c r="G564" t="s">
        <v>2717</v>
      </c>
      <c r="H564">
        <v>0</v>
      </c>
      <c r="I564">
        <v>1.2999999999999999E-2</v>
      </c>
      <c r="J564">
        <v>128</v>
      </c>
    </row>
    <row r="565" spans="1:10" x14ac:dyDescent="0.2">
      <c r="A565" t="s">
        <v>638</v>
      </c>
      <c r="B565" t="s">
        <v>2718</v>
      </c>
      <c r="C565" t="s">
        <v>1506</v>
      </c>
      <c r="D565" t="s">
        <v>1507</v>
      </c>
      <c r="E565" t="s">
        <v>1523</v>
      </c>
      <c r="F565" t="s">
        <v>1916</v>
      </c>
      <c r="G565" t="s">
        <v>2719</v>
      </c>
      <c r="H565">
        <v>0</v>
      </c>
      <c r="I565">
        <v>1.2999999999999999E-2</v>
      </c>
      <c r="J565">
        <v>127</v>
      </c>
    </row>
    <row r="566" spans="1:10" x14ac:dyDescent="0.2">
      <c r="A566" t="s">
        <v>638</v>
      </c>
      <c r="B566" t="s">
        <v>2720</v>
      </c>
      <c r="C566" t="s">
        <v>1506</v>
      </c>
      <c r="D566" t="s">
        <v>1507</v>
      </c>
      <c r="E566" t="s">
        <v>8</v>
      </c>
      <c r="F566" t="s">
        <v>2721</v>
      </c>
      <c r="G566" t="s">
        <v>2722</v>
      </c>
      <c r="H566">
        <v>0</v>
      </c>
      <c r="I566">
        <v>1.2E-2</v>
      </c>
      <c r="J566">
        <v>127</v>
      </c>
    </row>
    <row r="567" spans="1:10" x14ac:dyDescent="0.2">
      <c r="A567" t="s">
        <v>638</v>
      </c>
      <c r="B567" t="s">
        <v>2723</v>
      </c>
      <c r="C567" t="s">
        <v>1506</v>
      </c>
      <c r="D567" t="s">
        <v>1507</v>
      </c>
      <c r="E567" t="s">
        <v>1511</v>
      </c>
      <c r="F567" t="s">
        <v>2332</v>
      </c>
      <c r="G567" t="s">
        <v>2688</v>
      </c>
      <c r="H567">
        <v>0</v>
      </c>
      <c r="I567">
        <v>1.2E-2</v>
      </c>
      <c r="J567">
        <v>128</v>
      </c>
    </row>
    <row r="568" spans="1:10" x14ac:dyDescent="0.2">
      <c r="A568" t="s">
        <v>638</v>
      </c>
      <c r="B568" t="s">
        <v>2724</v>
      </c>
      <c r="C568" t="s">
        <v>1506</v>
      </c>
      <c r="D568" t="s">
        <v>1507</v>
      </c>
      <c r="E568" t="s">
        <v>1523</v>
      </c>
      <c r="F568" t="s">
        <v>2522</v>
      </c>
      <c r="G568" t="s">
        <v>2725</v>
      </c>
      <c r="H568">
        <v>0</v>
      </c>
      <c r="I568">
        <v>1.0999999999999999E-2</v>
      </c>
      <c r="J568">
        <v>128</v>
      </c>
    </row>
    <row r="569" spans="1:10" x14ac:dyDescent="0.2">
      <c r="A569" t="s">
        <v>638</v>
      </c>
      <c r="B569" t="s">
        <v>2726</v>
      </c>
      <c r="C569" t="s">
        <v>1506</v>
      </c>
      <c r="D569" t="s">
        <v>1507</v>
      </c>
      <c r="E569" t="s">
        <v>1523</v>
      </c>
      <c r="F569" t="s">
        <v>2522</v>
      </c>
      <c r="G569" t="s">
        <v>2727</v>
      </c>
      <c r="H569">
        <v>0</v>
      </c>
      <c r="I569">
        <v>1.0999999999999999E-2</v>
      </c>
      <c r="J569">
        <v>128</v>
      </c>
    </row>
    <row r="570" spans="1:10" x14ac:dyDescent="0.2">
      <c r="A570" t="s">
        <v>638</v>
      </c>
      <c r="B570" t="s">
        <v>2728</v>
      </c>
      <c r="C570" t="s">
        <v>1506</v>
      </c>
      <c r="D570" t="s">
        <v>1507</v>
      </c>
      <c r="E570" t="s">
        <v>1692</v>
      </c>
      <c r="F570" t="s">
        <v>1693</v>
      </c>
      <c r="G570" t="s">
        <v>2729</v>
      </c>
      <c r="H570">
        <v>0</v>
      </c>
      <c r="I570">
        <v>1.0999999999999999E-2</v>
      </c>
      <c r="J570">
        <v>127</v>
      </c>
    </row>
    <row r="571" spans="1:10" x14ac:dyDescent="0.2">
      <c r="A571" t="s">
        <v>638</v>
      </c>
      <c r="B571" t="s">
        <v>2730</v>
      </c>
      <c r="C571" t="s">
        <v>1506</v>
      </c>
      <c r="D571" t="s">
        <v>1507</v>
      </c>
      <c r="E571" t="s">
        <v>1596</v>
      </c>
      <c r="F571" t="s">
        <v>2072</v>
      </c>
      <c r="G571" t="s">
        <v>2731</v>
      </c>
      <c r="H571">
        <v>0</v>
      </c>
      <c r="I571">
        <v>1.0999999999999999E-2</v>
      </c>
      <c r="J571">
        <v>129</v>
      </c>
    </row>
    <row r="572" spans="1:10" x14ac:dyDescent="0.2">
      <c r="A572" t="s">
        <v>638</v>
      </c>
      <c r="B572" t="s">
        <v>2732</v>
      </c>
      <c r="C572" t="s">
        <v>1506</v>
      </c>
      <c r="D572" t="s">
        <v>1507</v>
      </c>
      <c r="E572" t="s">
        <v>1596</v>
      </c>
      <c r="F572" t="s">
        <v>2072</v>
      </c>
      <c r="G572" t="s">
        <v>2733</v>
      </c>
      <c r="H572">
        <v>0</v>
      </c>
      <c r="I572">
        <v>1.0999999999999999E-2</v>
      </c>
      <c r="J572">
        <v>129</v>
      </c>
    </row>
    <row r="573" spans="1:10" x14ac:dyDescent="0.2">
      <c r="A573" t="s">
        <v>638</v>
      </c>
      <c r="B573" t="s">
        <v>2734</v>
      </c>
      <c r="C573" t="s">
        <v>1506</v>
      </c>
      <c r="D573" t="s">
        <v>1507</v>
      </c>
      <c r="E573" t="s">
        <v>1523</v>
      </c>
      <c r="F573" t="s">
        <v>1985</v>
      </c>
      <c r="G573" t="s">
        <v>2735</v>
      </c>
      <c r="H573">
        <v>0</v>
      </c>
      <c r="I573">
        <v>0.01</v>
      </c>
      <c r="J573">
        <v>129</v>
      </c>
    </row>
    <row r="574" spans="1:10" x14ac:dyDescent="0.2">
      <c r="A574" t="s">
        <v>638</v>
      </c>
      <c r="B574" t="s">
        <v>2736</v>
      </c>
      <c r="C574" t="s">
        <v>1506</v>
      </c>
      <c r="D574" t="s">
        <v>1507</v>
      </c>
      <c r="E574" t="s">
        <v>2223</v>
      </c>
      <c r="F574" t="s">
        <v>2224</v>
      </c>
      <c r="G574" t="s">
        <v>2737</v>
      </c>
      <c r="H574">
        <v>0</v>
      </c>
      <c r="I574">
        <v>0.01</v>
      </c>
      <c r="J574">
        <v>128</v>
      </c>
    </row>
    <row r="575" spans="1:10" x14ac:dyDescent="0.2">
      <c r="A575" t="s">
        <v>638</v>
      </c>
      <c r="B575" t="s">
        <v>2738</v>
      </c>
      <c r="C575" t="s">
        <v>1506</v>
      </c>
      <c r="D575" t="s">
        <v>1507</v>
      </c>
      <c r="E575" t="s">
        <v>2223</v>
      </c>
      <c r="F575" t="s">
        <v>2224</v>
      </c>
      <c r="G575" t="s">
        <v>2225</v>
      </c>
      <c r="H575">
        <v>0</v>
      </c>
      <c r="I575">
        <v>0.01</v>
      </c>
      <c r="J575">
        <v>128</v>
      </c>
    </row>
    <row r="576" spans="1:10" x14ac:dyDescent="0.2">
      <c r="A576" t="s">
        <v>638</v>
      </c>
      <c r="B576" t="s">
        <v>2739</v>
      </c>
      <c r="C576" t="s">
        <v>1506</v>
      </c>
      <c r="D576" t="s">
        <v>1507</v>
      </c>
      <c r="E576" t="s">
        <v>1765</v>
      </c>
      <c r="F576" t="s">
        <v>2740</v>
      </c>
      <c r="G576" t="s">
        <v>2741</v>
      </c>
      <c r="H576">
        <v>0</v>
      </c>
      <c r="I576">
        <v>0.01</v>
      </c>
      <c r="J576">
        <v>128</v>
      </c>
    </row>
    <row r="577" spans="1:10" x14ac:dyDescent="0.2">
      <c r="A577" t="s">
        <v>638</v>
      </c>
      <c r="B577" t="s">
        <v>2742</v>
      </c>
      <c r="C577" t="s">
        <v>1506</v>
      </c>
      <c r="D577" t="s">
        <v>1507</v>
      </c>
      <c r="E577" t="s">
        <v>2223</v>
      </c>
      <c r="F577" t="s">
        <v>2224</v>
      </c>
      <c r="G577" t="s">
        <v>2743</v>
      </c>
      <c r="H577">
        <v>0</v>
      </c>
      <c r="I577">
        <v>0.01</v>
      </c>
      <c r="J577">
        <v>128</v>
      </c>
    </row>
    <row r="578" spans="1:10" x14ac:dyDescent="0.2">
      <c r="A578" t="s">
        <v>638</v>
      </c>
      <c r="B578" t="s">
        <v>2744</v>
      </c>
      <c r="C578" t="s">
        <v>1506</v>
      </c>
      <c r="D578" t="s">
        <v>1507</v>
      </c>
      <c r="E578" t="s">
        <v>2223</v>
      </c>
      <c r="F578" t="s">
        <v>2224</v>
      </c>
      <c r="G578" t="s">
        <v>2745</v>
      </c>
      <c r="H578">
        <v>0</v>
      </c>
      <c r="I578">
        <v>0.01</v>
      </c>
      <c r="J578">
        <v>128</v>
      </c>
    </row>
    <row r="579" spans="1:10" x14ac:dyDescent="0.2">
      <c r="A579" t="s">
        <v>638</v>
      </c>
      <c r="B579" t="s">
        <v>2746</v>
      </c>
      <c r="C579" t="s">
        <v>1506</v>
      </c>
      <c r="D579" t="s">
        <v>1507</v>
      </c>
      <c r="E579" t="s">
        <v>1696</v>
      </c>
      <c r="F579" t="s">
        <v>1697</v>
      </c>
      <c r="G579" t="s">
        <v>2747</v>
      </c>
      <c r="H579">
        <v>0</v>
      </c>
      <c r="I579">
        <v>0.01</v>
      </c>
      <c r="J579">
        <v>127</v>
      </c>
    </row>
    <row r="580" spans="1:10" x14ac:dyDescent="0.2">
      <c r="A580" t="s">
        <v>638</v>
      </c>
      <c r="B580" t="s">
        <v>2748</v>
      </c>
      <c r="C580" t="s">
        <v>1506</v>
      </c>
      <c r="D580" t="s">
        <v>1507</v>
      </c>
      <c r="E580" t="s">
        <v>1523</v>
      </c>
      <c r="F580" t="s">
        <v>1728</v>
      </c>
      <c r="G580" t="s">
        <v>2035</v>
      </c>
      <c r="H580">
        <v>0</v>
      </c>
      <c r="I580">
        <v>8.9999999999999993E-3</v>
      </c>
      <c r="J580">
        <v>129</v>
      </c>
    </row>
    <row r="581" spans="1:10" x14ac:dyDescent="0.2">
      <c r="A581" t="s">
        <v>638</v>
      </c>
      <c r="B581" t="s">
        <v>2749</v>
      </c>
      <c r="C581" t="s">
        <v>1506</v>
      </c>
      <c r="D581" t="s">
        <v>1507</v>
      </c>
      <c r="E581" t="s">
        <v>1523</v>
      </c>
      <c r="F581" t="s">
        <v>1728</v>
      </c>
      <c r="G581" t="s">
        <v>2035</v>
      </c>
      <c r="H581">
        <v>0</v>
      </c>
      <c r="I581">
        <v>8.9999999999999993E-3</v>
      </c>
      <c r="J581">
        <v>129</v>
      </c>
    </row>
    <row r="582" spans="1:10" x14ac:dyDescent="0.2">
      <c r="A582" t="s">
        <v>638</v>
      </c>
      <c r="B582" t="s">
        <v>2750</v>
      </c>
      <c r="C582" t="s">
        <v>1506</v>
      </c>
      <c r="D582" t="s">
        <v>1507</v>
      </c>
      <c r="E582" t="s">
        <v>1523</v>
      </c>
      <c r="F582" t="s">
        <v>1728</v>
      </c>
      <c r="G582" t="s">
        <v>2035</v>
      </c>
      <c r="H582">
        <v>0</v>
      </c>
      <c r="I582">
        <v>8.9999999999999993E-3</v>
      </c>
      <c r="J582">
        <v>129</v>
      </c>
    </row>
    <row r="583" spans="1:10" x14ac:dyDescent="0.2">
      <c r="A583" t="s">
        <v>638</v>
      </c>
      <c r="B583" t="s">
        <v>2751</v>
      </c>
      <c r="C583" t="s">
        <v>1506</v>
      </c>
      <c r="D583" t="s">
        <v>1507</v>
      </c>
      <c r="E583" t="s">
        <v>1544</v>
      </c>
      <c r="F583" t="s">
        <v>1545</v>
      </c>
      <c r="G583" t="s">
        <v>2752</v>
      </c>
      <c r="H583">
        <v>0</v>
      </c>
      <c r="I583">
        <v>8.0000000000000002E-3</v>
      </c>
      <c r="J583">
        <v>128</v>
      </c>
    </row>
    <row r="584" spans="1:10" x14ac:dyDescent="0.2">
      <c r="A584" t="s">
        <v>638</v>
      </c>
      <c r="B584" t="s">
        <v>2753</v>
      </c>
      <c r="C584" t="s">
        <v>1506</v>
      </c>
      <c r="D584" t="s">
        <v>1507</v>
      </c>
      <c r="E584" t="s">
        <v>1544</v>
      </c>
      <c r="F584" t="s">
        <v>1545</v>
      </c>
      <c r="G584" t="s">
        <v>2754</v>
      </c>
      <c r="H584">
        <v>0</v>
      </c>
      <c r="I584">
        <v>8.0000000000000002E-3</v>
      </c>
      <c r="J584">
        <v>128</v>
      </c>
    </row>
    <row r="585" spans="1:10" x14ac:dyDescent="0.2">
      <c r="A585" t="s">
        <v>638</v>
      </c>
      <c r="B585" t="s">
        <v>2755</v>
      </c>
      <c r="C585" t="s">
        <v>1506</v>
      </c>
      <c r="D585" t="s">
        <v>1507</v>
      </c>
      <c r="E585" t="s">
        <v>2068</v>
      </c>
      <c r="F585" t="s">
        <v>2756</v>
      </c>
      <c r="G585" t="s">
        <v>2757</v>
      </c>
      <c r="H585">
        <v>0</v>
      </c>
      <c r="I585">
        <v>8.0000000000000002E-3</v>
      </c>
      <c r="J585">
        <v>128</v>
      </c>
    </row>
    <row r="586" spans="1:10" x14ac:dyDescent="0.2">
      <c r="A586" t="s">
        <v>638</v>
      </c>
      <c r="B586" t="s">
        <v>2758</v>
      </c>
      <c r="C586" t="s">
        <v>1506</v>
      </c>
      <c r="D586" t="s">
        <v>1507</v>
      </c>
      <c r="E586" t="s">
        <v>1523</v>
      </c>
      <c r="F586" t="s">
        <v>2759</v>
      </c>
      <c r="G586" t="s">
        <v>2760</v>
      </c>
      <c r="H586">
        <v>0</v>
      </c>
      <c r="I586">
        <v>8.0000000000000002E-3</v>
      </c>
      <c r="J586">
        <v>127</v>
      </c>
    </row>
    <row r="587" spans="1:10" x14ac:dyDescent="0.2">
      <c r="A587" t="s">
        <v>638</v>
      </c>
      <c r="B587" t="s">
        <v>2761</v>
      </c>
      <c r="C587" t="s">
        <v>1506</v>
      </c>
      <c r="D587" t="s">
        <v>1507</v>
      </c>
      <c r="E587" t="s">
        <v>1789</v>
      </c>
      <c r="F587" t="s">
        <v>2209</v>
      </c>
      <c r="G587" t="s">
        <v>2762</v>
      </c>
      <c r="H587">
        <v>0</v>
      </c>
      <c r="I587">
        <v>8.0000000000000002E-3</v>
      </c>
      <c r="J587">
        <v>128</v>
      </c>
    </row>
    <row r="588" spans="1:10" x14ac:dyDescent="0.2">
      <c r="A588" t="s">
        <v>638</v>
      </c>
      <c r="B588" t="s">
        <v>2763</v>
      </c>
      <c r="C588" t="s">
        <v>1506</v>
      </c>
      <c r="D588" t="s">
        <v>1507</v>
      </c>
      <c r="E588" t="s">
        <v>1508</v>
      </c>
      <c r="F588" t="s">
        <v>1509</v>
      </c>
      <c r="G588" t="s">
        <v>2398</v>
      </c>
      <c r="H588">
        <v>0</v>
      </c>
      <c r="I588">
        <v>8.0000000000000002E-3</v>
      </c>
      <c r="J588">
        <v>129</v>
      </c>
    </row>
    <row r="589" spans="1:10" x14ac:dyDescent="0.2">
      <c r="A589" t="s">
        <v>638</v>
      </c>
      <c r="B589" t="s">
        <v>2764</v>
      </c>
      <c r="C589" t="s">
        <v>1506</v>
      </c>
      <c r="D589" t="s">
        <v>1507</v>
      </c>
      <c r="E589" t="s">
        <v>1544</v>
      </c>
      <c r="F589" t="s">
        <v>1545</v>
      </c>
      <c r="G589" t="s">
        <v>2765</v>
      </c>
      <c r="H589">
        <v>0</v>
      </c>
      <c r="I589">
        <v>8.0000000000000002E-3</v>
      </c>
      <c r="J589">
        <v>128</v>
      </c>
    </row>
    <row r="590" spans="1:10" x14ac:dyDescent="0.2">
      <c r="A590" t="s">
        <v>638</v>
      </c>
      <c r="B590" t="s">
        <v>2766</v>
      </c>
      <c r="C590" t="s">
        <v>1506</v>
      </c>
      <c r="D590" t="s">
        <v>1507</v>
      </c>
      <c r="E590" t="s">
        <v>1544</v>
      </c>
      <c r="F590" t="s">
        <v>1545</v>
      </c>
      <c r="G590" t="s">
        <v>2765</v>
      </c>
      <c r="H590">
        <v>0</v>
      </c>
      <c r="I590">
        <v>8.0000000000000002E-3</v>
      </c>
      <c r="J590">
        <v>128</v>
      </c>
    </row>
    <row r="591" spans="1:10" x14ac:dyDescent="0.2">
      <c r="A591" t="s">
        <v>638</v>
      </c>
      <c r="B591" t="s">
        <v>2767</v>
      </c>
      <c r="C591" t="s">
        <v>1506</v>
      </c>
      <c r="D591" t="s">
        <v>1507</v>
      </c>
      <c r="E591" t="s">
        <v>1523</v>
      </c>
      <c r="F591" t="s">
        <v>1985</v>
      </c>
      <c r="G591" t="s">
        <v>2768</v>
      </c>
      <c r="H591">
        <v>0</v>
      </c>
      <c r="I591">
        <v>7.0000000000000001E-3</v>
      </c>
      <c r="J591">
        <v>128</v>
      </c>
    </row>
    <row r="592" spans="1:10" x14ac:dyDescent="0.2">
      <c r="A592" t="s">
        <v>638</v>
      </c>
      <c r="B592" t="s">
        <v>2769</v>
      </c>
      <c r="C592" t="s">
        <v>1506</v>
      </c>
      <c r="D592" t="s">
        <v>1507</v>
      </c>
      <c r="E592" t="s">
        <v>1511</v>
      </c>
      <c r="F592" t="s">
        <v>2332</v>
      </c>
      <c r="G592" t="s">
        <v>2770</v>
      </c>
      <c r="H592">
        <v>0</v>
      </c>
      <c r="I592">
        <v>7.0000000000000001E-3</v>
      </c>
      <c r="J592">
        <v>128</v>
      </c>
    </row>
    <row r="593" spans="1:10" x14ac:dyDescent="0.2">
      <c r="A593" t="s">
        <v>638</v>
      </c>
      <c r="B593" t="s">
        <v>2771</v>
      </c>
      <c r="C593" t="s">
        <v>1506</v>
      </c>
      <c r="D593" t="s">
        <v>1507</v>
      </c>
      <c r="E593" t="s">
        <v>1511</v>
      </c>
      <c r="F593" t="s">
        <v>2332</v>
      </c>
      <c r="G593" t="s">
        <v>2772</v>
      </c>
      <c r="H593">
        <v>0</v>
      </c>
      <c r="I593">
        <v>7.0000000000000001E-3</v>
      </c>
      <c r="J593">
        <v>128</v>
      </c>
    </row>
    <row r="594" spans="1:10" x14ac:dyDescent="0.2">
      <c r="A594" t="s">
        <v>638</v>
      </c>
      <c r="B594" t="s">
        <v>2773</v>
      </c>
      <c r="C594" t="s">
        <v>1506</v>
      </c>
      <c r="D594" t="s">
        <v>1507</v>
      </c>
      <c r="E594" t="s">
        <v>1544</v>
      </c>
      <c r="F594" t="s">
        <v>1705</v>
      </c>
      <c r="G594" t="s">
        <v>2774</v>
      </c>
      <c r="H594">
        <v>0</v>
      </c>
      <c r="I594">
        <v>7.0000000000000001E-3</v>
      </c>
      <c r="J594">
        <v>129</v>
      </c>
    </row>
    <row r="595" spans="1:10" x14ac:dyDescent="0.2">
      <c r="A595" t="s">
        <v>638</v>
      </c>
      <c r="B595" t="s">
        <v>2775</v>
      </c>
      <c r="C595" t="s">
        <v>1506</v>
      </c>
      <c r="D595" t="s">
        <v>1507</v>
      </c>
      <c r="E595" t="s">
        <v>1596</v>
      </c>
      <c r="F595" t="s">
        <v>2072</v>
      </c>
      <c r="G595" t="s">
        <v>2560</v>
      </c>
      <c r="H595">
        <v>0</v>
      </c>
      <c r="I595">
        <v>7.0000000000000001E-3</v>
      </c>
      <c r="J595">
        <v>128</v>
      </c>
    </row>
    <row r="596" spans="1:10" x14ac:dyDescent="0.2">
      <c r="A596" t="s">
        <v>638</v>
      </c>
      <c r="B596" t="s">
        <v>2776</v>
      </c>
      <c r="C596" t="s">
        <v>1506</v>
      </c>
      <c r="D596" t="s">
        <v>1507</v>
      </c>
      <c r="E596" t="s">
        <v>1523</v>
      </c>
      <c r="F596" t="s">
        <v>2089</v>
      </c>
      <c r="G596" t="s">
        <v>2777</v>
      </c>
      <c r="H596">
        <v>0</v>
      </c>
      <c r="I596">
        <v>7.0000000000000001E-3</v>
      </c>
      <c r="J596">
        <v>128</v>
      </c>
    </row>
    <row r="597" spans="1:10" x14ac:dyDescent="0.2">
      <c r="A597" t="s">
        <v>638</v>
      </c>
      <c r="B597" t="s">
        <v>2778</v>
      </c>
      <c r="C597" t="s">
        <v>1506</v>
      </c>
      <c r="D597" t="s">
        <v>1507</v>
      </c>
      <c r="E597" t="s">
        <v>1511</v>
      </c>
      <c r="F597" t="s">
        <v>2332</v>
      </c>
      <c r="G597" t="s">
        <v>2779</v>
      </c>
      <c r="H597">
        <v>0</v>
      </c>
      <c r="I597">
        <v>7.0000000000000001E-3</v>
      </c>
      <c r="J597">
        <v>128</v>
      </c>
    </row>
    <row r="598" spans="1:10" x14ac:dyDescent="0.2">
      <c r="A598" t="s">
        <v>638</v>
      </c>
      <c r="B598" t="s">
        <v>2780</v>
      </c>
      <c r="C598" t="s">
        <v>1506</v>
      </c>
      <c r="D598" t="s">
        <v>1507</v>
      </c>
      <c r="E598" t="s">
        <v>1511</v>
      </c>
      <c r="F598" t="s">
        <v>2332</v>
      </c>
      <c r="G598" t="s">
        <v>2779</v>
      </c>
      <c r="H598">
        <v>0</v>
      </c>
      <c r="I598">
        <v>7.0000000000000001E-3</v>
      </c>
      <c r="J598">
        <v>128</v>
      </c>
    </row>
    <row r="599" spans="1:10" x14ac:dyDescent="0.2">
      <c r="A599" t="s">
        <v>638</v>
      </c>
      <c r="B599" t="s">
        <v>2781</v>
      </c>
      <c r="C599" t="s">
        <v>1506</v>
      </c>
      <c r="D599" t="s">
        <v>1507</v>
      </c>
      <c r="E599" t="s">
        <v>1511</v>
      </c>
      <c r="F599" t="s">
        <v>2332</v>
      </c>
      <c r="G599" t="s">
        <v>2782</v>
      </c>
      <c r="H599">
        <v>0</v>
      </c>
      <c r="I599">
        <v>7.0000000000000001E-3</v>
      </c>
      <c r="J599">
        <v>128</v>
      </c>
    </row>
    <row r="600" spans="1:10" x14ac:dyDescent="0.2">
      <c r="A600" t="s">
        <v>638</v>
      </c>
      <c r="B600" t="s">
        <v>2783</v>
      </c>
      <c r="C600" t="s">
        <v>1506</v>
      </c>
      <c r="D600" t="s">
        <v>1507</v>
      </c>
      <c r="E600" t="s">
        <v>1796</v>
      </c>
      <c r="F600" t="s">
        <v>2784</v>
      </c>
      <c r="G600" t="s">
        <v>2785</v>
      </c>
      <c r="H600">
        <v>0</v>
      </c>
      <c r="I600">
        <v>7.0000000000000001E-3</v>
      </c>
      <c r="J600">
        <v>129</v>
      </c>
    </row>
    <row r="601" spans="1:10" x14ac:dyDescent="0.2">
      <c r="A601" t="s">
        <v>638</v>
      </c>
      <c r="B601" t="s">
        <v>2786</v>
      </c>
      <c r="C601" t="s">
        <v>1506</v>
      </c>
      <c r="D601" t="s">
        <v>1507</v>
      </c>
      <c r="E601" t="s">
        <v>1596</v>
      </c>
      <c r="F601" t="s">
        <v>2072</v>
      </c>
      <c r="G601" t="s">
        <v>2787</v>
      </c>
      <c r="H601">
        <v>0</v>
      </c>
      <c r="I601">
        <v>7.0000000000000001E-3</v>
      </c>
      <c r="J601">
        <v>129</v>
      </c>
    </row>
    <row r="602" spans="1:10" x14ac:dyDescent="0.2">
      <c r="A602" t="s">
        <v>638</v>
      </c>
      <c r="B602" t="s">
        <v>2788</v>
      </c>
      <c r="C602" t="s">
        <v>1506</v>
      </c>
      <c r="D602" t="s">
        <v>1507</v>
      </c>
      <c r="E602" t="s">
        <v>1596</v>
      </c>
      <c r="F602" t="s">
        <v>2072</v>
      </c>
      <c r="G602" t="s">
        <v>2789</v>
      </c>
      <c r="H602">
        <v>0</v>
      </c>
      <c r="I602">
        <v>7.0000000000000001E-3</v>
      </c>
      <c r="J602">
        <v>128</v>
      </c>
    </row>
    <row r="603" spans="1:10" x14ac:dyDescent="0.2">
      <c r="A603" t="s">
        <v>638</v>
      </c>
      <c r="B603" t="s">
        <v>2790</v>
      </c>
      <c r="C603" t="s">
        <v>1506</v>
      </c>
      <c r="D603" t="s">
        <v>1507</v>
      </c>
      <c r="E603" t="s">
        <v>1508</v>
      </c>
      <c r="F603" t="s">
        <v>1509</v>
      </c>
      <c r="G603" t="s">
        <v>2791</v>
      </c>
      <c r="H603">
        <v>0</v>
      </c>
      <c r="I603">
        <v>7.0000000000000001E-3</v>
      </c>
      <c r="J603">
        <v>129</v>
      </c>
    </row>
    <row r="604" spans="1:10" x14ac:dyDescent="0.2">
      <c r="A604" t="s">
        <v>638</v>
      </c>
      <c r="B604" t="s">
        <v>2792</v>
      </c>
      <c r="C604" t="s">
        <v>1506</v>
      </c>
      <c r="D604" t="s">
        <v>1507</v>
      </c>
      <c r="E604" t="s">
        <v>1523</v>
      </c>
      <c r="F604" t="s">
        <v>2793</v>
      </c>
      <c r="G604" t="s">
        <v>2794</v>
      </c>
      <c r="H604">
        <v>0</v>
      </c>
      <c r="I604">
        <v>6.0000000000000001E-3</v>
      </c>
      <c r="J604">
        <v>128</v>
      </c>
    </row>
    <row r="605" spans="1:10" x14ac:dyDescent="0.2">
      <c r="A605" t="s">
        <v>638</v>
      </c>
      <c r="B605" t="s">
        <v>2795</v>
      </c>
      <c r="C605" t="s">
        <v>1506</v>
      </c>
      <c r="D605" t="s">
        <v>1507</v>
      </c>
      <c r="E605" t="s">
        <v>2796</v>
      </c>
      <c r="F605" t="s">
        <v>2797</v>
      </c>
      <c r="G605" t="s">
        <v>2798</v>
      </c>
      <c r="H605">
        <v>0</v>
      </c>
      <c r="I605">
        <v>6.0000000000000001E-3</v>
      </c>
      <c r="J605">
        <v>128</v>
      </c>
    </row>
    <row r="606" spans="1:10" x14ac:dyDescent="0.2">
      <c r="A606" t="s">
        <v>638</v>
      </c>
      <c r="B606" t="s">
        <v>2799</v>
      </c>
      <c r="C606" t="s">
        <v>1506</v>
      </c>
      <c r="D606" t="s">
        <v>1507</v>
      </c>
      <c r="E606" t="s">
        <v>1508</v>
      </c>
      <c r="F606" t="s">
        <v>1509</v>
      </c>
      <c r="G606" t="s">
        <v>2800</v>
      </c>
      <c r="H606">
        <v>0</v>
      </c>
      <c r="I606">
        <v>6.0000000000000001E-3</v>
      </c>
      <c r="J606">
        <v>129</v>
      </c>
    </row>
    <row r="607" spans="1:10" x14ac:dyDescent="0.2">
      <c r="A607" t="s">
        <v>638</v>
      </c>
      <c r="B607" t="s">
        <v>2801</v>
      </c>
      <c r="C607" t="s">
        <v>1506</v>
      </c>
      <c r="D607" t="s">
        <v>1507</v>
      </c>
      <c r="E607" t="s">
        <v>8</v>
      </c>
      <c r="F607" t="s">
        <v>2802</v>
      </c>
      <c r="G607" t="s">
        <v>2803</v>
      </c>
      <c r="H607">
        <v>0</v>
      </c>
      <c r="I607">
        <v>6.0000000000000001E-3</v>
      </c>
      <c r="J607">
        <v>128</v>
      </c>
    </row>
    <row r="608" spans="1:10" x14ac:dyDescent="0.2">
      <c r="A608" t="s">
        <v>638</v>
      </c>
      <c r="B608" t="s">
        <v>2804</v>
      </c>
      <c r="C608" t="s">
        <v>1506</v>
      </c>
      <c r="D608" t="s">
        <v>1507</v>
      </c>
      <c r="E608" t="s">
        <v>8</v>
      </c>
      <c r="F608" t="s">
        <v>2802</v>
      </c>
      <c r="G608" t="s">
        <v>2805</v>
      </c>
      <c r="H608">
        <v>0</v>
      </c>
      <c r="I608">
        <v>6.0000000000000001E-3</v>
      </c>
      <c r="J608">
        <v>128</v>
      </c>
    </row>
    <row r="609" spans="1:10" x14ac:dyDescent="0.2">
      <c r="A609" t="s">
        <v>638</v>
      </c>
      <c r="B609" t="s">
        <v>2806</v>
      </c>
      <c r="C609" t="s">
        <v>1506</v>
      </c>
      <c r="D609" t="s">
        <v>1507</v>
      </c>
      <c r="E609" t="s">
        <v>1544</v>
      </c>
      <c r="F609" t="s">
        <v>1545</v>
      </c>
      <c r="G609" t="s">
        <v>2807</v>
      </c>
      <c r="H609">
        <v>0</v>
      </c>
      <c r="I609">
        <v>5.0000000000000001E-3</v>
      </c>
      <c r="J609">
        <v>129</v>
      </c>
    </row>
    <row r="610" spans="1:10" x14ac:dyDescent="0.2">
      <c r="A610" t="s">
        <v>638</v>
      </c>
      <c r="B610" t="s">
        <v>2808</v>
      </c>
      <c r="C610" t="s">
        <v>1506</v>
      </c>
      <c r="D610" t="s">
        <v>1507</v>
      </c>
      <c r="E610" t="s">
        <v>1523</v>
      </c>
      <c r="F610" t="s">
        <v>1524</v>
      </c>
      <c r="G610" t="s">
        <v>2809</v>
      </c>
      <c r="H610">
        <v>0</v>
      </c>
      <c r="I610">
        <v>5.0000000000000001E-3</v>
      </c>
      <c r="J610">
        <v>128</v>
      </c>
    </row>
    <row r="611" spans="1:10" x14ac:dyDescent="0.2">
      <c r="A611" t="s">
        <v>638</v>
      </c>
      <c r="B611" t="s">
        <v>2810</v>
      </c>
      <c r="C611" t="s">
        <v>1506</v>
      </c>
      <c r="D611" t="s">
        <v>1507</v>
      </c>
      <c r="E611" t="s">
        <v>1523</v>
      </c>
      <c r="F611" t="s">
        <v>1524</v>
      </c>
      <c r="G611" t="s">
        <v>2811</v>
      </c>
      <c r="H611">
        <v>0</v>
      </c>
      <c r="I611">
        <v>5.0000000000000001E-3</v>
      </c>
      <c r="J611">
        <v>128</v>
      </c>
    </row>
    <row r="612" spans="1:10" x14ac:dyDescent="0.2">
      <c r="A612" t="s">
        <v>638</v>
      </c>
      <c r="B612" t="s">
        <v>2812</v>
      </c>
      <c r="C612" t="s">
        <v>1506</v>
      </c>
      <c r="D612" t="s">
        <v>1507</v>
      </c>
      <c r="E612" t="s">
        <v>1523</v>
      </c>
      <c r="F612" t="s">
        <v>1524</v>
      </c>
      <c r="G612" t="s">
        <v>2813</v>
      </c>
      <c r="H612">
        <v>0</v>
      </c>
      <c r="I612">
        <v>5.0000000000000001E-3</v>
      </c>
      <c r="J612">
        <v>128</v>
      </c>
    </row>
    <row r="613" spans="1:10" x14ac:dyDescent="0.2">
      <c r="A613" t="s">
        <v>638</v>
      </c>
      <c r="B613" t="s">
        <v>2814</v>
      </c>
      <c r="C613" t="s">
        <v>1506</v>
      </c>
      <c r="D613" t="s">
        <v>1507</v>
      </c>
      <c r="E613" t="s">
        <v>1523</v>
      </c>
      <c r="F613" t="s">
        <v>1524</v>
      </c>
      <c r="G613" t="s">
        <v>2815</v>
      </c>
      <c r="H613">
        <v>0</v>
      </c>
      <c r="I613">
        <v>5.0000000000000001E-3</v>
      </c>
      <c r="J613">
        <v>128</v>
      </c>
    </row>
    <row r="614" spans="1:10" x14ac:dyDescent="0.2">
      <c r="A614" t="s">
        <v>638</v>
      </c>
      <c r="B614" t="s">
        <v>2816</v>
      </c>
      <c r="C614" t="s">
        <v>1506</v>
      </c>
      <c r="D614" t="s">
        <v>1507</v>
      </c>
      <c r="E614" t="s">
        <v>1523</v>
      </c>
      <c r="F614" t="s">
        <v>1524</v>
      </c>
      <c r="G614" t="s">
        <v>2817</v>
      </c>
      <c r="H614">
        <v>0</v>
      </c>
      <c r="I614">
        <v>5.0000000000000001E-3</v>
      </c>
      <c r="J614">
        <v>128</v>
      </c>
    </row>
    <row r="615" spans="1:10" x14ac:dyDescent="0.2">
      <c r="A615" t="s">
        <v>638</v>
      </c>
      <c r="B615" t="s">
        <v>2818</v>
      </c>
      <c r="C615" t="s">
        <v>1506</v>
      </c>
      <c r="D615" t="s">
        <v>1507</v>
      </c>
      <c r="E615" t="s">
        <v>1696</v>
      </c>
      <c r="F615" t="s">
        <v>2505</v>
      </c>
      <c r="G615" t="s">
        <v>2506</v>
      </c>
      <c r="H615">
        <v>0</v>
      </c>
      <c r="I615">
        <v>5.0000000000000001E-3</v>
      </c>
      <c r="J615">
        <v>128</v>
      </c>
    </row>
    <row r="616" spans="1:10" x14ac:dyDescent="0.2">
      <c r="A616" t="s">
        <v>638</v>
      </c>
      <c r="B616" t="s">
        <v>2819</v>
      </c>
      <c r="C616" t="s">
        <v>1506</v>
      </c>
      <c r="D616" t="s">
        <v>1507</v>
      </c>
      <c r="E616" t="s">
        <v>2820</v>
      </c>
      <c r="F616" t="s">
        <v>2821</v>
      </c>
      <c r="G616" t="s">
        <v>2822</v>
      </c>
      <c r="H616">
        <v>0</v>
      </c>
      <c r="I616">
        <v>5.0000000000000001E-3</v>
      </c>
      <c r="J616">
        <v>127</v>
      </c>
    </row>
    <row r="617" spans="1:10" x14ac:dyDescent="0.2">
      <c r="A617" t="s">
        <v>638</v>
      </c>
      <c r="B617" t="s">
        <v>2823</v>
      </c>
      <c r="C617" t="s">
        <v>1506</v>
      </c>
      <c r="D617" t="s">
        <v>1507</v>
      </c>
      <c r="E617" t="s">
        <v>1523</v>
      </c>
      <c r="F617" t="s">
        <v>2089</v>
      </c>
      <c r="G617" t="s">
        <v>2824</v>
      </c>
      <c r="H617">
        <v>0</v>
      </c>
      <c r="I617">
        <v>4.0000000000000001E-3</v>
      </c>
      <c r="J617">
        <v>128</v>
      </c>
    </row>
    <row r="618" spans="1:10" x14ac:dyDescent="0.2">
      <c r="A618" t="s">
        <v>638</v>
      </c>
      <c r="B618" t="s">
        <v>2825</v>
      </c>
      <c r="C618" t="s">
        <v>1506</v>
      </c>
      <c r="D618" t="s">
        <v>1507</v>
      </c>
      <c r="E618" t="s">
        <v>1523</v>
      </c>
      <c r="F618" t="s">
        <v>1524</v>
      </c>
      <c r="G618" t="s">
        <v>2826</v>
      </c>
      <c r="H618">
        <v>0</v>
      </c>
      <c r="I618">
        <v>4.0000000000000001E-3</v>
      </c>
      <c r="J618">
        <v>128</v>
      </c>
    </row>
    <row r="619" spans="1:10" x14ac:dyDescent="0.2">
      <c r="A619" t="s">
        <v>638</v>
      </c>
      <c r="B619" t="s">
        <v>2827</v>
      </c>
      <c r="C619" t="s">
        <v>1506</v>
      </c>
      <c r="D619" t="s">
        <v>1507</v>
      </c>
      <c r="E619" t="s">
        <v>1531</v>
      </c>
      <c r="F619" t="s">
        <v>2050</v>
      </c>
      <c r="G619" t="s">
        <v>2828</v>
      </c>
      <c r="H619">
        <v>0</v>
      </c>
      <c r="I619">
        <v>4.0000000000000001E-3</v>
      </c>
      <c r="J619">
        <v>127</v>
      </c>
    </row>
    <row r="620" spans="1:10" x14ac:dyDescent="0.2">
      <c r="A620" t="s">
        <v>638</v>
      </c>
      <c r="B620" t="s">
        <v>2829</v>
      </c>
      <c r="C620" t="s">
        <v>1506</v>
      </c>
      <c r="D620" t="s">
        <v>1507</v>
      </c>
      <c r="E620" t="s">
        <v>1658</v>
      </c>
      <c r="F620" t="s">
        <v>2830</v>
      </c>
      <c r="G620" t="s">
        <v>2831</v>
      </c>
      <c r="H620">
        <v>0</v>
      </c>
      <c r="I620">
        <v>4.0000000000000001E-3</v>
      </c>
      <c r="J620">
        <v>127</v>
      </c>
    </row>
    <row r="621" spans="1:10" x14ac:dyDescent="0.2">
      <c r="A621" t="s">
        <v>638</v>
      </c>
      <c r="B621" t="s">
        <v>2832</v>
      </c>
      <c r="C621" t="s">
        <v>1506</v>
      </c>
      <c r="D621" t="s">
        <v>1507</v>
      </c>
      <c r="E621" t="s">
        <v>1523</v>
      </c>
      <c r="F621" t="s">
        <v>1985</v>
      </c>
      <c r="G621" t="s">
        <v>2833</v>
      </c>
      <c r="H621">
        <v>0</v>
      </c>
      <c r="I621">
        <v>3.0000000000000001E-3</v>
      </c>
      <c r="J621">
        <v>129</v>
      </c>
    </row>
    <row r="622" spans="1:10" x14ac:dyDescent="0.2">
      <c r="A622" t="s">
        <v>638</v>
      </c>
      <c r="B622" t="s">
        <v>2834</v>
      </c>
      <c r="C622" t="s">
        <v>1506</v>
      </c>
      <c r="D622" t="s">
        <v>1507</v>
      </c>
      <c r="E622" t="s">
        <v>2055</v>
      </c>
      <c r="F622" t="s">
        <v>2167</v>
      </c>
      <c r="G622" t="s">
        <v>2835</v>
      </c>
      <c r="H622">
        <v>0</v>
      </c>
      <c r="I622">
        <v>3.0000000000000001E-3</v>
      </c>
      <c r="J622">
        <v>129</v>
      </c>
    </row>
    <row r="623" spans="1:10" x14ac:dyDescent="0.2">
      <c r="A623" t="s">
        <v>638</v>
      </c>
      <c r="B623" t="s">
        <v>2836</v>
      </c>
      <c r="C623" t="s">
        <v>1506</v>
      </c>
      <c r="D623" t="s">
        <v>1507</v>
      </c>
      <c r="E623" t="s">
        <v>2055</v>
      </c>
      <c r="F623" t="s">
        <v>2167</v>
      </c>
      <c r="G623" t="s">
        <v>2168</v>
      </c>
      <c r="H623">
        <v>0</v>
      </c>
      <c r="I623">
        <v>3.0000000000000001E-3</v>
      </c>
      <c r="J623">
        <v>129</v>
      </c>
    </row>
    <row r="624" spans="1:10" x14ac:dyDescent="0.2">
      <c r="A624" t="s">
        <v>638</v>
      </c>
      <c r="B624" t="s">
        <v>2837</v>
      </c>
      <c r="C624" t="s">
        <v>1506</v>
      </c>
      <c r="D624" t="s">
        <v>1507</v>
      </c>
      <c r="E624" t="s">
        <v>2055</v>
      </c>
      <c r="F624" t="s">
        <v>2056</v>
      </c>
      <c r="G624" t="s">
        <v>2838</v>
      </c>
      <c r="H624">
        <v>0</v>
      </c>
      <c r="I624">
        <v>3.0000000000000001E-3</v>
      </c>
      <c r="J624">
        <v>128</v>
      </c>
    </row>
    <row r="625" spans="1:10" x14ac:dyDescent="0.2">
      <c r="A625" t="s">
        <v>638</v>
      </c>
      <c r="B625" t="s">
        <v>2839</v>
      </c>
      <c r="C625" t="s">
        <v>1506</v>
      </c>
      <c r="D625" t="s">
        <v>1507</v>
      </c>
      <c r="E625" t="s">
        <v>1571</v>
      </c>
      <c r="F625" t="s">
        <v>1572</v>
      </c>
      <c r="G625" t="s">
        <v>2840</v>
      </c>
      <c r="H625">
        <v>0</v>
      </c>
      <c r="I625">
        <v>3.0000000000000001E-3</v>
      </c>
      <c r="J625">
        <v>128</v>
      </c>
    </row>
    <row r="626" spans="1:10" x14ac:dyDescent="0.2">
      <c r="A626" t="s">
        <v>638</v>
      </c>
      <c r="B626" t="s">
        <v>2841</v>
      </c>
      <c r="C626" t="s">
        <v>1506</v>
      </c>
      <c r="D626" t="s">
        <v>1507</v>
      </c>
      <c r="E626" t="s">
        <v>8</v>
      </c>
      <c r="F626" t="s">
        <v>1578</v>
      </c>
      <c r="G626" t="s">
        <v>2842</v>
      </c>
      <c r="H626">
        <v>0</v>
      </c>
      <c r="I626">
        <v>3.0000000000000001E-3</v>
      </c>
      <c r="J626">
        <v>129</v>
      </c>
    </row>
    <row r="627" spans="1:10" x14ac:dyDescent="0.2">
      <c r="A627" t="s">
        <v>638</v>
      </c>
      <c r="B627" t="s">
        <v>2843</v>
      </c>
      <c r="C627" t="s">
        <v>1506</v>
      </c>
      <c r="D627" t="s">
        <v>1507</v>
      </c>
      <c r="E627" t="s">
        <v>1523</v>
      </c>
      <c r="F627" t="s">
        <v>2844</v>
      </c>
      <c r="G627" t="s">
        <v>2845</v>
      </c>
      <c r="H627">
        <v>0</v>
      </c>
      <c r="I627">
        <v>3.0000000000000001E-3</v>
      </c>
      <c r="J627">
        <v>128</v>
      </c>
    </row>
    <row r="628" spans="1:10" x14ac:dyDescent="0.2">
      <c r="A628" t="s">
        <v>638</v>
      </c>
      <c r="B628" t="s">
        <v>2846</v>
      </c>
      <c r="C628" t="s">
        <v>1506</v>
      </c>
      <c r="D628" t="s">
        <v>1507</v>
      </c>
      <c r="E628" t="s">
        <v>1523</v>
      </c>
      <c r="F628" t="s">
        <v>2793</v>
      </c>
      <c r="G628" t="s">
        <v>2794</v>
      </c>
      <c r="H628">
        <v>0</v>
      </c>
      <c r="I628">
        <v>3.0000000000000001E-3</v>
      </c>
      <c r="J628">
        <v>128</v>
      </c>
    </row>
    <row r="629" spans="1:10" x14ac:dyDescent="0.2">
      <c r="A629" t="s">
        <v>638</v>
      </c>
      <c r="B629" t="s">
        <v>2847</v>
      </c>
      <c r="C629" t="s">
        <v>1506</v>
      </c>
      <c r="D629" t="s">
        <v>1507</v>
      </c>
      <c r="E629" t="s">
        <v>8</v>
      </c>
      <c r="F629" t="s">
        <v>1756</v>
      </c>
      <c r="G629" t="s">
        <v>2848</v>
      </c>
      <c r="H629">
        <v>0</v>
      </c>
      <c r="I629">
        <v>3.0000000000000001E-3</v>
      </c>
      <c r="J629">
        <v>128</v>
      </c>
    </row>
    <row r="630" spans="1:10" x14ac:dyDescent="0.2">
      <c r="A630" t="s">
        <v>638</v>
      </c>
      <c r="B630" t="s">
        <v>2849</v>
      </c>
      <c r="C630" t="s">
        <v>1506</v>
      </c>
      <c r="D630" t="s">
        <v>1507</v>
      </c>
      <c r="E630" t="s">
        <v>1789</v>
      </c>
      <c r="F630" t="s">
        <v>2850</v>
      </c>
      <c r="G630" t="s">
        <v>2851</v>
      </c>
      <c r="H630">
        <v>0</v>
      </c>
      <c r="I630">
        <v>3.0000000000000001E-3</v>
      </c>
      <c r="J630">
        <v>26</v>
      </c>
    </row>
    <row r="631" spans="1:10" x14ac:dyDescent="0.2">
      <c r="A631" t="s">
        <v>638</v>
      </c>
      <c r="B631" t="s">
        <v>2852</v>
      </c>
      <c r="C631" t="s">
        <v>1506</v>
      </c>
      <c r="D631" t="s">
        <v>1507</v>
      </c>
      <c r="E631" t="s">
        <v>1511</v>
      </c>
      <c r="F631" t="s">
        <v>2332</v>
      </c>
      <c r="G631" t="s">
        <v>2853</v>
      </c>
      <c r="H631">
        <v>0</v>
      </c>
      <c r="I631">
        <v>3.0000000000000001E-3</v>
      </c>
      <c r="J631">
        <v>128</v>
      </c>
    </row>
    <row r="632" spans="1:10" x14ac:dyDescent="0.2">
      <c r="A632" t="s">
        <v>638</v>
      </c>
      <c r="B632" t="s">
        <v>2854</v>
      </c>
      <c r="C632" t="s">
        <v>1506</v>
      </c>
      <c r="D632" t="s">
        <v>1507</v>
      </c>
      <c r="E632" t="s">
        <v>1511</v>
      </c>
      <c r="F632" t="s">
        <v>2332</v>
      </c>
      <c r="G632" t="s">
        <v>2853</v>
      </c>
      <c r="H632">
        <v>0</v>
      </c>
      <c r="I632">
        <v>3.0000000000000001E-3</v>
      </c>
      <c r="J632">
        <v>128</v>
      </c>
    </row>
    <row r="633" spans="1:10" x14ac:dyDescent="0.2">
      <c r="A633" t="s">
        <v>638</v>
      </c>
      <c r="B633" t="s">
        <v>2855</v>
      </c>
      <c r="C633" t="s">
        <v>1506</v>
      </c>
      <c r="D633" t="s">
        <v>1507</v>
      </c>
      <c r="E633" t="s">
        <v>1696</v>
      </c>
      <c r="F633" t="s">
        <v>1697</v>
      </c>
      <c r="G633" t="s">
        <v>2856</v>
      </c>
      <c r="H633">
        <v>0</v>
      </c>
      <c r="I633">
        <v>3.0000000000000001E-3</v>
      </c>
      <c r="J633">
        <v>127</v>
      </c>
    </row>
    <row r="634" spans="1:10" x14ac:dyDescent="0.2">
      <c r="A634" t="s">
        <v>638</v>
      </c>
      <c r="B634" t="s">
        <v>2857</v>
      </c>
      <c r="C634" t="s">
        <v>1506</v>
      </c>
      <c r="D634" t="s">
        <v>1507</v>
      </c>
      <c r="E634" t="s">
        <v>1523</v>
      </c>
      <c r="F634" t="s">
        <v>2522</v>
      </c>
      <c r="G634" t="s">
        <v>2858</v>
      </c>
      <c r="H634">
        <v>0</v>
      </c>
      <c r="I634">
        <v>3.0000000000000001E-3</v>
      </c>
      <c r="J634">
        <v>127</v>
      </c>
    </row>
    <row r="635" spans="1:10" x14ac:dyDescent="0.2">
      <c r="A635" t="s">
        <v>638</v>
      </c>
      <c r="B635" t="s">
        <v>2859</v>
      </c>
      <c r="C635" t="s">
        <v>1506</v>
      </c>
      <c r="D635" t="s">
        <v>1507</v>
      </c>
      <c r="E635" t="s">
        <v>1571</v>
      </c>
      <c r="F635" t="s">
        <v>1572</v>
      </c>
      <c r="G635" t="s">
        <v>2860</v>
      </c>
      <c r="H635">
        <v>0</v>
      </c>
      <c r="I635">
        <v>3.0000000000000001E-3</v>
      </c>
      <c r="J635">
        <v>128</v>
      </c>
    </row>
    <row r="636" spans="1:10" x14ac:dyDescent="0.2">
      <c r="A636" t="s">
        <v>638</v>
      </c>
      <c r="B636" t="s">
        <v>2861</v>
      </c>
      <c r="C636" t="s">
        <v>1506</v>
      </c>
      <c r="D636" t="s">
        <v>1507</v>
      </c>
      <c r="E636" t="s">
        <v>1523</v>
      </c>
      <c r="F636" t="s">
        <v>1916</v>
      </c>
      <c r="G636" t="s">
        <v>2862</v>
      </c>
      <c r="H636">
        <v>0</v>
      </c>
      <c r="I636">
        <v>3.0000000000000001E-3</v>
      </c>
      <c r="J636">
        <v>128</v>
      </c>
    </row>
    <row r="637" spans="1:10" x14ac:dyDescent="0.2">
      <c r="A637" t="s">
        <v>638</v>
      </c>
      <c r="B637" t="s">
        <v>2863</v>
      </c>
      <c r="C637" t="s">
        <v>1506</v>
      </c>
      <c r="D637" t="s">
        <v>1507</v>
      </c>
      <c r="E637" t="s">
        <v>1523</v>
      </c>
      <c r="F637" t="s">
        <v>1916</v>
      </c>
      <c r="G637" t="s">
        <v>2862</v>
      </c>
      <c r="H637">
        <v>0</v>
      </c>
      <c r="I637">
        <v>3.0000000000000001E-3</v>
      </c>
      <c r="J637">
        <v>128</v>
      </c>
    </row>
    <row r="638" spans="1:10" x14ac:dyDescent="0.2">
      <c r="A638" t="s">
        <v>638</v>
      </c>
      <c r="B638" t="s">
        <v>2864</v>
      </c>
      <c r="C638" t="s">
        <v>1506</v>
      </c>
      <c r="D638" t="s">
        <v>1507</v>
      </c>
      <c r="E638" t="s">
        <v>1571</v>
      </c>
      <c r="F638" t="s">
        <v>1572</v>
      </c>
      <c r="G638" t="s">
        <v>2865</v>
      </c>
      <c r="H638">
        <v>0</v>
      </c>
      <c r="I638">
        <v>3.0000000000000001E-3</v>
      </c>
      <c r="J638">
        <v>128</v>
      </c>
    </row>
    <row r="639" spans="1:10" x14ac:dyDescent="0.2">
      <c r="A639" t="s">
        <v>638</v>
      </c>
      <c r="B639" t="s">
        <v>2866</v>
      </c>
      <c r="C639" t="s">
        <v>1506</v>
      </c>
      <c r="D639" t="s">
        <v>1507</v>
      </c>
      <c r="E639" t="s">
        <v>1523</v>
      </c>
      <c r="F639" t="s">
        <v>1985</v>
      </c>
      <c r="G639" t="s">
        <v>2867</v>
      </c>
      <c r="H639">
        <v>0</v>
      </c>
      <c r="I639">
        <v>3.0000000000000001E-3</v>
      </c>
      <c r="J639">
        <v>129</v>
      </c>
    </row>
    <row r="640" spans="1:10" x14ac:dyDescent="0.2">
      <c r="A640" t="s">
        <v>638</v>
      </c>
      <c r="B640" t="s">
        <v>2868</v>
      </c>
      <c r="C640" t="s">
        <v>1506</v>
      </c>
      <c r="D640" t="s">
        <v>1507</v>
      </c>
      <c r="E640" t="s">
        <v>1633</v>
      </c>
      <c r="F640" t="s">
        <v>1634</v>
      </c>
      <c r="G640" t="s">
        <v>2869</v>
      </c>
      <c r="H640">
        <v>0</v>
      </c>
      <c r="I640">
        <v>3.0000000000000001E-3</v>
      </c>
      <c r="J640">
        <v>128</v>
      </c>
    </row>
    <row r="641" spans="1:10" x14ac:dyDescent="0.2">
      <c r="A641" t="s">
        <v>638</v>
      </c>
      <c r="B641" t="s">
        <v>2870</v>
      </c>
      <c r="C641" t="s">
        <v>1506</v>
      </c>
      <c r="D641" t="s">
        <v>1507</v>
      </c>
      <c r="E641" t="s">
        <v>1523</v>
      </c>
      <c r="F641" t="s">
        <v>1985</v>
      </c>
      <c r="G641" t="s">
        <v>2871</v>
      </c>
      <c r="H641">
        <v>0</v>
      </c>
      <c r="I641">
        <v>3.0000000000000001E-3</v>
      </c>
      <c r="J641">
        <v>129</v>
      </c>
    </row>
    <row r="642" spans="1:10" x14ac:dyDescent="0.2">
      <c r="A642" t="s">
        <v>638</v>
      </c>
      <c r="B642" t="s">
        <v>2872</v>
      </c>
      <c r="C642" t="s">
        <v>1506</v>
      </c>
      <c r="D642" t="s">
        <v>1507</v>
      </c>
      <c r="E642" t="s">
        <v>1523</v>
      </c>
      <c r="F642" t="s">
        <v>1916</v>
      </c>
      <c r="G642" t="s">
        <v>2719</v>
      </c>
      <c r="H642">
        <v>0</v>
      </c>
      <c r="I642">
        <v>3.0000000000000001E-3</v>
      </c>
      <c r="J642">
        <v>127</v>
      </c>
    </row>
    <row r="643" spans="1:10" x14ac:dyDescent="0.2">
      <c r="A643" t="s">
        <v>638</v>
      </c>
      <c r="B643" t="s">
        <v>2873</v>
      </c>
      <c r="C643" t="s">
        <v>1506</v>
      </c>
      <c r="D643" t="s">
        <v>1507</v>
      </c>
      <c r="E643" t="s">
        <v>1508</v>
      </c>
      <c r="F643" t="s">
        <v>1509</v>
      </c>
      <c r="G643" t="s">
        <v>2874</v>
      </c>
      <c r="H643">
        <v>0</v>
      </c>
      <c r="I643">
        <v>3.0000000000000001E-3</v>
      </c>
      <c r="J643">
        <v>129</v>
      </c>
    </row>
    <row r="644" spans="1:10" x14ac:dyDescent="0.2">
      <c r="A644" t="s">
        <v>638</v>
      </c>
      <c r="B644" t="s">
        <v>2875</v>
      </c>
      <c r="C644" t="s">
        <v>1506</v>
      </c>
      <c r="D644" t="s">
        <v>1507</v>
      </c>
      <c r="E644" t="s">
        <v>1523</v>
      </c>
      <c r="F644" t="s">
        <v>2089</v>
      </c>
      <c r="G644" t="s">
        <v>2876</v>
      </c>
      <c r="H644">
        <v>0</v>
      </c>
      <c r="I644">
        <v>3.0000000000000001E-3</v>
      </c>
      <c r="J644">
        <v>128</v>
      </c>
    </row>
    <row r="645" spans="1:10" x14ac:dyDescent="0.2">
      <c r="A645" t="s">
        <v>638</v>
      </c>
      <c r="B645" t="s">
        <v>2877</v>
      </c>
      <c r="C645" t="s">
        <v>1506</v>
      </c>
      <c r="D645" t="s">
        <v>1507</v>
      </c>
      <c r="E645" t="s">
        <v>1523</v>
      </c>
      <c r="F645" t="s">
        <v>2878</v>
      </c>
      <c r="G645" t="s">
        <v>2879</v>
      </c>
      <c r="H645">
        <v>0</v>
      </c>
      <c r="I645">
        <v>2E-3</v>
      </c>
      <c r="J645">
        <v>129</v>
      </c>
    </row>
    <row r="646" spans="1:10" x14ac:dyDescent="0.2">
      <c r="A646" t="s">
        <v>638</v>
      </c>
      <c r="B646" t="s">
        <v>2880</v>
      </c>
      <c r="C646" t="s">
        <v>1506</v>
      </c>
      <c r="D646" t="s">
        <v>1507</v>
      </c>
      <c r="E646" t="s">
        <v>1523</v>
      </c>
      <c r="F646" t="s">
        <v>2878</v>
      </c>
      <c r="G646" t="s">
        <v>2879</v>
      </c>
      <c r="H646">
        <v>0</v>
      </c>
      <c r="I646">
        <v>2E-3</v>
      </c>
      <c r="J646">
        <v>129</v>
      </c>
    </row>
    <row r="647" spans="1:10" x14ac:dyDescent="0.2">
      <c r="A647" t="s">
        <v>638</v>
      </c>
      <c r="B647" t="s">
        <v>2881</v>
      </c>
      <c r="C647" t="s">
        <v>1506</v>
      </c>
      <c r="D647" t="s">
        <v>1507</v>
      </c>
      <c r="E647" t="s">
        <v>1523</v>
      </c>
      <c r="F647" t="s">
        <v>2878</v>
      </c>
      <c r="G647" t="s">
        <v>2882</v>
      </c>
      <c r="H647">
        <v>0</v>
      </c>
      <c r="I647">
        <v>2E-3</v>
      </c>
      <c r="J647">
        <v>129</v>
      </c>
    </row>
    <row r="648" spans="1:10" x14ac:dyDescent="0.2">
      <c r="A648" t="s">
        <v>638</v>
      </c>
      <c r="B648" t="s">
        <v>2883</v>
      </c>
      <c r="C648" t="s">
        <v>1506</v>
      </c>
      <c r="D648" t="s">
        <v>1507</v>
      </c>
      <c r="E648" t="s">
        <v>1523</v>
      </c>
      <c r="F648" t="s">
        <v>2878</v>
      </c>
      <c r="G648" t="s">
        <v>2882</v>
      </c>
      <c r="H648">
        <v>0</v>
      </c>
      <c r="I648">
        <v>2E-3</v>
      </c>
      <c r="J648">
        <v>129</v>
      </c>
    </row>
    <row r="649" spans="1:10" x14ac:dyDescent="0.2">
      <c r="A649" t="s">
        <v>638</v>
      </c>
      <c r="B649" t="s">
        <v>2884</v>
      </c>
      <c r="C649" t="s">
        <v>1506</v>
      </c>
      <c r="D649" t="s">
        <v>1507</v>
      </c>
      <c r="E649" t="s">
        <v>1523</v>
      </c>
      <c r="F649" t="s">
        <v>2878</v>
      </c>
      <c r="G649" t="s">
        <v>2882</v>
      </c>
      <c r="H649">
        <v>0</v>
      </c>
      <c r="I649">
        <v>2E-3</v>
      </c>
      <c r="J649">
        <v>129</v>
      </c>
    </row>
    <row r="650" spans="1:10" x14ac:dyDescent="0.2">
      <c r="A650" t="s">
        <v>638</v>
      </c>
      <c r="B650" t="s">
        <v>2885</v>
      </c>
      <c r="C650" t="s">
        <v>1506</v>
      </c>
      <c r="D650" t="s">
        <v>1507</v>
      </c>
      <c r="E650" t="s">
        <v>1523</v>
      </c>
      <c r="F650" t="s">
        <v>2878</v>
      </c>
      <c r="G650" t="s">
        <v>2882</v>
      </c>
      <c r="H650">
        <v>0</v>
      </c>
      <c r="I650">
        <v>2E-3</v>
      </c>
      <c r="J650">
        <v>129</v>
      </c>
    </row>
    <row r="651" spans="1:10" x14ac:dyDescent="0.2">
      <c r="A651" t="s">
        <v>638</v>
      </c>
      <c r="B651" t="s">
        <v>2886</v>
      </c>
      <c r="C651" t="s">
        <v>1506</v>
      </c>
      <c r="D651" t="s">
        <v>1507</v>
      </c>
      <c r="E651" t="s">
        <v>1523</v>
      </c>
      <c r="F651" t="s">
        <v>2878</v>
      </c>
      <c r="G651" t="s">
        <v>2887</v>
      </c>
      <c r="H651">
        <v>0</v>
      </c>
      <c r="I651">
        <v>2E-3</v>
      </c>
      <c r="J651">
        <v>128</v>
      </c>
    </row>
    <row r="652" spans="1:10" x14ac:dyDescent="0.2">
      <c r="A652" t="s">
        <v>638</v>
      </c>
      <c r="B652" t="s">
        <v>2888</v>
      </c>
      <c r="C652" t="s">
        <v>1506</v>
      </c>
      <c r="D652" t="s">
        <v>1507</v>
      </c>
      <c r="E652" t="s">
        <v>1523</v>
      </c>
      <c r="F652" t="s">
        <v>2793</v>
      </c>
      <c r="G652" t="s">
        <v>2889</v>
      </c>
      <c r="H652">
        <v>0</v>
      </c>
      <c r="I652">
        <v>2E-3</v>
      </c>
      <c r="J652">
        <v>128</v>
      </c>
    </row>
    <row r="653" spans="1:10" x14ac:dyDescent="0.2">
      <c r="A653" t="s">
        <v>638</v>
      </c>
      <c r="B653" t="s">
        <v>2890</v>
      </c>
      <c r="C653" t="s">
        <v>1506</v>
      </c>
      <c r="D653" t="s">
        <v>1507</v>
      </c>
      <c r="E653" t="s">
        <v>8</v>
      </c>
      <c r="F653" t="s">
        <v>2023</v>
      </c>
      <c r="G653" t="s">
        <v>2891</v>
      </c>
      <c r="H653">
        <v>0</v>
      </c>
      <c r="I653">
        <v>2E-3</v>
      </c>
      <c r="J653">
        <v>129</v>
      </c>
    </row>
    <row r="654" spans="1:10" x14ac:dyDescent="0.2">
      <c r="A654" t="s">
        <v>638</v>
      </c>
      <c r="B654" t="s">
        <v>2892</v>
      </c>
      <c r="C654" t="s">
        <v>1506</v>
      </c>
      <c r="D654" t="s">
        <v>1507</v>
      </c>
      <c r="E654" t="s">
        <v>1796</v>
      </c>
      <c r="F654" t="s">
        <v>2784</v>
      </c>
      <c r="G654" t="s">
        <v>2893</v>
      </c>
      <c r="H654">
        <v>0</v>
      </c>
      <c r="I654">
        <v>2E-3</v>
      </c>
      <c r="J654">
        <v>128</v>
      </c>
    </row>
    <row r="655" spans="1:10" x14ac:dyDescent="0.2">
      <c r="A655" t="s">
        <v>638</v>
      </c>
      <c r="B655" t="s">
        <v>2894</v>
      </c>
      <c r="C655" t="s">
        <v>1506</v>
      </c>
      <c r="D655" t="s">
        <v>1507</v>
      </c>
      <c r="E655" t="s">
        <v>1508</v>
      </c>
      <c r="F655" t="s">
        <v>1509</v>
      </c>
      <c r="G655" t="s">
        <v>2895</v>
      </c>
      <c r="H655">
        <v>0</v>
      </c>
      <c r="I655">
        <v>2E-3</v>
      </c>
      <c r="J655">
        <v>132</v>
      </c>
    </row>
    <row r="656" spans="1:10" x14ac:dyDescent="0.2">
      <c r="A656" t="s">
        <v>638</v>
      </c>
      <c r="B656" t="s">
        <v>2896</v>
      </c>
      <c r="C656" t="s">
        <v>1506</v>
      </c>
      <c r="D656" t="s">
        <v>1507</v>
      </c>
      <c r="E656" t="s">
        <v>2357</v>
      </c>
      <c r="F656" t="s">
        <v>2897</v>
      </c>
      <c r="G656" t="s">
        <v>2898</v>
      </c>
      <c r="H656">
        <v>0</v>
      </c>
      <c r="I656">
        <v>2E-3</v>
      </c>
      <c r="J656">
        <v>129</v>
      </c>
    </row>
    <row r="657" spans="1:10" x14ac:dyDescent="0.2">
      <c r="A657" t="s">
        <v>638</v>
      </c>
      <c r="B657" t="s">
        <v>2899</v>
      </c>
      <c r="C657" t="s">
        <v>1506</v>
      </c>
      <c r="D657" t="s">
        <v>1507</v>
      </c>
      <c r="E657" t="s">
        <v>2357</v>
      </c>
      <c r="F657" t="s">
        <v>2897</v>
      </c>
      <c r="G657" t="s">
        <v>2900</v>
      </c>
      <c r="H657">
        <v>0</v>
      </c>
      <c r="I657">
        <v>2E-3</v>
      </c>
      <c r="J657">
        <v>129</v>
      </c>
    </row>
    <row r="658" spans="1:10" x14ac:dyDescent="0.2">
      <c r="A658" t="s">
        <v>638</v>
      </c>
      <c r="B658" t="s">
        <v>2901</v>
      </c>
      <c r="C658" t="s">
        <v>1506</v>
      </c>
      <c r="D658" t="s">
        <v>1507</v>
      </c>
      <c r="E658" t="s">
        <v>1789</v>
      </c>
      <c r="F658" t="s">
        <v>2029</v>
      </c>
      <c r="G658" t="s">
        <v>2902</v>
      </c>
      <c r="H658">
        <v>0</v>
      </c>
      <c r="I658">
        <v>2E-3</v>
      </c>
      <c r="J658">
        <v>129</v>
      </c>
    </row>
    <row r="659" spans="1:10" x14ac:dyDescent="0.2">
      <c r="A659" t="s">
        <v>638</v>
      </c>
      <c r="B659" t="s">
        <v>2903</v>
      </c>
      <c r="C659" t="s">
        <v>1506</v>
      </c>
      <c r="D659" t="s">
        <v>1507</v>
      </c>
      <c r="E659" t="s">
        <v>8</v>
      </c>
      <c r="F659" t="s">
        <v>2023</v>
      </c>
      <c r="G659" t="s">
        <v>2904</v>
      </c>
      <c r="H659">
        <v>0</v>
      </c>
      <c r="I659">
        <v>2E-3</v>
      </c>
      <c r="J659">
        <v>129</v>
      </c>
    </row>
    <row r="660" spans="1:10" x14ac:dyDescent="0.2">
      <c r="A660" t="s">
        <v>638</v>
      </c>
      <c r="B660" t="s">
        <v>2905</v>
      </c>
      <c r="C660" t="s">
        <v>1506</v>
      </c>
      <c r="D660" t="s">
        <v>1507</v>
      </c>
      <c r="E660" t="s">
        <v>8</v>
      </c>
      <c r="F660" t="s">
        <v>2721</v>
      </c>
      <c r="G660" t="s">
        <v>2906</v>
      </c>
      <c r="H660">
        <v>0</v>
      </c>
      <c r="I660">
        <v>2E-3</v>
      </c>
      <c r="J660">
        <v>128</v>
      </c>
    </row>
    <row r="661" spans="1:10" x14ac:dyDescent="0.2">
      <c r="A661" t="s">
        <v>638</v>
      </c>
      <c r="B661" t="s">
        <v>2907</v>
      </c>
      <c r="C661" t="s">
        <v>1506</v>
      </c>
      <c r="D661" t="s">
        <v>1507</v>
      </c>
      <c r="E661" t="s">
        <v>8</v>
      </c>
      <c r="F661" t="s">
        <v>2302</v>
      </c>
      <c r="G661" t="s">
        <v>2908</v>
      </c>
      <c r="H661">
        <v>0</v>
      </c>
      <c r="I661">
        <v>2E-3</v>
      </c>
      <c r="J661">
        <v>128</v>
      </c>
    </row>
    <row r="662" spans="1:10" x14ac:dyDescent="0.2">
      <c r="A662" t="s">
        <v>638</v>
      </c>
      <c r="B662" t="s">
        <v>2909</v>
      </c>
      <c r="C662" t="s">
        <v>1506</v>
      </c>
      <c r="D662" t="s">
        <v>1507</v>
      </c>
      <c r="E662" t="s">
        <v>8</v>
      </c>
      <c r="F662" t="s">
        <v>2075</v>
      </c>
      <c r="G662" t="s">
        <v>2910</v>
      </c>
      <c r="H662">
        <v>0</v>
      </c>
      <c r="I662">
        <v>2E-3</v>
      </c>
      <c r="J662">
        <v>128</v>
      </c>
    </row>
    <row r="663" spans="1:10" x14ac:dyDescent="0.2">
      <c r="A663" t="s">
        <v>638</v>
      </c>
      <c r="B663" t="s">
        <v>2911</v>
      </c>
      <c r="C663" t="s">
        <v>1506</v>
      </c>
      <c r="D663" t="s">
        <v>1507</v>
      </c>
      <c r="E663" t="s">
        <v>1544</v>
      </c>
      <c r="F663" t="s">
        <v>1545</v>
      </c>
      <c r="G663" t="s">
        <v>2912</v>
      </c>
      <c r="H663">
        <v>0</v>
      </c>
      <c r="I663">
        <v>1E-3</v>
      </c>
      <c r="J663">
        <v>129</v>
      </c>
    </row>
    <row r="664" spans="1:10" x14ac:dyDescent="0.2">
      <c r="A664" t="s">
        <v>638</v>
      </c>
      <c r="B664" t="s">
        <v>2913</v>
      </c>
      <c r="C664" t="s">
        <v>1506</v>
      </c>
      <c r="D664" t="s">
        <v>1507</v>
      </c>
      <c r="E664" t="s">
        <v>1523</v>
      </c>
      <c r="F664" t="s">
        <v>1985</v>
      </c>
      <c r="G664" t="s">
        <v>2914</v>
      </c>
      <c r="H664">
        <v>0</v>
      </c>
      <c r="I664">
        <v>1E-3</v>
      </c>
      <c r="J664">
        <v>129</v>
      </c>
    </row>
    <row r="665" spans="1:10" x14ac:dyDescent="0.2">
      <c r="A665" t="s">
        <v>638</v>
      </c>
      <c r="B665" t="s">
        <v>2915</v>
      </c>
      <c r="C665" t="s">
        <v>1506</v>
      </c>
      <c r="D665" t="s">
        <v>1507</v>
      </c>
      <c r="E665" t="s">
        <v>2916</v>
      </c>
      <c r="F665" t="s">
        <v>2917</v>
      </c>
      <c r="G665" t="s">
        <v>2918</v>
      </c>
      <c r="H665">
        <v>0</v>
      </c>
      <c r="I665">
        <v>1E-3</v>
      </c>
      <c r="J665">
        <v>131</v>
      </c>
    </row>
    <row r="666" spans="1:10" x14ac:dyDescent="0.2">
      <c r="A666" t="s">
        <v>638</v>
      </c>
      <c r="B666" t="s">
        <v>2919</v>
      </c>
      <c r="C666" t="s">
        <v>1506</v>
      </c>
      <c r="D666" t="s">
        <v>1507</v>
      </c>
      <c r="E666" t="s">
        <v>1511</v>
      </c>
      <c r="F666" t="s">
        <v>1512</v>
      </c>
      <c r="G666" t="s">
        <v>2920</v>
      </c>
      <c r="H666">
        <v>0</v>
      </c>
      <c r="I666">
        <v>1E-3</v>
      </c>
      <c r="J666">
        <v>128</v>
      </c>
    </row>
    <row r="667" spans="1:10" x14ac:dyDescent="0.2">
      <c r="A667" t="s">
        <v>638</v>
      </c>
      <c r="B667" t="s">
        <v>2921</v>
      </c>
      <c r="C667" t="s">
        <v>1506</v>
      </c>
      <c r="D667" t="s">
        <v>1507</v>
      </c>
      <c r="E667" t="s">
        <v>8</v>
      </c>
      <c r="F667" t="s">
        <v>1756</v>
      </c>
      <c r="G667" t="s">
        <v>2922</v>
      </c>
      <c r="H667">
        <v>0</v>
      </c>
      <c r="I667">
        <v>1E-3</v>
      </c>
      <c r="J667">
        <v>128</v>
      </c>
    </row>
    <row r="668" spans="1:10" x14ac:dyDescent="0.2">
      <c r="A668" t="s">
        <v>638</v>
      </c>
      <c r="B668" t="s">
        <v>2923</v>
      </c>
      <c r="C668" t="s">
        <v>1506</v>
      </c>
      <c r="D668" t="s">
        <v>1507</v>
      </c>
      <c r="E668" t="s">
        <v>1658</v>
      </c>
      <c r="F668" t="s">
        <v>2830</v>
      </c>
      <c r="G668" t="s">
        <v>2924</v>
      </c>
      <c r="H668">
        <v>0</v>
      </c>
      <c r="I668">
        <v>1E-3</v>
      </c>
      <c r="J668">
        <v>128</v>
      </c>
    </row>
    <row r="669" spans="1:10" x14ac:dyDescent="0.2">
      <c r="A669" t="s">
        <v>638</v>
      </c>
      <c r="B669" t="s">
        <v>2925</v>
      </c>
      <c r="C669" t="s">
        <v>1506</v>
      </c>
      <c r="D669" t="s">
        <v>1507</v>
      </c>
      <c r="E669" t="s">
        <v>1523</v>
      </c>
      <c r="F669" t="s">
        <v>2926</v>
      </c>
      <c r="G669" t="s">
        <v>2927</v>
      </c>
      <c r="H669">
        <v>0</v>
      </c>
      <c r="I669">
        <v>1E-3</v>
      </c>
      <c r="J669">
        <v>128</v>
      </c>
    </row>
    <row r="670" spans="1:10" x14ac:dyDescent="0.2">
      <c r="A670" t="s">
        <v>638</v>
      </c>
      <c r="B670" t="s">
        <v>2928</v>
      </c>
      <c r="C670" t="s">
        <v>1506</v>
      </c>
      <c r="D670" t="s">
        <v>1507</v>
      </c>
      <c r="E670" t="s">
        <v>1523</v>
      </c>
      <c r="F670" t="s">
        <v>2926</v>
      </c>
      <c r="G670" t="s">
        <v>2929</v>
      </c>
      <c r="H670">
        <v>0</v>
      </c>
      <c r="I670">
        <v>1E-3</v>
      </c>
      <c r="J670">
        <v>128</v>
      </c>
    </row>
    <row r="671" spans="1:10" x14ac:dyDescent="0.2">
      <c r="A671" t="s">
        <v>638</v>
      </c>
      <c r="B671" t="s">
        <v>2930</v>
      </c>
      <c r="C671" t="s">
        <v>1506</v>
      </c>
      <c r="D671" t="s">
        <v>1507</v>
      </c>
      <c r="E671" t="s">
        <v>1523</v>
      </c>
      <c r="F671" t="s">
        <v>2926</v>
      </c>
      <c r="G671" t="s">
        <v>2931</v>
      </c>
      <c r="H671">
        <v>0</v>
      </c>
      <c r="I671">
        <v>1E-3</v>
      </c>
      <c r="J671">
        <v>128</v>
      </c>
    </row>
    <row r="672" spans="1:10" x14ac:dyDescent="0.2">
      <c r="A672" t="s">
        <v>638</v>
      </c>
      <c r="B672" t="s">
        <v>2932</v>
      </c>
      <c r="C672" t="s">
        <v>1506</v>
      </c>
      <c r="D672" t="s">
        <v>1507</v>
      </c>
      <c r="E672" t="s">
        <v>1523</v>
      </c>
      <c r="F672" t="s">
        <v>2926</v>
      </c>
      <c r="G672" t="s">
        <v>2933</v>
      </c>
      <c r="H672">
        <v>0</v>
      </c>
      <c r="I672">
        <v>1E-3</v>
      </c>
      <c r="J672">
        <v>128</v>
      </c>
    </row>
    <row r="673" spans="1:10" x14ac:dyDescent="0.2">
      <c r="A673" t="s">
        <v>638</v>
      </c>
      <c r="B673" t="s">
        <v>2934</v>
      </c>
      <c r="C673" t="s">
        <v>1506</v>
      </c>
      <c r="D673" t="s">
        <v>1507</v>
      </c>
      <c r="E673" t="s">
        <v>1692</v>
      </c>
      <c r="F673" t="s">
        <v>1693</v>
      </c>
      <c r="G673" t="s">
        <v>2935</v>
      </c>
      <c r="H673">
        <v>0</v>
      </c>
      <c r="I673">
        <v>1E-3</v>
      </c>
      <c r="J673">
        <v>128</v>
      </c>
    </row>
    <row r="674" spans="1:10" x14ac:dyDescent="0.2">
      <c r="A674" t="s">
        <v>638</v>
      </c>
      <c r="B674" t="s">
        <v>2936</v>
      </c>
      <c r="C674" t="s">
        <v>1506</v>
      </c>
      <c r="D674" t="s">
        <v>1507</v>
      </c>
      <c r="E674" t="s">
        <v>1658</v>
      </c>
      <c r="F674" t="s">
        <v>2937</v>
      </c>
      <c r="G674" t="s">
        <v>2938</v>
      </c>
      <c r="H674">
        <v>0</v>
      </c>
      <c r="I674">
        <v>1E-3</v>
      </c>
      <c r="J674">
        <v>128</v>
      </c>
    </row>
    <row r="675" spans="1:10" x14ac:dyDescent="0.2">
      <c r="A675" t="s">
        <v>638</v>
      </c>
      <c r="B675" t="s">
        <v>2939</v>
      </c>
      <c r="C675" t="s">
        <v>1506</v>
      </c>
      <c r="D675" t="s">
        <v>1507</v>
      </c>
      <c r="E675" t="s">
        <v>8</v>
      </c>
      <c r="F675" t="s">
        <v>2302</v>
      </c>
      <c r="G675" t="s">
        <v>2940</v>
      </c>
      <c r="H675">
        <v>0</v>
      </c>
      <c r="I675">
        <v>1E-3</v>
      </c>
      <c r="J675">
        <v>128</v>
      </c>
    </row>
    <row r="676" spans="1:10" x14ac:dyDescent="0.2">
      <c r="A676" t="s">
        <v>638</v>
      </c>
      <c r="B676" t="s">
        <v>2941</v>
      </c>
      <c r="C676" t="s">
        <v>1506</v>
      </c>
      <c r="D676" t="s">
        <v>1507</v>
      </c>
      <c r="E676" t="s">
        <v>1523</v>
      </c>
      <c r="F676" t="s">
        <v>1985</v>
      </c>
      <c r="G676" t="s">
        <v>2942</v>
      </c>
      <c r="H676">
        <v>0</v>
      </c>
      <c r="I676">
        <v>1E-3</v>
      </c>
      <c r="J676">
        <v>129</v>
      </c>
    </row>
    <row r="677" spans="1:10" x14ac:dyDescent="0.2">
      <c r="A677" t="s">
        <v>638</v>
      </c>
      <c r="B677" t="s">
        <v>2943</v>
      </c>
      <c r="C677" t="s">
        <v>1506</v>
      </c>
      <c r="D677" t="s">
        <v>1507</v>
      </c>
      <c r="E677" t="s">
        <v>1523</v>
      </c>
      <c r="F677" t="s">
        <v>1985</v>
      </c>
      <c r="G677" t="s">
        <v>2944</v>
      </c>
      <c r="H677">
        <v>0</v>
      </c>
      <c r="I677">
        <v>1E-3</v>
      </c>
      <c r="J677">
        <v>129</v>
      </c>
    </row>
    <row r="678" spans="1:10" x14ac:dyDescent="0.2">
      <c r="A678" t="s">
        <v>638</v>
      </c>
      <c r="B678" t="s">
        <v>2945</v>
      </c>
      <c r="C678" t="s">
        <v>1506</v>
      </c>
      <c r="D678" t="s">
        <v>1507</v>
      </c>
      <c r="E678" t="s">
        <v>1523</v>
      </c>
      <c r="F678" t="s">
        <v>2946</v>
      </c>
      <c r="G678" t="s">
        <v>2947</v>
      </c>
      <c r="H678">
        <v>0</v>
      </c>
      <c r="I678">
        <v>1E-3</v>
      </c>
      <c r="J678">
        <v>128</v>
      </c>
    </row>
    <row r="679" spans="1:10" x14ac:dyDescent="0.2">
      <c r="A679" t="s">
        <v>638</v>
      </c>
      <c r="B679" t="s">
        <v>2948</v>
      </c>
      <c r="C679" t="s">
        <v>1506</v>
      </c>
      <c r="D679" t="s">
        <v>1507</v>
      </c>
      <c r="E679" t="s">
        <v>1523</v>
      </c>
      <c r="F679" t="s">
        <v>2949</v>
      </c>
      <c r="G679" t="s">
        <v>2950</v>
      </c>
      <c r="H679">
        <v>0</v>
      </c>
      <c r="I679">
        <v>1E-3</v>
      </c>
      <c r="J679">
        <v>128</v>
      </c>
    </row>
    <row r="680" spans="1:10" x14ac:dyDescent="0.2">
      <c r="A680" t="s">
        <v>638</v>
      </c>
      <c r="B680" t="s">
        <v>2951</v>
      </c>
      <c r="C680" t="s">
        <v>1506</v>
      </c>
      <c r="D680" t="s">
        <v>1507</v>
      </c>
      <c r="E680" t="s">
        <v>2068</v>
      </c>
      <c r="F680" t="s">
        <v>2519</v>
      </c>
      <c r="G680" t="s">
        <v>2952</v>
      </c>
      <c r="H680">
        <v>0</v>
      </c>
      <c r="I680">
        <v>1E-3</v>
      </c>
      <c r="J680">
        <v>128</v>
      </c>
    </row>
    <row r="681" spans="1:10" x14ac:dyDescent="0.2">
      <c r="A681" t="s">
        <v>638</v>
      </c>
      <c r="B681" t="s">
        <v>2953</v>
      </c>
      <c r="C681" t="s">
        <v>1506</v>
      </c>
      <c r="D681" t="s">
        <v>1507</v>
      </c>
      <c r="E681" t="s">
        <v>1523</v>
      </c>
      <c r="F681" t="s">
        <v>2946</v>
      </c>
      <c r="G681" t="s">
        <v>2954</v>
      </c>
      <c r="H681">
        <v>0</v>
      </c>
      <c r="I681">
        <v>1E-3</v>
      </c>
      <c r="J681">
        <v>128</v>
      </c>
    </row>
    <row r="682" spans="1:10" x14ac:dyDescent="0.2">
      <c r="A682" t="s">
        <v>638</v>
      </c>
      <c r="B682" t="s">
        <v>2955</v>
      </c>
      <c r="C682" t="s">
        <v>1506</v>
      </c>
      <c r="D682" t="s">
        <v>1507</v>
      </c>
      <c r="E682" t="s">
        <v>1544</v>
      </c>
      <c r="F682" t="s">
        <v>1545</v>
      </c>
      <c r="G682" t="s">
        <v>2956</v>
      </c>
      <c r="H682">
        <v>0</v>
      </c>
      <c r="I682">
        <v>1E-3</v>
      </c>
      <c r="J682">
        <v>128</v>
      </c>
    </row>
    <row r="683" spans="1:10" x14ac:dyDescent="0.2">
      <c r="A683" t="s">
        <v>638</v>
      </c>
      <c r="B683" t="s">
        <v>2957</v>
      </c>
      <c r="C683" t="s">
        <v>1506</v>
      </c>
      <c r="D683" t="s">
        <v>1507</v>
      </c>
      <c r="E683" t="s">
        <v>1544</v>
      </c>
      <c r="F683" t="s">
        <v>1545</v>
      </c>
      <c r="G683" t="s">
        <v>2958</v>
      </c>
      <c r="H683">
        <v>0</v>
      </c>
      <c r="I683">
        <v>1E-3</v>
      </c>
      <c r="J683">
        <v>128</v>
      </c>
    </row>
    <row r="684" spans="1:10" x14ac:dyDescent="0.2">
      <c r="A684" t="s">
        <v>638</v>
      </c>
      <c r="B684" t="s">
        <v>2959</v>
      </c>
      <c r="C684" t="s">
        <v>1506</v>
      </c>
      <c r="D684" t="s">
        <v>1507</v>
      </c>
      <c r="E684" t="s">
        <v>1544</v>
      </c>
      <c r="F684" t="s">
        <v>1545</v>
      </c>
      <c r="G684" t="s">
        <v>2960</v>
      </c>
      <c r="H684">
        <v>0</v>
      </c>
      <c r="I684">
        <v>1E-3</v>
      </c>
      <c r="J684">
        <v>128</v>
      </c>
    </row>
    <row r="685" spans="1:10" x14ac:dyDescent="0.2">
      <c r="A685" t="s">
        <v>638</v>
      </c>
      <c r="B685" t="s">
        <v>2961</v>
      </c>
      <c r="C685" t="s">
        <v>1506</v>
      </c>
      <c r="D685" t="s">
        <v>1507</v>
      </c>
      <c r="E685" t="s">
        <v>1523</v>
      </c>
      <c r="F685" t="s">
        <v>2946</v>
      </c>
      <c r="G685" t="s">
        <v>2962</v>
      </c>
      <c r="H685">
        <v>0</v>
      </c>
      <c r="I685">
        <v>1E-3</v>
      </c>
      <c r="J685">
        <v>128</v>
      </c>
    </row>
    <row r="686" spans="1:10" x14ac:dyDescent="0.2">
      <c r="A686" t="s">
        <v>638</v>
      </c>
      <c r="B686" t="s">
        <v>2963</v>
      </c>
      <c r="C686" t="s">
        <v>1506</v>
      </c>
      <c r="D686" t="s">
        <v>1507</v>
      </c>
      <c r="E686" t="s">
        <v>1544</v>
      </c>
      <c r="F686" t="s">
        <v>1545</v>
      </c>
      <c r="G686" t="s">
        <v>2807</v>
      </c>
      <c r="H686">
        <v>0</v>
      </c>
      <c r="I686">
        <v>1E-3</v>
      </c>
      <c r="J686">
        <v>129</v>
      </c>
    </row>
    <row r="687" spans="1:10" x14ac:dyDescent="0.2">
      <c r="A687" t="s">
        <v>638</v>
      </c>
      <c r="B687" t="s">
        <v>2964</v>
      </c>
      <c r="C687" t="s">
        <v>1506</v>
      </c>
      <c r="D687" t="s">
        <v>1507</v>
      </c>
      <c r="E687" t="s">
        <v>1544</v>
      </c>
      <c r="F687" t="s">
        <v>1545</v>
      </c>
      <c r="G687" t="s">
        <v>2807</v>
      </c>
      <c r="H687">
        <v>0</v>
      </c>
      <c r="I687">
        <v>1E-3</v>
      </c>
      <c r="J687">
        <v>129</v>
      </c>
    </row>
    <row r="688" spans="1:10" x14ac:dyDescent="0.2">
      <c r="A688" t="s">
        <v>638</v>
      </c>
      <c r="B688" t="s">
        <v>2965</v>
      </c>
      <c r="C688" t="s">
        <v>1506</v>
      </c>
      <c r="D688" t="s">
        <v>1507</v>
      </c>
      <c r="E688" t="s">
        <v>1544</v>
      </c>
      <c r="F688" t="s">
        <v>1545</v>
      </c>
      <c r="G688" t="s">
        <v>2807</v>
      </c>
      <c r="H688">
        <v>0</v>
      </c>
      <c r="I688">
        <v>1E-3</v>
      </c>
      <c r="J688">
        <v>129</v>
      </c>
    </row>
    <row r="689" spans="1:10" x14ac:dyDescent="0.2">
      <c r="A689" t="s">
        <v>638</v>
      </c>
      <c r="B689" t="s">
        <v>2966</v>
      </c>
      <c r="C689" t="s">
        <v>1506</v>
      </c>
      <c r="D689" t="s">
        <v>1507</v>
      </c>
      <c r="E689" t="s">
        <v>1544</v>
      </c>
      <c r="F689" t="s">
        <v>1545</v>
      </c>
      <c r="G689" t="s">
        <v>2807</v>
      </c>
      <c r="H689">
        <v>0</v>
      </c>
      <c r="I689">
        <v>1E-3</v>
      </c>
      <c r="J689">
        <v>129</v>
      </c>
    </row>
    <row r="690" spans="1:10" x14ac:dyDescent="0.2">
      <c r="A690" t="s">
        <v>638</v>
      </c>
      <c r="B690" t="s">
        <v>2967</v>
      </c>
      <c r="C690" t="s">
        <v>1506</v>
      </c>
      <c r="D690" t="s">
        <v>1507</v>
      </c>
      <c r="E690" t="s">
        <v>1544</v>
      </c>
      <c r="F690" t="s">
        <v>1545</v>
      </c>
      <c r="G690" t="s">
        <v>2807</v>
      </c>
      <c r="H690">
        <v>0</v>
      </c>
      <c r="I690">
        <v>1E-3</v>
      </c>
      <c r="J690">
        <v>129</v>
      </c>
    </row>
    <row r="691" spans="1:10" x14ac:dyDescent="0.2">
      <c r="A691" t="s">
        <v>638</v>
      </c>
      <c r="B691" t="s">
        <v>2968</v>
      </c>
      <c r="C691" t="s">
        <v>1506</v>
      </c>
      <c r="D691" t="s">
        <v>1507</v>
      </c>
      <c r="E691" t="s">
        <v>1544</v>
      </c>
      <c r="F691" t="s">
        <v>1545</v>
      </c>
      <c r="G691" t="s">
        <v>2807</v>
      </c>
      <c r="H691">
        <v>0</v>
      </c>
      <c r="I691">
        <v>1E-3</v>
      </c>
      <c r="J691">
        <v>129</v>
      </c>
    </row>
    <row r="692" spans="1:10" x14ac:dyDescent="0.2">
      <c r="A692" t="s">
        <v>638</v>
      </c>
      <c r="B692" t="s">
        <v>2969</v>
      </c>
      <c r="C692" t="s">
        <v>1506</v>
      </c>
      <c r="D692" t="s">
        <v>1507</v>
      </c>
      <c r="E692" t="s">
        <v>1544</v>
      </c>
      <c r="F692" t="s">
        <v>1545</v>
      </c>
      <c r="G692" t="s">
        <v>2970</v>
      </c>
      <c r="H692">
        <v>0</v>
      </c>
      <c r="I692">
        <v>1E-3</v>
      </c>
      <c r="J692">
        <v>129</v>
      </c>
    </row>
    <row r="693" spans="1:10" x14ac:dyDescent="0.2">
      <c r="A693" t="s">
        <v>638</v>
      </c>
      <c r="B693" t="s">
        <v>2971</v>
      </c>
      <c r="C693" t="s">
        <v>1506</v>
      </c>
      <c r="D693" t="s">
        <v>1507</v>
      </c>
      <c r="E693" t="s">
        <v>1679</v>
      </c>
      <c r="F693" t="s">
        <v>1680</v>
      </c>
      <c r="G693" t="s">
        <v>2972</v>
      </c>
      <c r="H693">
        <v>0</v>
      </c>
      <c r="I693">
        <v>1E-3</v>
      </c>
      <c r="J693">
        <v>128</v>
      </c>
    </row>
    <row r="694" spans="1:10" x14ac:dyDescent="0.2">
      <c r="A694" t="s">
        <v>638</v>
      </c>
      <c r="B694" t="s">
        <v>2973</v>
      </c>
      <c r="C694" t="s">
        <v>1506</v>
      </c>
      <c r="D694" t="s">
        <v>1507</v>
      </c>
      <c r="E694" t="s">
        <v>1523</v>
      </c>
      <c r="F694" t="s">
        <v>2974</v>
      </c>
      <c r="G694" t="s">
        <v>2975</v>
      </c>
      <c r="H694">
        <v>0</v>
      </c>
      <c r="I694">
        <v>1E-3</v>
      </c>
      <c r="J694">
        <v>128</v>
      </c>
    </row>
    <row r="695" spans="1:10" x14ac:dyDescent="0.2">
      <c r="A695" t="s">
        <v>638</v>
      </c>
      <c r="B695" t="s">
        <v>2976</v>
      </c>
      <c r="C695" t="s">
        <v>1506</v>
      </c>
      <c r="D695" t="s">
        <v>1507</v>
      </c>
      <c r="E695" t="s">
        <v>8</v>
      </c>
      <c r="F695" t="s">
        <v>1575</v>
      </c>
      <c r="G695" t="s">
        <v>2977</v>
      </c>
      <c r="H695">
        <v>0</v>
      </c>
      <c r="I695">
        <v>1E-3</v>
      </c>
      <c r="J695">
        <v>128</v>
      </c>
    </row>
    <row r="696" spans="1:10" x14ac:dyDescent="0.2">
      <c r="A696" t="s">
        <v>638</v>
      </c>
      <c r="B696" t="s">
        <v>2978</v>
      </c>
      <c r="C696" t="s">
        <v>1506</v>
      </c>
      <c r="D696" t="s">
        <v>1507</v>
      </c>
      <c r="E696" t="s">
        <v>8</v>
      </c>
      <c r="F696" t="s">
        <v>1575</v>
      </c>
      <c r="G696" t="s">
        <v>2979</v>
      </c>
      <c r="H696">
        <v>0</v>
      </c>
      <c r="I696">
        <v>1E-3</v>
      </c>
      <c r="J696">
        <v>128</v>
      </c>
    </row>
    <row r="697" spans="1:10" x14ac:dyDescent="0.2">
      <c r="A697" t="s">
        <v>638</v>
      </c>
      <c r="B697" t="s">
        <v>2980</v>
      </c>
      <c r="C697" t="s">
        <v>1506</v>
      </c>
      <c r="D697" t="s">
        <v>1507</v>
      </c>
      <c r="E697" t="s">
        <v>8</v>
      </c>
      <c r="F697" t="s">
        <v>1575</v>
      </c>
      <c r="G697" t="s">
        <v>2979</v>
      </c>
      <c r="H697">
        <v>0</v>
      </c>
      <c r="I697">
        <v>1E-3</v>
      </c>
      <c r="J697">
        <v>128</v>
      </c>
    </row>
    <row r="698" spans="1:10" x14ac:dyDescent="0.2">
      <c r="A698" t="s">
        <v>638</v>
      </c>
      <c r="B698" t="s">
        <v>2981</v>
      </c>
      <c r="C698" t="s">
        <v>1506</v>
      </c>
      <c r="D698" t="s">
        <v>1507</v>
      </c>
      <c r="E698" t="s">
        <v>1523</v>
      </c>
      <c r="F698" t="s">
        <v>1837</v>
      </c>
      <c r="G698" t="s">
        <v>2982</v>
      </c>
      <c r="H698">
        <v>0</v>
      </c>
      <c r="I698">
        <v>1E-3</v>
      </c>
      <c r="J698">
        <v>128</v>
      </c>
    </row>
    <row r="699" spans="1:10" x14ac:dyDescent="0.2">
      <c r="A699" t="s">
        <v>638</v>
      </c>
      <c r="B699" t="s">
        <v>2983</v>
      </c>
      <c r="C699" t="s">
        <v>1506</v>
      </c>
      <c r="D699" t="s">
        <v>1507</v>
      </c>
      <c r="E699" t="s">
        <v>1511</v>
      </c>
      <c r="F699" t="s">
        <v>2332</v>
      </c>
      <c r="G699" t="s">
        <v>2984</v>
      </c>
      <c r="H699">
        <v>0</v>
      </c>
      <c r="I699">
        <v>1E-3</v>
      </c>
      <c r="J699">
        <v>128</v>
      </c>
    </row>
    <row r="700" spans="1:10" x14ac:dyDescent="0.2">
      <c r="A700" t="s">
        <v>638</v>
      </c>
      <c r="B700" t="s">
        <v>2985</v>
      </c>
      <c r="C700" t="s">
        <v>1506</v>
      </c>
      <c r="D700" t="s">
        <v>1507</v>
      </c>
      <c r="E700" t="s">
        <v>1511</v>
      </c>
      <c r="F700" t="s">
        <v>2332</v>
      </c>
      <c r="G700" t="s">
        <v>2984</v>
      </c>
      <c r="H700">
        <v>0</v>
      </c>
      <c r="I700">
        <v>1E-3</v>
      </c>
      <c r="J700">
        <v>128</v>
      </c>
    </row>
    <row r="701" spans="1:10" x14ac:dyDescent="0.2">
      <c r="A701" t="s">
        <v>638</v>
      </c>
      <c r="B701" t="s">
        <v>2986</v>
      </c>
      <c r="C701" t="s">
        <v>1506</v>
      </c>
      <c r="D701" t="s">
        <v>1507</v>
      </c>
      <c r="E701" t="s">
        <v>1658</v>
      </c>
      <c r="F701" t="s">
        <v>2987</v>
      </c>
      <c r="G701" t="s">
        <v>2988</v>
      </c>
      <c r="H701">
        <v>0</v>
      </c>
      <c r="I701">
        <v>1E-3</v>
      </c>
      <c r="J701">
        <v>128</v>
      </c>
    </row>
    <row r="702" spans="1:10" x14ac:dyDescent="0.2">
      <c r="A702" t="s">
        <v>638</v>
      </c>
      <c r="B702" t="s">
        <v>2989</v>
      </c>
      <c r="C702" t="s">
        <v>1506</v>
      </c>
      <c r="D702" t="s">
        <v>1507</v>
      </c>
      <c r="E702" t="s">
        <v>8</v>
      </c>
      <c r="F702" t="s">
        <v>2302</v>
      </c>
      <c r="G702" t="s">
        <v>2990</v>
      </c>
      <c r="H702">
        <v>0</v>
      </c>
      <c r="I702">
        <v>1E-3</v>
      </c>
      <c r="J702">
        <v>128</v>
      </c>
    </row>
    <row r="703" spans="1:10" x14ac:dyDescent="0.2">
      <c r="A703" t="s">
        <v>638</v>
      </c>
      <c r="B703" t="s">
        <v>2991</v>
      </c>
      <c r="C703" t="s">
        <v>1506</v>
      </c>
      <c r="D703" t="s">
        <v>1507</v>
      </c>
      <c r="E703" t="s">
        <v>1523</v>
      </c>
      <c r="F703" t="s">
        <v>2522</v>
      </c>
      <c r="G703" t="s">
        <v>2992</v>
      </c>
      <c r="H703">
        <v>0</v>
      </c>
      <c r="I703">
        <v>1E-3</v>
      </c>
      <c r="J703">
        <v>128</v>
      </c>
    </row>
    <row r="704" spans="1:10" x14ac:dyDescent="0.2">
      <c r="A704" t="s">
        <v>638</v>
      </c>
      <c r="B704" t="s">
        <v>2993</v>
      </c>
      <c r="C704" t="s">
        <v>1506</v>
      </c>
      <c r="D704" t="s">
        <v>1507</v>
      </c>
      <c r="E704" t="s">
        <v>1523</v>
      </c>
      <c r="F704" t="s">
        <v>2089</v>
      </c>
      <c r="G704" t="s">
        <v>2994</v>
      </c>
      <c r="H704">
        <v>0</v>
      </c>
      <c r="I704">
        <v>1E-3</v>
      </c>
      <c r="J704">
        <v>128</v>
      </c>
    </row>
    <row r="705" spans="1:10" x14ac:dyDescent="0.2">
      <c r="A705" t="s">
        <v>638</v>
      </c>
      <c r="B705" t="s">
        <v>2995</v>
      </c>
      <c r="C705" t="s">
        <v>1506</v>
      </c>
      <c r="D705" t="s">
        <v>1507</v>
      </c>
      <c r="E705" t="s">
        <v>1523</v>
      </c>
      <c r="F705" t="s">
        <v>2089</v>
      </c>
      <c r="G705" t="s">
        <v>2996</v>
      </c>
      <c r="H705">
        <v>0</v>
      </c>
      <c r="I705">
        <v>1E-3</v>
      </c>
      <c r="J705">
        <v>128</v>
      </c>
    </row>
    <row r="706" spans="1:10" x14ac:dyDescent="0.2">
      <c r="A706" t="s">
        <v>638</v>
      </c>
      <c r="B706" t="s">
        <v>2997</v>
      </c>
      <c r="C706" t="s">
        <v>1506</v>
      </c>
      <c r="D706" t="s">
        <v>1507</v>
      </c>
      <c r="E706" t="s">
        <v>1523</v>
      </c>
      <c r="F706" t="s">
        <v>2089</v>
      </c>
      <c r="G706" t="s">
        <v>2998</v>
      </c>
      <c r="H706">
        <v>0</v>
      </c>
      <c r="I706">
        <v>1E-3</v>
      </c>
      <c r="J706">
        <v>128</v>
      </c>
    </row>
    <row r="707" spans="1:10" x14ac:dyDescent="0.2">
      <c r="A707" t="s">
        <v>638</v>
      </c>
      <c r="B707" t="s">
        <v>2999</v>
      </c>
      <c r="C707" t="s">
        <v>1506</v>
      </c>
      <c r="D707" t="s">
        <v>1507</v>
      </c>
      <c r="E707" t="s">
        <v>1515</v>
      </c>
      <c r="F707" t="s">
        <v>1516</v>
      </c>
      <c r="G707" t="s">
        <v>2581</v>
      </c>
      <c r="H707">
        <v>0</v>
      </c>
      <c r="I707">
        <v>1E-3</v>
      </c>
      <c r="J707">
        <v>128</v>
      </c>
    </row>
    <row r="708" spans="1:10" x14ac:dyDescent="0.2">
      <c r="A708" t="s">
        <v>638</v>
      </c>
      <c r="B708" t="s">
        <v>3000</v>
      </c>
      <c r="C708" t="s">
        <v>1506</v>
      </c>
      <c r="D708" t="s">
        <v>1507</v>
      </c>
      <c r="E708" t="s">
        <v>1511</v>
      </c>
      <c r="F708" t="s">
        <v>2332</v>
      </c>
      <c r="G708" t="s">
        <v>3001</v>
      </c>
      <c r="H708">
        <v>0</v>
      </c>
      <c r="I708">
        <v>1E-3</v>
      </c>
      <c r="J708">
        <v>128</v>
      </c>
    </row>
    <row r="709" spans="1:10" x14ac:dyDescent="0.2">
      <c r="A709" t="s">
        <v>638</v>
      </c>
      <c r="B709" t="s">
        <v>3002</v>
      </c>
      <c r="C709" t="s">
        <v>1506</v>
      </c>
      <c r="D709" t="s">
        <v>1507</v>
      </c>
      <c r="E709" t="s">
        <v>1789</v>
      </c>
      <c r="F709" t="s">
        <v>2170</v>
      </c>
      <c r="G709" t="s">
        <v>3003</v>
      </c>
      <c r="H709">
        <v>0</v>
      </c>
      <c r="I709">
        <v>1E-3</v>
      </c>
      <c r="J709">
        <v>128</v>
      </c>
    </row>
    <row r="710" spans="1:10" x14ac:dyDescent="0.2">
      <c r="A710" t="s">
        <v>638</v>
      </c>
      <c r="B710" t="s">
        <v>3004</v>
      </c>
      <c r="C710" t="s">
        <v>1506</v>
      </c>
      <c r="D710" t="s">
        <v>1507</v>
      </c>
      <c r="E710" t="s">
        <v>1544</v>
      </c>
      <c r="F710" t="s">
        <v>3005</v>
      </c>
      <c r="G710" t="s">
        <v>3006</v>
      </c>
      <c r="H710">
        <v>0</v>
      </c>
      <c r="I710">
        <v>1E-3</v>
      </c>
      <c r="J710">
        <v>128</v>
      </c>
    </row>
    <row r="711" spans="1:10" x14ac:dyDescent="0.2">
      <c r="A711" t="s">
        <v>638</v>
      </c>
      <c r="B711" t="s">
        <v>3007</v>
      </c>
      <c r="C711" t="s">
        <v>1506</v>
      </c>
      <c r="D711" t="s">
        <v>1507</v>
      </c>
      <c r="E711" t="s">
        <v>8</v>
      </c>
      <c r="F711" t="s">
        <v>2302</v>
      </c>
      <c r="G711" t="s">
        <v>3008</v>
      </c>
      <c r="H711">
        <v>0</v>
      </c>
      <c r="I711">
        <v>1E-3</v>
      </c>
      <c r="J711">
        <v>128</v>
      </c>
    </row>
    <row r="712" spans="1:10" x14ac:dyDescent="0.2">
      <c r="A712" t="s">
        <v>638</v>
      </c>
      <c r="B712" t="s">
        <v>3009</v>
      </c>
      <c r="C712" t="s">
        <v>1506</v>
      </c>
      <c r="D712" t="s">
        <v>1507</v>
      </c>
      <c r="E712" t="s">
        <v>1658</v>
      </c>
      <c r="F712" t="s">
        <v>2830</v>
      </c>
      <c r="G712" t="s">
        <v>2831</v>
      </c>
      <c r="H712">
        <v>0</v>
      </c>
      <c r="I712">
        <v>1E-3</v>
      </c>
      <c r="J712">
        <v>127</v>
      </c>
    </row>
    <row r="713" spans="1:10" x14ac:dyDescent="0.2">
      <c r="A713" t="s">
        <v>638</v>
      </c>
      <c r="B713" t="s">
        <v>3010</v>
      </c>
      <c r="C713" t="s">
        <v>1506</v>
      </c>
      <c r="D713" t="s">
        <v>1507</v>
      </c>
      <c r="E713" t="s">
        <v>1508</v>
      </c>
      <c r="F713" t="s">
        <v>1509</v>
      </c>
      <c r="G713" t="s">
        <v>3011</v>
      </c>
      <c r="H713">
        <v>0</v>
      </c>
      <c r="I713">
        <v>1E-3</v>
      </c>
      <c r="J713">
        <v>128</v>
      </c>
    </row>
    <row r="714" spans="1:10" x14ac:dyDescent="0.2">
      <c r="A714" t="s">
        <v>638</v>
      </c>
      <c r="B714" t="s">
        <v>3012</v>
      </c>
      <c r="C714" t="s">
        <v>1506</v>
      </c>
      <c r="D714" t="s">
        <v>1507</v>
      </c>
      <c r="E714" t="s">
        <v>1658</v>
      </c>
      <c r="F714" t="s">
        <v>2937</v>
      </c>
      <c r="G714" t="s">
        <v>3013</v>
      </c>
      <c r="H714">
        <v>0</v>
      </c>
      <c r="I714">
        <v>1E-3</v>
      </c>
      <c r="J714">
        <v>128</v>
      </c>
    </row>
    <row r="715" spans="1:10" x14ac:dyDescent="0.2">
      <c r="A715" t="s">
        <v>638</v>
      </c>
      <c r="B715" t="s">
        <v>3014</v>
      </c>
      <c r="C715" t="s">
        <v>1506</v>
      </c>
      <c r="D715" t="s">
        <v>1507</v>
      </c>
      <c r="E715" t="s">
        <v>1523</v>
      </c>
      <c r="F715" t="s">
        <v>2949</v>
      </c>
      <c r="G715" t="s">
        <v>3015</v>
      </c>
      <c r="H715">
        <v>0</v>
      </c>
      <c r="I715">
        <v>1E-3</v>
      </c>
      <c r="J715">
        <v>128</v>
      </c>
    </row>
    <row r="716" spans="1:10" x14ac:dyDescent="0.2">
      <c r="A716" t="s">
        <v>638</v>
      </c>
      <c r="B716" t="s">
        <v>3016</v>
      </c>
      <c r="C716" t="s">
        <v>1506</v>
      </c>
      <c r="D716" t="s">
        <v>1507</v>
      </c>
      <c r="E716" t="s">
        <v>1523</v>
      </c>
      <c r="F716" t="s">
        <v>2926</v>
      </c>
      <c r="G716" t="s">
        <v>3017</v>
      </c>
      <c r="H716">
        <v>0</v>
      </c>
      <c r="I716">
        <v>1E-3</v>
      </c>
      <c r="J716">
        <v>128</v>
      </c>
    </row>
    <row r="717" spans="1:10" x14ac:dyDescent="0.2">
      <c r="A717" t="s">
        <v>638</v>
      </c>
      <c r="B717" t="s">
        <v>3018</v>
      </c>
      <c r="C717" t="s">
        <v>1506</v>
      </c>
      <c r="D717" t="s">
        <v>1507</v>
      </c>
      <c r="E717" t="s">
        <v>8</v>
      </c>
      <c r="F717" t="s">
        <v>2302</v>
      </c>
      <c r="G717" t="s">
        <v>3019</v>
      </c>
      <c r="H717">
        <v>0</v>
      </c>
      <c r="I717">
        <v>1E-3</v>
      </c>
      <c r="J717">
        <v>128</v>
      </c>
    </row>
    <row r="718" spans="1:10" x14ac:dyDescent="0.2">
      <c r="A718" t="s">
        <v>638</v>
      </c>
      <c r="B718" t="s">
        <v>3020</v>
      </c>
      <c r="C718" t="s">
        <v>1506</v>
      </c>
      <c r="D718" t="s">
        <v>1507</v>
      </c>
      <c r="E718" t="s">
        <v>8</v>
      </c>
      <c r="F718" t="s">
        <v>2302</v>
      </c>
      <c r="G718" t="s">
        <v>3019</v>
      </c>
      <c r="H718">
        <v>0</v>
      </c>
      <c r="I718">
        <v>1E-3</v>
      </c>
      <c r="J718">
        <v>128</v>
      </c>
    </row>
    <row r="719" spans="1:10" x14ac:dyDescent="0.2">
      <c r="A719" t="s">
        <v>638</v>
      </c>
      <c r="B719" t="s">
        <v>3021</v>
      </c>
      <c r="C719" t="s">
        <v>1506</v>
      </c>
      <c r="D719" t="s">
        <v>1507</v>
      </c>
      <c r="E719" t="s">
        <v>8</v>
      </c>
      <c r="F719" t="s">
        <v>2302</v>
      </c>
      <c r="G719" t="s">
        <v>3022</v>
      </c>
      <c r="H719">
        <v>0</v>
      </c>
      <c r="I719">
        <v>1E-3</v>
      </c>
      <c r="J719">
        <v>128</v>
      </c>
    </row>
    <row r="720" spans="1:10" x14ac:dyDescent="0.2">
      <c r="A720" t="s">
        <v>638</v>
      </c>
      <c r="B720" t="s">
        <v>3023</v>
      </c>
      <c r="C720" t="s">
        <v>1506</v>
      </c>
      <c r="D720" t="s">
        <v>1507</v>
      </c>
      <c r="E720" t="s">
        <v>1523</v>
      </c>
      <c r="F720" t="s">
        <v>2926</v>
      </c>
      <c r="G720" t="s">
        <v>3024</v>
      </c>
      <c r="H720">
        <v>0</v>
      </c>
      <c r="I720">
        <v>1E-3</v>
      </c>
      <c r="J720">
        <v>128</v>
      </c>
    </row>
    <row r="721" spans="1:10" x14ac:dyDescent="0.2">
      <c r="A721" t="s">
        <v>638</v>
      </c>
      <c r="B721" t="s">
        <v>3025</v>
      </c>
      <c r="C721" t="s">
        <v>1506</v>
      </c>
      <c r="D721" t="s">
        <v>1507</v>
      </c>
      <c r="E721" t="s">
        <v>1523</v>
      </c>
      <c r="F721" t="s">
        <v>2949</v>
      </c>
      <c r="G721" t="s">
        <v>3026</v>
      </c>
      <c r="H721">
        <v>0</v>
      </c>
      <c r="I721">
        <v>1E-3</v>
      </c>
      <c r="J721">
        <v>128</v>
      </c>
    </row>
    <row r="722" spans="1:10" x14ac:dyDescent="0.2">
      <c r="A722" t="s">
        <v>638</v>
      </c>
      <c r="B722" t="s">
        <v>3027</v>
      </c>
      <c r="C722" t="s">
        <v>1506</v>
      </c>
      <c r="D722" t="s">
        <v>1507</v>
      </c>
      <c r="E722" t="s">
        <v>8</v>
      </c>
      <c r="F722" t="s">
        <v>1575</v>
      </c>
      <c r="G722" t="s">
        <v>3028</v>
      </c>
      <c r="H722">
        <v>0</v>
      </c>
      <c r="I722">
        <v>1E-3</v>
      </c>
      <c r="J722">
        <v>128</v>
      </c>
    </row>
    <row r="723" spans="1:10" x14ac:dyDescent="0.2">
      <c r="A723" t="s">
        <v>638</v>
      </c>
      <c r="B723" t="s">
        <v>3029</v>
      </c>
      <c r="C723" t="s">
        <v>1506</v>
      </c>
      <c r="D723" t="s">
        <v>1507</v>
      </c>
      <c r="E723" t="s">
        <v>1596</v>
      </c>
      <c r="F723" t="s">
        <v>2072</v>
      </c>
      <c r="G723" t="s">
        <v>3030</v>
      </c>
      <c r="H723">
        <v>0</v>
      </c>
      <c r="I723">
        <v>1E-3</v>
      </c>
      <c r="J723">
        <v>129</v>
      </c>
    </row>
    <row r="724" spans="1:10" x14ac:dyDescent="0.2">
      <c r="A724" t="s">
        <v>638</v>
      </c>
      <c r="B724" t="s">
        <v>3031</v>
      </c>
      <c r="C724" t="s">
        <v>1506</v>
      </c>
      <c r="D724" t="s">
        <v>1507</v>
      </c>
      <c r="E724" t="s">
        <v>1789</v>
      </c>
      <c r="F724" t="s">
        <v>2170</v>
      </c>
      <c r="G724" t="s">
        <v>3032</v>
      </c>
      <c r="H724">
        <v>0</v>
      </c>
      <c r="I724">
        <v>1E-3</v>
      </c>
      <c r="J724">
        <v>128</v>
      </c>
    </row>
    <row r="725" spans="1:10" x14ac:dyDescent="0.2">
      <c r="A725" t="s">
        <v>638</v>
      </c>
      <c r="B725" t="s">
        <v>3033</v>
      </c>
      <c r="C725" t="s">
        <v>1506</v>
      </c>
      <c r="D725" t="s">
        <v>1507</v>
      </c>
      <c r="E725" t="s">
        <v>1544</v>
      </c>
      <c r="F725" t="s">
        <v>1545</v>
      </c>
      <c r="G725" t="s">
        <v>3034</v>
      </c>
      <c r="H725">
        <v>0</v>
      </c>
      <c r="I725">
        <v>1E-3</v>
      </c>
      <c r="J725">
        <v>129</v>
      </c>
    </row>
    <row r="726" spans="1:10" x14ac:dyDescent="0.2">
      <c r="A726" t="s">
        <v>638</v>
      </c>
      <c r="B726" t="s">
        <v>3035</v>
      </c>
      <c r="C726" t="s">
        <v>1506</v>
      </c>
      <c r="D726" t="s">
        <v>1507</v>
      </c>
      <c r="E726" t="s">
        <v>1523</v>
      </c>
      <c r="F726" t="s">
        <v>1524</v>
      </c>
      <c r="G726" t="s">
        <v>3036</v>
      </c>
      <c r="H726">
        <v>0</v>
      </c>
      <c r="I726">
        <v>1E-3</v>
      </c>
      <c r="J726">
        <v>128</v>
      </c>
    </row>
    <row r="727" spans="1:10" x14ac:dyDescent="0.2">
      <c r="A727" t="s">
        <v>638</v>
      </c>
      <c r="B727" t="s">
        <v>3037</v>
      </c>
      <c r="C727" t="s">
        <v>1506</v>
      </c>
      <c r="D727" t="s">
        <v>1507</v>
      </c>
      <c r="E727" t="s">
        <v>1523</v>
      </c>
      <c r="F727" t="s">
        <v>1524</v>
      </c>
      <c r="G727" t="s">
        <v>3038</v>
      </c>
      <c r="H727">
        <v>0</v>
      </c>
      <c r="I727">
        <v>1E-3</v>
      </c>
      <c r="J727">
        <v>128</v>
      </c>
    </row>
    <row r="728" spans="1:10" x14ac:dyDescent="0.2">
      <c r="A728" t="s">
        <v>638</v>
      </c>
      <c r="B728" t="s">
        <v>3039</v>
      </c>
      <c r="C728" t="s">
        <v>1506</v>
      </c>
      <c r="D728" t="s">
        <v>1507</v>
      </c>
      <c r="E728" t="s">
        <v>1523</v>
      </c>
      <c r="F728" t="s">
        <v>1524</v>
      </c>
      <c r="G728" t="s">
        <v>3038</v>
      </c>
      <c r="H728">
        <v>0</v>
      </c>
      <c r="I728">
        <v>1E-3</v>
      </c>
      <c r="J728">
        <v>128</v>
      </c>
    </row>
    <row r="729" spans="1:10" x14ac:dyDescent="0.2">
      <c r="A729" t="s">
        <v>638</v>
      </c>
      <c r="B729" t="s">
        <v>3040</v>
      </c>
      <c r="C729" t="s">
        <v>1506</v>
      </c>
      <c r="D729" t="s">
        <v>1507</v>
      </c>
      <c r="E729" t="s">
        <v>2223</v>
      </c>
      <c r="F729" t="s">
        <v>2224</v>
      </c>
      <c r="G729" t="s">
        <v>3041</v>
      </c>
      <c r="H729">
        <v>0</v>
      </c>
      <c r="I729">
        <v>1E-3</v>
      </c>
      <c r="J729">
        <v>128</v>
      </c>
    </row>
    <row r="730" spans="1:10" x14ac:dyDescent="0.2">
      <c r="A730" t="s">
        <v>638</v>
      </c>
      <c r="B730" t="s">
        <v>3042</v>
      </c>
      <c r="C730" t="s">
        <v>1506</v>
      </c>
      <c r="D730" t="s">
        <v>1507</v>
      </c>
      <c r="E730" t="s">
        <v>2055</v>
      </c>
      <c r="F730" t="s">
        <v>2167</v>
      </c>
      <c r="G730" t="s">
        <v>3043</v>
      </c>
      <c r="H730">
        <v>0</v>
      </c>
      <c r="I730">
        <v>1E-3</v>
      </c>
      <c r="J730">
        <v>128</v>
      </c>
    </row>
    <row r="731" spans="1:10" x14ac:dyDescent="0.2">
      <c r="A731" t="s">
        <v>638</v>
      </c>
      <c r="B731" t="s">
        <v>3044</v>
      </c>
      <c r="C731" t="s">
        <v>1506</v>
      </c>
      <c r="D731" t="s">
        <v>1507</v>
      </c>
      <c r="E731" t="s">
        <v>1544</v>
      </c>
      <c r="F731" t="s">
        <v>1545</v>
      </c>
      <c r="G731" t="s">
        <v>3045</v>
      </c>
      <c r="H731">
        <v>0</v>
      </c>
      <c r="I731">
        <v>1E-3</v>
      </c>
      <c r="J731">
        <v>129</v>
      </c>
    </row>
    <row r="732" spans="1:10" x14ac:dyDescent="0.2">
      <c r="A732" t="s">
        <v>638</v>
      </c>
      <c r="B732" t="s">
        <v>3046</v>
      </c>
      <c r="C732" t="s">
        <v>1506</v>
      </c>
      <c r="D732" t="s">
        <v>1507</v>
      </c>
      <c r="E732" t="s">
        <v>1544</v>
      </c>
      <c r="F732" t="s">
        <v>1545</v>
      </c>
      <c r="G732" t="s">
        <v>3045</v>
      </c>
      <c r="H732">
        <v>0</v>
      </c>
      <c r="I732">
        <v>1E-3</v>
      </c>
      <c r="J732">
        <v>129</v>
      </c>
    </row>
    <row r="733" spans="1:10" x14ac:dyDescent="0.2">
      <c r="A733" t="s">
        <v>638</v>
      </c>
      <c r="B733" t="s">
        <v>3047</v>
      </c>
      <c r="C733" t="s">
        <v>1506</v>
      </c>
      <c r="D733" t="s">
        <v>1507</v>
      </c>
      <c r="E733" t="s">
        <v>1596</v>
      </c>
      <c r="F733" t="s">
        <v>3048</v>
      </c>
      <c r="G733" t="s">
        <v>3049</v>
      </c>
      <c r="H733">
        <v>0</v>
      </c>
      <c r="I733">
        <v>1E-3</v>
      </c>
      <c r="J733">
        <v>129</v>
      </c>
    </row>
    <row r="734" spans="1:10" x14ac:dyDescent="0.2">
      <c r="A734" t="s">
        <v>638</v>
      </c>
      <c r="B734" t="s">
        <v>3050</v>
      </c>
      <c r="C734" t="s">
        <v>1506</v>
      </c>
      <c r="D734" t="s">
        <v>1507</v>
      </c>
      <c r="E734" t="s">
        <v>2223</v>
      </c>
      <c r="F734" t="s">
        <v>3051</v>
      </c>
      <c r="G734" t="s">
        <v>3052</v>
      </c>
      <c r="H734">
        <v>0</v>
      </c>
      <c r="I734">
        <v>1E-3</v>
      </c>
      <c r="J734">
        <v>128</v>
      </c>
    </row>
    <row r="735" spans="1:10" x14ac:dyDescent="0.2">
      <c r="A735" s="45" t="s">
        <v>680</v>
      </c>
      <c r="B735" s="45" t="s">
        <v>8008</v>
      </c>
      <c r="C735" s="45" t="s">
        <v>1506</v>
      </c>
      <c r="D735" s="45" t="s">
        <v>1507</v>
      </c>
      <c r="E735" s="45" t="s">
        <v>1508</v>
      </c>
      <c r="F735" s="45" t="s">
        <v>1509</v>
      </c>
      <c r="G735" s="45" t="s">
        <v>75</v>
      </c>
      <c r="H735" s="45">
        <v>0.99</v>
      </c>
      <c r="I735" s="45">
        <v>1</v>
      </c>
      <c r="J735" s="45">
        <v>70</v>
      </c>
    </row>
    <row r="736" spans="1:10" x14ac:dyDescent="0.2">
      <c r="A736" t="s">
        <v>680</v>
      </c>
      <c r="B736" t="s">
        <v>3053</v>
      </c>
      <c r="C736" t="s">
        <v>1506</v>
      </c>
      <c r="D736" t="s">
        <v>1507</v>
      </c>
      <c r="E736" t="s">
        <v>1544</v>
      </c>
      <c r="F736" t="s">
        <v>1545</v>
      </c>
      <c r="G736" t="s">
        <v>3054</v>
      </c>
      <c r="H736">
        <v>0.45700000000000002</v>
      </c>
      <c r="I736">
        <v>0</v>
      </c>
      <c r="J736">
        <v>70</v>
      </c>
    </row>
    <row r="737" spans="1:10" x14ac:dyDescent="0.2">
      <c r="A737" t="s">
        <v>680</v>
      </c>
      <c r="B737" t="s">
        <v>2452</v>
      </c>
      <c r="C737" t="s">
        <v>1506</v>
      </c>
      <c r="D737" t="s">
        <v>1507</v>
      </c>
      <c r="E737" t="s">
        <v>1508</v>
      </c>
      <c r="F737" t="s">
        <v>1509</v>
      </c>
      <c r="G737" t="s">
        <v>2453</v>
      </c>
      <c r="H737">
        <v>0.38600000000000001</v>
      </c>
      <c r="I737">
        <v>0</v>
      </c>
      <c r="J737">
        <v>70</v>
      </c>
    </row>
    <row r="738" spans="1:10" x14ac:dyDescent="0.2">
      <c r="A738" t="s">
        <v>680</v>
      </c>
      <c r="B738" t="s">
        <v>3055</v>
      </c>
      <c r="C738" t="s">
        <v>1506</v>
      </c>
      <c r="D738" t="s">
        <v>1507</v>
      </c>
      <c r="E738" t="s">
        <v>1544</v>
      </c>
      <c r="F738" t="s">
        <v>1545</v>
      </c>
      <c r="G738" t="s">
        <v>3056</v>
      </c>
      <c r="H738">
        <v>0.17599999999999999</v>
      </c>
      <c r="I738">
        <v>0</v>
      </c>
      <c r="J738">
        <v>70</v>
      </c>
    </row>
    <row r="739" spans="1:10" x14ac:dyDescent="0.2">
      <c r="A739" t="s">
        <v>680</v>
      </c>
      <c r="B739" t="s">
        <v>3057</v>
      </c>
      <c r="C739" t="s">
        <v>1506</v>
      </c>
      <c r="D739" t="s">
        <v>1507</v>
      </c>
      <c r="E739" t="s">
        <v>2472</v>
      </c>
      <c r="F739" t="s">
        <v>2473</v>
      </c>
      <c r="G739" t="s">
        <v>3058</v>
      </c>
      <c r="H739">
        <v>0.129</v>
      </c>
      <c r="I739">
        <v>0</v>
      </c>
      <c r="J739">
        <v>70</v>
      </c>
    </row>
    <row r="740" spans="1:10" x14ac:dyDescent="0.2">
      <c r="A740" t="s">
        <v>680</v>
      </c>
      <c r="B740" t="s">
        <v>3059</v>
      </c>
      <c r="C740" t="s">
        <v>1506</v>
      </c>
      <c r="D740" t="s">
        <v>1507</v>
      </c>
      <c r="E740" t="s">
        <v>2472</v>
      </c>
      <c r="F740" t="s">
        <v>2473</v>
      </c>
      <c r="G740" t="s">
        <v>3060</v>
      </c>
      <c r="H740">
        <v>7.5999999999999998E-2</v>
      </c>
      <c r="I740">
        <v>0</v>
      </c>
      <c r="J740">
        <v>70</v>
      </c>
    </row>
    <row r="741" spans="1:10" x14ac:dyDescent="0.2">
      <c r="A741" t="s">
        <v>680</v>
      </c>
      <c r="B741" t="s">
        <v>3061</v>
      </c>
      <c r="C741" t="s">
        <v>1506</v>
      </c>
      <c r="D741" t="s">
        <v>1507</v>
      </c>
      <c r="E741" t="s">
        <v>1519</v>
      </c>
      <c r="F741" t="s">
        <v>3062</v>
      </c>
      <c r="G741" t="s">
        <v>3063</v>
      </c>
      <c r="H741">
        <v>4.1000000000000002E-2</v>
      </c>
      <c r="I741">
        <v>2E-3</v>
      </c>
      <c r="J741">
        <v>70</v>
      </c>
    </row>
    <row r="742" spans="1:10" x14ac:dyDescent="0.2">
      <c r="A742" t="s">
        <v>680</v>
      </c>
      <c r="B742" t="s">
        <v>3064</v>
      </c>
      <c r="C742" t="s">
        <v>1506</v>
      </c>
      <c r="D742" t="s">
        <v>1507</v>
      </c>
      <c r="E742" t="s">
        <v>1519</v>
      </c>
      <c r="F742" t="s">
        <v>3062</v>
      </c>
      <c r="G742" t="s">
        <v>3063</v>
      </c>
      <c r="H742">
        <v>4.1000000000000002E-2</v>
      </c>
      <c r="I742">
        <v>0</v>
      </c>
      <c r="J742">
        <v>70</v>
      </c>
    </row>
    <row r="743" spans="1:10" x14ac:dyDescent="0.2">
      <c r="A743" t="s">
        <v>680</v>
      </c>
      <c r="B743" t="s">
        <v>3065</v>
      </c>
      <c r="C743" t="s">
        <v>1506</v>
      </c>
      <c r="D743" t="s">
        <v>1507</v>
      </c>
      <c r="E743" t="s">
        <v>1586</v>
      </c>
      <c r="F743" t="s">
        <v>2305</v>
      </c>
      <c r="G743" t="s">
        <v>3066</v>
      </c>
      <c r="H743">
        <v>2.7E-2</v>
      </c>
      <c r="I743">
        <v>0</v>
      </c>
      <c r="J743">
        <v>70</v>
      </c>
    </row>
    <row r="744" spans="1:10" x14ac:dyDescent="0.2">
      <c r="A744" t="s">
        <v>680</v>
      </c>
      <c r="B744" t="s">
        <v>3067</v>
      </c>
      <c r="C744" t="s">
        <v>1506</v>
      </c>
      <c r="D744" t="s">
        <v>1507</v>
      </c>
      <c r="E744" t="s">
        <v>2428</v>
      </c>
      <c r="F744" t="s">
        <v>3068</v>
      </c>
      <c r="G744" t="s">
        <v>3069</v>
      </c>
      <c r="H744">
        <v>1.7999999999999999E-2</v>
      </c>
      <c r="I744">
        <v>3.0000000000000001E-3</v>
      </c>
      <c r="J744">
        <v>70</v>
      </c>
    </row>
    <row r="745" spans="1:10" x14ac:dyDescent="0.2">
      <c r="A745" t="s">
        <v>680</v>
      </c>
      <c r="B745" t="s">
        <v>3070</v>
      </c>
      <c r="C745" t="s">
        <v>1506</v>
      </c>
      <c r="D745" t="s">
        <v>1507</v>
      </c>
      <c r="E745" t="s">
        <v>3071</v>
      </c>
      <c r="F745" t="s">
        <v>3072</v>
      </c>
      <c r="G745" t="s">
        <v>3073</v>
      </c>
      <c r="H745">
        <v>1.4999999999999999E-2</v>
      </c>
      <c r="I745">
        <v>0</v>
      </c>
      <c r="J745">
        <v>70</v>
      </c>
    </row>
    <row r="746" spans="1:10" x14ac:dyDescent="0.2">
      <c r="A746" t="s">
        <v>680</v>
      </c>
      <c r="B746" t="s">
        <v>3074</v>
      </c>
      <c r="C746" t="s">
        <v>1506</v>
      </c>
      <c r="D746" t="s">
        <v>1507</v>
      </c>
      <c r="E746" t="s">
        <v>1733</v>
      </c>
      <c r="F746" t="s">
        <v>3075</v>
      </c>
      <c r="G746" t="s">
        <v>3076</v>
      </c>
      <c r="H746">
        <v>1.2E-2</v>
      </c>
      <c r="I746">
        <v>0</v>
      </c>
      <c r="J746">
        <v>70</v>
      </c>
    </row>
    <row r="747" spans="1:10" x14ac:dyDescent="0.2">
      <c r="A747" t="s">
        <v>680</v>
      </c>
      <c r="B747" t="s">
        <v>3077</v>
      </c>
      <c r="C747" t="s">
        <v>1506</v>
      </c>
      <c r="D747" t="s">
        <v>1507</v>
      </c>
      <c r="E747" t="s">
        <v>1733</v>
      </c>
      <c r="F747" t="s">
        <v>3075</v>
      </c>
      <c r="G747" t="s">
        <v>3078</v>
      </c>
      <c r="H747">
        <v>1.2E-2</v>
      </c>
      <c r="I747">
        <v>0</v>
      </c>
      <c r="J747">
        <v>70</v>
      </c>
    </row>
    <row r="748" spans="1:10" x14ac:dyDescent="0.2">
      <c r="A748" t="s">
        <v>680</v>
      </c>
      <c r="B748" t="s">
        <v>3079</v>
      </c>
      <c r="C748" t="s">
        <v>1506</v>
      </c>
      <c r="D748" t="s">
        <v>1507</v>
      </c>
      <c r="E748" t="s">
        <v>1523</v>
      </c>
      <c r="F748" t="s">
        <v>1746</v>
      </c>
      <c r="G748" t="s">
        <v>3080</v>
      </c>
      <c r="H748">
        <v>1.0999999999999999E-2</v>
      </c>
      <c r="I748">
        <v>0</v>
      </c>
      <c r="J748">
        <v>70</v>
      </c>
    </row>
    <row r="749" spans="1:10" x14ac:dyDescent="0.2">
      <c r="A749" t="s">
        <v>680</v>
      </c>
      <c r="B749" t="s">
        <v>3081</v>
      </c>
      <c r="C749" t="s">
        <v>1506</v>
      </c>
      <c r="D749" t="s">
        <v>1507</v>
      </c>
      <c r="E749" t="s">
        <v>1789</v>
      </c>
      <c r="F749" t="s">
        <v>2209</v>
      </c>
      <c r="G749" t="s">
        <v>3082</v>
      </c>
      <c r="H749">
        <v>5.0000000000000001E-3</v>
      </c>
      <c r="I749">
        <v>0</v>
      </c>
      <c r="J749">
        <v>70</v>
      </c>
    </row>
    <row r="750" spans="1:10" x14ac:dyDescent="0.2">
      <c r="A750" t="s">
        <v>680</v>
      </c>
      <c r="B750" t="s">
        <v>3083</v>
      </c>
      <c r="C750" t="s">
        <v>1506</v>
      </c>
      <c r="D750" t="s">
        <v>1507</v>
      </c>
      <c r="E750" t="s">
        <v>1796</v>
      </c>
      <c r="F750" t="s">
        <v>2784</v>
      </c>
      <c r="G750" t="s">
        <v>3084</v>
      </c>
      <c r="H750">
        <v>5.0000000000000001E-3</v>
      </c>
      <c r="I750">
        <v>0</v>
      </c>
      <c r="J750">
        <v>70</v>
      </c>
    </row>
    <row r="751" spans="1:10" x14ac:dyDescent="0.2">
      <c r="A751" t="s">
        <v>680</v>
      </c>
      <c r="B751" t="s">
        <v>3085</v>
      </c>
      <c r="C751" t="s">
        <v>1506</v>
      </c>
      <c r="D751" t="s">
        <v>1507</v>
      </c>
      <c r="E751" t="s">
        <v>1625</v>
      </c>
      <c r="F751" t="s">
        <v>1901</v>
      </c>
      <c r="G751" t="s">
        <v>3086</v>
      </c>
      <c r="H751">
        <v>3.0000000000000001E-3</v>
      </c>
      <c r="I751">
        <v>0.85599999999999998</v>
      </c>
      <c r="J751">
        <v>70</v>
      </c>
    </row>
    <row r="752" spans="1:10" x14ac:dyDescent="0.2">
      <c r="A752" t="s">
        <v>680</v>
      </c>
      <c r="B752" t="s">
        <v>3087</v>
      </c>
      <c r="C752" t="s">
        <v>1506</v>
      </c>
      <c r="D752" t="s">
        <v>1507</v>
      </c>
      <c r="E752" t="s">
        <v>1544</v>
      </c>
      <c r="F752" t="s">
        <v>1545</v>
      </c>
      <c r="G752" t="s">
        <v>3088</v>
      </c>
      <c r="H752">
        <v>3.0000000000000001E-3</v>
      </c>
      <c r="I752">
        <v>0</v>
      </c>
      <c r="J752">
        <v>237</v>
      </c>
    </row>
    <row r="753" spans="1:10" x14ac:dyDescent="0.2">
      <c r="A753" t="s">
        <v>680</v>
      </c>
      <c r="B753" t="s">
        <v>2814</v>
      </c>
      <c r="C753" t="s">
        <v>1506</v>
      </c>
      <c r="D753" t="s">
        <v>1507</v>
      </c>
      <c r="E753" t="s">
        <v>1523</v>
      </c>
      <c r="F753" t="s">
        <v>1524</v>
      </c>
      <c r="G753" t="s">
        <v>2815</v>
      </c>
      <c r="H753">
        <v>2E-3</v>
      </c>
      <c r="I753">
        <v>0</v>
      </c>
      <c r="J753">
        <v>303</v>
      </c>
    </row>
    <row r="754" spans="1:10" x14ac:dyDescent="0.2">
      <c r="A754" t="s">
        <v>680</v>
      </c>
      <c r="B754" t="s">
        <v>3089</v>
      </c>
      <c r="C754" t="s">
        <v>1506</v>
      </c>
      <c r="D754" t="s">
        <v>1507</v>
      </c>
      <c r="E754" t="s">
        <v>1796</v>
      </c>
      <c r="F754" t="s">
        <v>3090</v>
      </c>
      <c r="G754" t="s">
        <v>3091</v>
      </c>
      <c r="H754">
        <v>1E-3</v>
      </c>
      <c r="I754">
        <v>0</v>
      </c>
      <c r="J754">
        <v>70</v>
      </c>
    </row>
    <row r="755" spans="1:10" x14ac:dyDescent="0.2">
      <c r="A755" t="s">
        <v>680</v>
      </c>
      <c r="B755" t="s">
        <v>3092</v>
      </c>
      <c r="C755" t="s">
        <v>1506</v>
      </c>
      <c r="D755" t="s">
        <v>1507</v>
      </c>
      <c r="E755" t="s">
        <v>1633</v>
      </c>
      <c r="F755" t="s">
        <v>1832</v>
      </c>
      <c r="G755" t="s">
        <v>3093</v>
      </c>
      <c r="H755">
        <v>1E-3</v>
      </c>
      <c r="I755">
        <v>0</v>
      </c>
      <c r="J755">
        <v>70</v>
      </c>
    </row>
    <row r="756" spans="1:10" x14ac:dyDescent="0.2">
      <c r="A756" t="s">
        <v>680</v>
      </c>
      <c r="B756" t="s">
        <v>2812</v>
      </c>
      <c r="C756" t="s">
        <v>1506</v>
      </c>
      <c r="D756" t="s">
        <v>1507</v>
      </c>
      <c r="E756" t="s">
        <v>1523</v>
      </c>
      <c r="F756" t="s">
        <v>1524</v>
      </c>
      <c r="G756" t="s">
        <v>2813</v>
      </c>
      <c r="H756">
        <v>1E-3</v>
      </c>
      <c r="I756">
        <v>0</v>
      </c>
      <c r="J756">
        <v>303</v>
      </c>
    </row>
    <row r="757" spans="1:10" x14ac:dyDescent="0.2">
      <c r="A757" t="s">
        <v>680</v>
      </c>
      <c r="B757" t="s">
        <v>2816</v>
      </c>
      <c r="C757" t="s">
        <v>1506</v>
      </c>
      <c r="D757" t="s">
        <v>1507</v>
      </c>
      <c r="E757" t="s">
        <v>1523</v>
      </c>
      <c r="F757" t="s">
        <v>1524</v>
      </c>
      <c r="G757" t="s">
        <v>2817</v>
      </c>
      <c r="H757">
        <v>1E-3</v>
      </c>
      <c r="I757">
        <v>0</v>
      </c>
      <c r="J757">
        <v>303</v>
      </c>
    </row>
    <row r="758" spans="1:10" x14ac:dyDescent="0.2">
      <c r="A758" t="s">
        <v>680</v>
      </c>
      <c r="B758" t="s">
        <v>3094</v>
      </c>
      <c r="C758" t="s">
        <v>1506</v>
      </c>
      <c r="D758" t="s">
        <v>1507</v>
      </c>
      <c r="E758" t="s">
        <v>1679</v>
      </c>
      <c r="F758" t="s">
        <v>1680</v>
      </c>
      <c r="G758" t="s">
        <v>3095</v>
      </c>
      <c r="H758">
        <v>1E-3</v>
      </c>
      <c r="I758">
        <v>0</v>
      </c>
      <c r="J758">
        <v>70</v>
      </c>
    </row>
    <row r="759" spans="1:10" x14ac:dyDescent="0.2">
      <c r="A759" t="s">
        <v>680</v>
      </c>
      <c r="B759" t="s">
        <v>3096</v>
      </c>
      <c r="C759" t="s">
        <v>1506</v>
      </c>
      <c r="D759" t="s">
        <v>1817</v>
      </c>
      <c r="E759" t="s">
        <v>1818</v>
      </c>
      <c r="F759" t="s">
        <v>3097</v>
      </c>
      <c r="G759" t="s">
        <v>3098</v>
      </c>
      <c r="H759">
        <v>1E-3</v>
      </c>
      <c r="I759">
        <v>0</v>
      </c>
      <c r="J759">
        <v>70</v>
      </c>
    </row>
    <row r="760" spans="1:10" x14ac:dyDescent="0.2">
      <c r="A760" t="s">
        <v>680</v>
      </c>
      <c r="B760" t="s">
        <v>2695</v>
      </c>
      <c r="C760" t="s">
        <v>1506</v>
      </c>
      <c r="D760" t="s">
        <v>1507</v>
      </c>
      <c r="E760" t="s">
        <v>1692</v>
      </c>
      <c r="F760" t="s">
        <v>1693</v>
      </c>
      <c r="G760" t="s">
        <v>2696</v>
      </c>
      <c r="H760">
        <v>1E-3</v>
      </c>
      <c r="I760">
        <v>0</v>
      </c>
      <c r="J760">
        <v>70</v>
      </c>
    </row>
    <row r="761" spans="1:10" x14ac:dyDescent="0.2">
      <c r="A761" t="s">
        <v>680</v>
      </c>
      <c r="B761" t="s">
        <v>2060</v>
      </c>
      <c r="C761" t="s">
        <v>1506</v>
      </c>
      <c r="D761" t="s">
        <v>1507</v>
      </c>
      <c r="E761" t="s">
        <v>1633</v>
      </c>
      <c r="F761" t="s">
        <v>1832</v>
      </c>
      <c r="G761" t="s">
        <v>2061</v>
      </c>
      <c r="H761">
        <v>0</v>
      </c>
      <c r="I761">
        <v>0.999</v>
      </c>
      <c r="J761">
        <v>661</v>
      </c>
    </row>
    <row r="762" spans="1:10" x14ac:dyDescent="0.2">
      <c r="A762" t="s">
        <v>680</v>
      </c>
      <c r="B762" t="s">
        <v>2065</v>
      </c>
      <c r="C762" t="s">
        <v>1506</v>
      </c>
      <c r="D762" t="s">
        <v>1507</v>
      </c>
      <c r="E762" t="s">
        <v>1633</v>
      </c>
      <c r="F762" t="s">
        <v>1832</v>
      </c>
      <c r="G762" t="s">
        <v>2066</v>
      </c>
      <c r="H762">
        <v>0</v>
      </c>
      <c r="I762">
        <v>0.999</v>
      </c>
      <c r="J762">
        <v>661</v>
      </c>
    </row>
    <row r="763" spans="1:10" x14ac:dyDescent="0.2">
      <c r="A763" t="s">
        <v>680</v>
      </c>
      <c r="B763" t="s">
        <v>3099</v>
      </c>
      <c r="C763" t="s">
        <v>1506</v>
      </c>
      <c r="D763" t="s">
        <v>1507</v>
      </c>
      <c r="E763" t="s">
        <v>8</v>
      </c>
      <c r="F763" t="s">
        <v>1575</v>
      </c>
      <c r="G763" t="s">
        <v>3100</v>
      </c>
      <c r="H763">
        <v>0</v>
      </c>
      <c r="I763">
        <v>0.99299999999999999</v>
      </c>
      <c r="J763">
        <v>72</v>
      </c>
    </row>
    <row r="764" spans="1:10" x14ac:dyDescent="0.2">
      <c r="A764" t="s">
        <v>680</v>
      </c>
      <c r="B764" t="s">
        <v>2976</v>
      </c>
      <c r="C764" t="s">
        <v>1506</v>
      </c>
      <c r="D764" t="s">
        <v>1507</v>
      </c>
      <c r="E764" t="s">
        <v>8</v>
      </c>
      <c r="F764" t="s">
        <v>1575</v>
      </c>
      <c r="G764" t="s">
        <v>2977</v>
      </c>
      <c r="H764">
        <v>0</v>
      </c>
      <c r="I764">
        <v>0.99299999999999999</v>
      </c>
      <c r="J764">
        <v>72</v>
      </c>
    </row>
    <row r="765" spans="1:10" x14ac:dyDescent="0.2">
      <c r="A765" t="s">
        <v>680</v>
      </c>
      <c r="B765" t="s">
        <v>2980</v>
      </c>
      <c r="C765" t="s">
        <v>1506</v>
      </c>
      <c r="D765" t="s">
        <v>1507</v>
      </c>
      <c r="E765" t="s">
        <v>8</v>
      </c>
      <c r="F765" t="s">
        <v>1575</v>
      </c>
      <c r="G765" t="s">
        <v>2979</v>
      </c>
      <c r="H765">
        <v>0</v>
      </c>
      <c r="I765">
        <v>0.99299999999999999</v>
      </c>
      <c r="J765">
        <v>72</v>
      </c>
    </row>
    <row r="766" spans="1:10" x14ac:dyDescent="0.2">
      <c r="A766" t="s">
        <v>680</v>
      </c>
      <c r="B766" t="s">
        <v>3101</v>
      </c>
      <c r="C766" t="s">
        <v>1506</v>
      </c>
      <c r="D766" t="s">
        <v>1507</v>
      </c>
      <c r="E766" t="s">
        <v>1508</v>
      </c>
      <c r="F766" t="s">
        <v>1509</v>
      </c>
      <c r="G766" t="s">
        <v>2137</v>
      </c>
      <c r="H766">
        <v>0</v>
      </c>
      <c r="I766">
        <v>0.98799999999999999</v>
      </c>
      <c r="J766">
        <v>72</v>
      </c>
    </row>
    <row r="767" spans="1:10" x14ac:dyDescent="0.2">
      <c r="A767" t="s">
        <v>680</v>
      </c>
      <c r="B767" t="s">
        <v>3102</v>
      </c>
      <c r="C767" t="s">
        <v>1506</v>
      </c>
      <c r="D767" t="s">
        <v>1507</v>
      </c>
      <c r="E767" t="s">
        <v>1508</v>
      </c>
      <c r="F767" t="s">
        <v>1509</v>
      </c>
      <c r="G767" t="s">
        <v>2185</v>
      </c>
      <c r="H767">
        <v>0</v>
      </c>
      <c r="I767">
        <v>0.98799999999999999</v>
      </c>
      <c r="J767">
        <v>71</v>
      </c>
    </row>
    <row r="768" spans="1:10" x14ac:dyDescent="0.2">
      <c r="A768" t="s">
        <v>680</v>
      </c>
      <c r="B768" t="s">
        <v>2186</v>
      </c>
      <c r="C768" t="s">
        <v>1506</v>
      </c>
      <c r="D768" t="s">
        <v>1507</v>
      </c>
      <c r="E768" t="s">
        <v>1508</v>
      </c>
      <c r="F768" t="s">
        <v>1509</v>
      </c>
      <c r="G768" t="s">
        <v>2187</v>
      </c>
      <c r="H768">
        <v>0</v>
      </c>
      <c r="I768">
        <v>0.98799999999999999</v>
      </c>
      <c r="J768">
        <v>71</v>
      </c>
    </row>
    <row r="769" spans="1:10" x14ac:dyDescent="0.2">
      <c r="A769" t="s">
        <v>680</v>
      </c>
      <c r="B769" t="s">
        <v>2790</v>
      </c>
      <c r="C769" t="s">
        <v>1506</v>
      </c>
      <c r="D769" t="s">
        <v>1507</v>
      </c>
      <c r="E769" t="s">
        <v>1508</v>
      </c>
      <c r="F769" t="s">
        <v>1509</v>
      </c>
      <c r="G769" t="s">
        <v>2791</v>
      </c>
      <c r="H769">
        <v>0</v>
      </c>
      <c r="I769">
        <v>0.98799999999999999</v>
      </c>
      <c r="J769">
        <v>72</v>
      </c>
    </row>
    <row r="770" spans="1:10" x14ac:dyDescent="0.2">
      <c r="A770" t="s">
        <v>680</v>
      </c>
      <c r="B770" t="s">
        <v>2408</v>
      </c>
      <c r="C770" t="s">
        <v>1506</v>
      </c>
      <c r="D770" t="s">
        <v>1507</v>
      </c>
      <c r="E770" t="s">
        <v>1586</v>
      </c>
      <c r="F770" t="s">
        <v>2409</v>
      </c>
      <c r="G770" t="s">
        <v>2410</v>
      </c>
      <c r="H770">
        <v>0</v>
      </c>
      <c r="I770">
        <v>0.94799999999999995</v>
      </c>
      <c r="J770">
        <v>71</v>
      </c>
    </row>
    <row r="771" spans="1:10" x14ac:dyDescent="0.2">
      <c r="A771" t="s">
        <v>680</v>
      </c>
      <c r="B771" t="s">
        <v>2196</v>
      </c>
      <c r="C771" t="s">
        <v>1506</v>
      </c>
      <c r="D771" t="s">
        <v>1507</v>
      </c>
      <c r="E771" t="s">
        <v>1633</v>
      </c>
      <c r="F771" t="s">
        <v>1832</v>
      </c>
      <c r="G771" t="s">
        <v>2197</v>
      </c>
      <c r="H771">
        <v>0</v>
      </c>
      <c r="I771">
        <v>0.83699999999999997</v>
      </c>
      <c r="J771">
        <v>661</v>
      </c>
    </row>
    <row r="772" spans="1:10" x14ac:dyDescent="0.2">
      <c r="A772" t="s">
        <v>680</v>
      </c>
      <c r="B772" t="s">
        <v>2102</v>
      </c>
      <c r="C772" t="s">
        <v>1506</v>
      </c>
      <c r="D772" t="s">
        <v>1507</v>
      </c>
      <c r="E772" t="s">
        <v>1508</v>
      </c>
      <c r="F772" t="s">
        <v>1509</v>
      </c>
      <c r="G772" t="s">
        <v>2103</v>
      </c>
      <c r="H772">
        <v>0</v>
      </c>
      <c r="I772">
        <v>0.68300000000000005</v>
      </c>
      <c r="J772">
        <v>72</v>
      </c>
    </row>
    <row r="773" spans="1:10" x14ac:dyDescent="0.2">
      <c r="A773" t="s">
        <v>680</v>
      </c>
      <c r="B773" t="s">
        <v>54</v>
      </c>
      <c r="C773" t="s">
        <v>1506</v>
      </c>
      <c r="D773" t="s">
        <v>1507</v>
      </c>
      <c r="E773" t="s">
        <v>1508</v>
      </c>
      <c r="F773" t="s">
        <v>1509</v>
      </c>
      <c r="G773" t="s">
        <v>53</v>
      </c>
      <c r="H773">
        <v>0</v>
      </c>
      <c r="I773">
        <v>0.68300000000000005</v>
      </c>
      <c r="J773">
        <v>72</v>
      </c>
    </row>
    <row r="774" spans="1:10" x14ac:dyDescent="0.2">
      <c r="A774" t="s">
        <v>680</v>
      </c>
      <c r="B774" t="s">
        <v>2104</v>
      </c>
      <c r="C774" t="s">
        <v>1506</v>
      </c>
      <c r="D774" t="s">
        <v>1507</v>
      </c>
      <c r="E774" t="s">
        <v>1508</v>
      </c>
      <c r="F774" t="s">
        <v>1509</v>
      </c>
      <c r="G774" t="s">
        <v>2105</v>
      </c>
      <c r="H774">
        <v>0</v>
      </c>
      <c r="I774">
        <v>0.68300000000000005</v>
      </c>
      <c r="J774">
        <v>72</v>
      </c>
    </row>
    <row r="775" spans="1:10" x14ac:dyDescent="0.2">
      <c r="A775" t="s">
        <v>680</v>
      </c>
      <c r="B775" t="s">
        <v>2120</v>
      </c>
      <c r="C775" t="s">
        <v>1506</v>
      </c>
      <c r="D775" t="s">
        <v>1507</v>
      </c>
      <c r="E775" t="s">
        <v>1508</v>
      </c>
      <c r="F775" t="s">
        <v>1509</v>
      </c>
      <c r="G775" t="s">
        <v>2121</v>
      </c>
      <c r="H775">
        <v>0</v>
      </c>
      <c r="I775">
        <v>0.68300000000000005</v>
      </c>
      <c r="J775">
        <v>72</v>
      </c>
    </row>
    <row r="776" spans="1:10" x14ac:dyDescent="0.2">
      <c r="A776" t="s">
        <v>680</v>
      </c>
      <c r="B776" t="s">
        <v>2124</v>
      </c>
      <c r="C776" t="s">
        <v>1506</v>
      </c>
      <c r="D776" t="s">
        <v>1507</v>
      </c>
      <c r="E776" t="s">
        <v>1508</v>
      </c>
      <c r="F776" t="s">
        <v>1509</v>
      </c>
      <c r="G776" t="s">
        <v>2125</v>
      </c>
      <c r="H776">
        <v>0</v>
      </c>
      <c r="I776">
        <v>0.68300000000000005</v>
      </c>
      <c r="J776">
        <v>72</v>
      </c>
    </row>
    <row r="777" spans="1:10" x14ac:dyDescent="0.2">
      <c r="A777" t="s">
        <v>680</v>
      </c>
      <c r="B777" t="s">
        <v>3103</v>
      </c>
      <c r="C777" t="s">
        <v>1506</v>
      </c>
      <c r="D777" t="s">
        <v>1507</v>
      </c>
      <c r="E777" t="s">
        <v>1508</v>
      </c>
      <c r="F777" t="s">
        <v>1509</v>
      </c>
      <c r="G777" t="s">
        <v>2127</v>
      </c>
      <c r="H777">
        <v>0</v>
      </c>
      <c r="I777">
        <v>0.68300000000000005</v>
      </c>
      <c r="J777">
        <v>73</v>
      </c>
    </row>
    <row r="778" spans="1:10" x14ac:dyDescent="0.2">
      <c r="A778" t="s">
        <v>680</v>
      </c>
      <c r="B778" t="s">
        <v>2128</v>
      </c>
      <c r="C778" t="s">
        <v>1506</v>
      </c>
      <c r="D778" t="s">
        <v>1507</v>
      </c>
      <c r="E778" t="s">
        <v>1508</v>
      </c>
      <c r="F778" t="s">
        <v>1509</v>
      </c>
      <c r="G778" t="s">
        <v>2129</v>
      </c>
      <c r="H778">
        <v>0</v>
      </c>
      <c r="I778">
        <v>0.68300000000000005</v>
      </c>
      <c r="J778">
        <v>73</v>
      </c>
    </row>
    <row r="779" spans="1:10" x14ac:dyDescent="0.2">
      <c r="A779" t="s">
        <v>680</v>
      </c>
      <c r="B779" t="s">
        <v>2130</v>
      </c>
      <c r="C779" t="s">
        <v>1506</v>
      </c>
      <c r="D779" t="s">
        <v>1507</v>
      </c>
      <c r="E779" t="s">
        <v>1508</v>
      </c>
      <c r="F779" t="s">
        <v>1509</v>
      </c>
      <c r="G779" t="s">
        <v>2131</v>
      </c>
      <c r="H779">
        <v>0</v>
      </c>
      <c r="I779">
        <v>0.68300000000000005</v>
      </c>
      <c r="J779">
        <v>72</v>
      </c>
    </row>
    <row r="780" spans="1:10" x14ac:dyDescent="0.2">
      <c r="A780" t="s">
        <v>680</v>
      </c>
      <c r="B780" t="s">
        <v>2134</v>
      </c>
      <c r="C780" t="s">
        <v>1506</v>
      </c>
      <c r="D780" t="s">
        <v>1507</v>
      </c>
      <c r="E780" t="s">
        <v>1508</v>
      </c>
      <c r="F780" t="s">
        <v>1509</v>
      </c>
      <c r="G780" t="s">
        <v>2135</v>
      </c>
      <c r="H780">
        <v>0</v>
      </c>
      <c r="I780">
        <v>0.68300000000000005</v>
      </c>
      <c r="J780">
        <v>72</v>
      </c>
    </row>
    <row r="781" spans="1:10" x14ac:dyDescent="0.2">
      <c r="A781" t="s">
        <v>680</v>
      </c>
      <c r="B781" t="s">
        <v>2144</v>
      </c>
      <c r="C781" t="s">
        <v>1506</v>
      </c>
      <c r="D781" t="s">
        <v>1507</v>
      </c>
      <c r="E781" t="s">
        <v>1508</v>
      </c>
      <c r="F781" t="s">
        <v>1509</v>
      </c>
      <c r="G781" t="s">
        <v>2145</v>
      </c>
      <c r="H781">
        <v>0</v>
      </c>
      <c r="I781">
        <v>0.68300000000000005</v>
      </c>
      <c r="J781">
        <v>72</v>
      </c>
    </row>
    <row r="782" spans="1:10" x14ac:dyDescent="0.2">
      <c r="A782" t="s">
        <v>680</v>
      </c>
      <c r="B782" t="s">
        <v>3104</v>
      </c>
      <c r="C782" t="s">
        <v>1506</v>
      </c>
      <c r="D782" t="s">
        <v>1507</v>
      </c>
      <c r="E782" t="s">
        <v>1508</v>
      </c>
      <c r="F782" t="s">
        <v>1509</v>
      </c>
      <c r="G782" t="s">
        <v>3105</v>
      </c>
      <c r="H782">
        <v>0</v>
      </c>
      <c r="I782">
        <v>0.68300000000000005</v>
      </c>
      <c r="J782">
        <v>72</v>
      </c>
    </row>
    <row r="783" spans="1:10" x14ac:dyDescent="0.2">
      <c r="A783" t="s">
        <v>680</v>
      </c>
      <c r="B783" t="s">
        <v>2150</v>
      </c>
      <c r="C783" t="s">
        <v>1506</v>
      </c>
      <c r="D783" t="s">
        <v>1507</v>
      </c>
      <c r="E783" t="s">
        <v>1508</v>
      </c>
      <c r="F783" t="s">
        <v>1509</v>
      </c>
      <c r="G783" t="s">
        <v>2151</v>
      </c>
      <c r="H783">
        <v>0</v>
      </c>
      <c r="I783">
        <v>0.68300000000000005</v>
      </c>
      <c r="J783">
        <v>72</v>
      </c>
    </row>
    <row r="784" spans="1:10" x14ac:dyDescent="0.2">
      <c r="A784" t="s">
        <v>680</v>
      </c>
      <c r="B784" t="s">
        <v>2154</v>
      </c>
      <c r="C784" t="s">
        <v>1506</v>
      </c>
      <c r="D784" t="s">
        <v>1507</v>
      </c>
      <c r="E784" t="s">
        <v>1508</v>
      </c>
      <c r="F784" t="s">
        <v>1509</v>
      </c>
      <c r="G784" t="s">
        <v>2155</v>
      </c>
      <c r="H784">
        <v>0</v>
      </c>
      <c r="I784">
        <v>0.68300000000000005</v>
      </c>
      <c r="J784">
        <v>71</v>
      </c>
    </row>
    <row r="785" spans="1:10" x14ac:dyDescent="0.2">
      <c r="A785" t="s">
        <v>680</v>
      </c>
      <c r="B785" t="s">
        <v>2156</v>
      </c>
      <c r="C785" t="s">
        <v>1506</v>
      </c>
      <c r="D785" t="s">
        <v>1507</v>
      </c>
      <c r="E785" t="s">
        <v>1508</v>
      </c>
      <c r="F785" t="s">
        <v>1509</v>
      </c>
      <c r="G785" t="s">
        <v>2157</v>
      </c>
      <c r="H785">
        <v>0</v>
      </c>
      <c r="I785">
        <v>0.68300000000000005</v>
      </c>
      <c r="J785">
        <v>72</v>
      </c>
    </row>
    <row r="786" spans="1:10" x14ac:dyDescent="0.2">
      <c r="A786" t="s">
        <v>680</v>
      </c>
      <c r="B786" t="s">
        <v>2158</v>
      </c>
      <c r="C786" t="s">
        <v>1506</v>
      </c>
      <c r="D786" t="s">
        <v>1507</v>
      </c>
      <c r="E786" t="s">
        <v>1508</v>
      </c>
      <c r="F786" t="s">
        <v>1509</v>
      </c>
      <c r="G786" t="s">
        <v>2159</v>
      </c>
      <c r="H786">
        <v>0</v>
      </c>
      <c r="I786">
        <v>0.68300000000000005</v>
      </c>
      <c r="J786">
        <v>72</v>
      </c>
    </row>
    <row r="787" spans="1:10" x14ac:dyDescent="0.2">
      <c r="A787" t="s">
        <v>680</v>
      </c>
      <c r="B787" t="s">
        <v>3106</v>
      </c>
      <c r="C787" t="s">
        <v>1506</v>
      </c>
      <c r="D787" t="s">
        <v>1507</v>
      </c>
      <c r="E787" t="s">
        <v>1508</v>
      </c>
      <c r="F787" t="s">
        <v>1509</v>
      </c>
      <c r="G787" t="s">
        <v>2161</v>
      </c>
      <c r="H787">
        <v>0</v>
      </c>
      <c r="I787">
        <v>0.68300000000000005</v>
      </c>
      <c r="J787">
        <v>72</v>
      </c>
    </row>
    <row r="788" spans="1:10" x14ac:dyDescent="0.2">
      <c r="A788" t="s">
        <v>680</v>
      </c>
      <c r="B788" t="s">
        <v>2162</v>
      </c>
      <c r="C788" t="s">
        <v>1506</v>
      </c>
      <c r="D788" t="s">
        <v>1507</v>
      </c>
      <c r="E788" t="s">
        <v>1508</v>
      </c>
      <c r="F788" t="s">
        <v>1509</v>
      </c>
      <c r="G788" t="s">
        <v>2163</v>
      </c>
      <c r="H788">
        <v>0</v>
      </c>
      <c r="I788">
        <v>0.68300000000000005</v>
      </c>
      <c r="J788">
        <v>72</v>
      </c>
    </row>
    <row r="789" spans="1:10" x14ac:dyDescent="0.2">
      <c r="A789" t="s">
        <v>680</v>
      </c>
      <c r="B789" t="s">
        <v>2164</v>
      </c>
      <c r="C789" t="s">
        <v>1506</v>
      </c>
      <c r="D789" t="s">
        <v>1507</v>
      </c>
      <c r="E789" t="s">
        <v>1508</v>
      </c>
      <c r="F789" t="s">
        <v>1509</v>
      </c>
      <c r="G789" t="s">
        <v>2165</v>
      </c>
      <c r="H789">
        <v>0</v>
      </c>
      <c r="I789">
        <v>0.68300000000000005</v>
      </c>
      <c r="J789">
        <v>73</v>
      </c>
    </row>
    <row r="790" spans="1:10" x14ac:dyDescent="0.2">
      <c r="A790" t="s">
        <v>680</v>
      </c>
      <c r="B790" t="s">
        <v>3107</v>
      </c>
      <c r="C790" t="s">
        <v>1506</v>
      </c>
      <c r="D790" t="s">
        <v>1507</v>
      </c>
      <c r="E790" t="s">
        <v>1523</v>
      </c>
      <c r="F790" t="s">
        <v>3108</v>
      </c>
      <c r="G790" t="s">
        <v>3109</v>
      </c>
      <c r="H790">
        <v>0</v>
      </c>
      <c r="I790">
        <v>0.68300000000000005</v>
      </c>
      <c r="J790">
        <v>72</v>
      </c>
    </row>
    <row r="791" spans="1:10" x14ac:dyDescent="0.2">
      <c r="A791" t="s">
        <v>680</v>
      </c>
      <c r="B791" t="s">
        <v>3110</v>
      </c>
      <c r="C791" t="s">
        <v>1506</v>
      </c>
      <c r="D791" t="s">
        <v>1507</v>
      </c>
      <c r="E791" t="s">
        <v>3111</v>
      </c>
      <c r="F791" t="s">
        <v>3112</v>
      </c>
      <c r="G791" t="s">
        <v>3113</v>
      </c>
      <c r="H791">
        <v>0</v>
      </c>
      <c r="I791">
        <v>0.502</v>
      </c>
      <c r="J791">
        <v>72</v>
      </c>
    </row>
    <row r="792" spans="1:10" x14ac:dyDescent="0.2">
      <c r="A792" t="s">
        <v>680</v>
      </c>
      <c r="B792" t="s">
        <v>3114</v>
      </c>
      <c r="C792" t="s">
        <v>1506</v>
      </c>
      <c r="D792" t="s">
        <v>3115</v>
      </c>
      <c r="E792" t="s">
        <v>3116</v>
      </c>
      <c r="F792" t="s">
        <v>3117</v>
      </c>
      <c r="G792" t="s">
        <v>3118</v>
      </c>
      <c r="H792">
        <v>0</v>
      </c>
      <c r="I792">
        <v>0.47899999999999998</v>
      </c>
      <c r="J792">
        <v>72</v>
      </c>
    </row>
    <row r="793" spans="1:10" x14ac:dyDescent="0.2">
      <c r="A793" t="s">
        <v>680</v>
      </c>
      <c r="B793" t="s">
        <v>3119</v>
      </c>
      <c r="C793" t="s">
        <v>1506</v>
      </c>
      <c r="D793" t="s">
        <v>3115</v>
      </c>
      <c r="E793" t="s">
        <v>3116</v>
      </c>
      <c r="F793" t="s">
        <v>3120</v>
      </c>
      <c r="G793" t="s">
        <v>3121</v>
      </c>
      <c r="H793">
        <v>0</v>
      </c>
      <c r="I793">
        <v>0.47899999999999998</v>
      </c>
      <c r="J793">
        <v>72</v>
      </c>
    </row>
    <row r="794" spans="1:10" x14ac:dyDescent="0.2">
      <c r="A794" t="s">
        <v>680</v>
      </c>
      <c r="B794" t="s">
        <v>3122</v>
      </c>
      <c r="C794" t="s">
        <v>1506</v>
      </c>
      <c r="D794" t="s">
        <v>3115</v>
      </c>
      <c r="E794" t="s">
        <v>3123</v>
      </c>
      <c r="F794" t="s">
        <v>3124</v>
      </c>
      <c r="G794" t="s">
        <v>3125</v>
      </c>
      <c r="H794">
        <v>0</v>
      </c>
      <c r="I794">
        <v>0.46800000000000003</v>
      </c>
      <c r="J794">
        <v>72</v>
      </c>
    </row>
    <row r="795" spans="1:10" x14ac:dyDescent="0.2">
      <c r="A795" t="s">
        <v>680</v>
      </c>
      <c r="B795" t="s">
        <v>3126</v>
      </c>
      <c r="C795" t="s">
        <v>1506</v>
      </c>
      <c r="D795" t="s">
        <v>1507</v>
      </c>
      <c r="E795" t="s">
        <v>2357</v>
      </c>
      <c r="F795" t="s">
        <v>3127</v>
      </c>
      <c r="G795" t="s">
        <v>3128</v>
      </c>
      <c r="H795">
        <v>0</v>
      </c>
      <c r="I795">
        <v>0.433</v>
      </c>
      <c r="J795">
        <v>72</v>
      </c>
    </row>
    <row r="796" spans="1:10" x14ac:dyDescent="0.2">
      <c r="A796" t="s">
        <v>680</v>
      </c>
      <c r="B796" t="s">
        <v>3129</v>
      </c>
      <c r="C796" t="s">
        <v>1506</v>
      </c>
      <c r="D796" t="s">
        <v>1507</v>
      </c>
      <c r="E796" t="s">
        <v>8</v>
      </c>
      <c r="F796" t="s">
        <v>1575</v>
      </c>
      <c r="G796" t="s">
        <v>3130</v>
      </c>
      <c r="H796">
        <v>0</v>
      </c>
      <c r="I796">
        <v>0.371</v>
      </c>
      <c r="J796">
        <v>72</v>
      </c>
    </row>
    <row r="797" spans="1:10" x14ac:dyDescent="0.2">
      <c r="A797" t="s">
        <v>680</v>
      </c>
      <c r="B797" t="s">
        <v>2614</v>
      </c>
      <c r="C797" t="s">
        <v>1506</v>
      </c>
      <c r="D797" t="s">
        <v>1507</v>
      </c>
      <c r="E797" t="s">
        <v>1508</v>
      </c>
      <c r="F797" t="s">
        <v>1509</v>
      </c>
      <c r="G797" t="s">
        <v>2615</v>
      </c>
      <c r="H797">
        <v>0</v>
      </c>
      <c r="I797">
        <v>0.36499999999999999</v>
      </c>
      <c r="J797">
        <v>72</v>
      </c>
    </row>
    <row r="798" spans="1:10" x14ac:dyDescent="0.2">
      <c r="A798" t="s">
        <v>680</v>
      </c>
      <c r="B798" t="s">
        <v>2444</v>
      </c>
      <c r="C798" t="s">
        <v>1506</v>
      </c>
      <c r="D798" t="s">
        <v>1507</v>
      </c>
      <c r="E798" t="s">
        <v>1508</v>
      </c>
      <c r="F798" t="s">
        <v>1509</v>
      </c>
      <c r="G798" t="s">
        <v>2445</v>
      </c>
      <c r="H798">
        <v>0</v>
      </c>
      <c r="I798">
        <v>0.36499999999999999</v>
      </c>
      <c r="J798">
        <v>72</v>
      </c>
    </row>
    <row r="799" spans="1:10" x14ac:dyDescent="0.2">
      <c r="A799" t="s">
        <v>680</v>
      </c>
      <c r="B799" t="s">
        <v>3131</v>
      </c>
      <c r="C799" t="s">
        <v>1506</v>
      </c>
      <c r="D799" t="s">
        <v>1507</v>
      </c>
      <c r="E799" t="s">
        <v>1508</v>
      </c>
      <c r="F799" t="s">
        <v>1509</v>
      </c>
      <c r="G799" t="s">
        <v>2438</v>
      </c>
      <c r="H799">
        <v>0</v>
      </c>
      <c r="I799">
        <v>0.36499999999999999</v>
      </c>
      <c r="J799">
        <v>71</v>
      </c>
    </row>
    <row r="800" spans="1:10" x14ac:dyDescent="0.2">
      <c r="A800" t="s">
        <v>680</v>
      </c>
      <c r="B800" t="s">
        <v>2292</v>
      </c>
      <c r="C800" t="s">
        <v>1506</v>
      </c>
      <c r="D800" t="s">
        <v>1507</v>
      </c>
      <c r="E800" t="s">
        <v>1508</v>
      </c>
      <c r="F800" t="s">
        <v>1509</v>
      </c>
      <c r="G800" t="s">
        <v>2293</v>
      </c>
      <c r="H800">
        <v>0</v>
      </c>
      <c r="I800">
        <v>0.36499999999999999</v>
      </c>
      <c r="J800">
        <v>73</v>
      </c>
    </row>
    <row r="801" spans="1:10" x14ac:dyDescent="0.2">
      <c r="A801" t="s">
        <v>680</v>
      </c>
      <c r="B801" t="s">
        <v>2439</v>
      </c>
      <c r="C801" t="s">
        <v>1506</v>
      </c>
      <c r="D801" t="s">
        <v>1507</v>
      </c>
      <c r="E801" t="s">
        <v>1508</v>
      </c>
      <c r="F801" t="s">
        <v>1509</v>
      </c>
      <c r="G801" t="s">
        <v>2440</v>
      </c>
      <c r="H801">
        <v>0</v>
      </c>
      <c r="I801">
        <v>0.36499999999999999</v>
      </c>
      <c r="J801">
        <v>72</v>
      </c>
    </row>
    <row r="802" spans="1:10" x14ac:dyDescent="0.2">
      <c r="A802" t="s">
        <v>680</v>
      </c>
      <c r="B802" t="s">
        <v>3132</v>
      </c>
      <c r="C802" t="s">
        <v>1506</v>
      </c>
      <c r="D802" t="s">
        <v>1507</v>
      </c>
      <c r="E802" t="s">
        <v>1508</v>
      </c>
      <c r="F802" t="s">
        <v>1509</v>
      </c>
      <c r="G802" t="s">
        <v>2447</v>
      </c>
      <c r="H802">
        <v>0</v>
      </c>
      <c r="I802">
        <v>0.36499999999999999</v>
      </c>
      <c r="J802">
        <v>72</v>
      </c>
    </row>
    <row r="803" spans="1:10" x14ac:dyDescent="0.2">
      <c r="A803" t="s">
        <v>680</v>
      </c>
      <c r="B803" t="s">
        <v>2417</v>
      </c>
      <c r="C803" t="s">
        <v>1506</v>
      </c>
      <c r="D803" t="s">
        <v>1507</v>
      </c>
      <c r="E803" t="s">
        <v>8</v>
      </c>
      <c r="F803" t="s">
        <v>2302</v>
      </c>
      <c r="G803" t="s">
        <v>2418</v>
      </c>
      <c r="H803">
        <v>0</v>
      </c>
      <c r="I803">
        <v>0.35699999999999998</v>
      </c>
      <c r="J803">
        <v>71</v>
      </c>
    </row>
    <row r="804" spans="1:10" x14ac:dyDescent="0.2">
      <c r="A804" t="s">
        <v>680</v>
      </c>
      <c r="B804" t="s">
        <v>3133</v>
      </c>
      <c r="C804" t="s">
        <v>1506</v>
      </c>
      <c r="D804" t="s">
        <v>1507</v>
      </c>
      <c r="E804" t="s">
        <v>1523</v>
      </c>
      <c r="F804" t="s">
        <v>2020</v>
      </c>
      <c r="G804" t="s">
        <v>3134</v>
      </c>
      <c r="H804">
        <v>0</v>
      </c>
      <c r="I804">
        <v>0.34200000000000003</v>
      </c>
      <c r="J804">
        <v>71</v>
      </c>
    </row>
    <row r="805" spans="1:10" x14ac:dyDescent="0.2">
      <c r="A805" t="s">
        <v>680</v>
      </c>
      <c r="B805" t="s">
        <v>1657</v>
      </c>
      <c r="C805" t="s">
        <v>1506</v>
      </c>
      <c r="D805" t="s">
        <v>1507</v>
      </c>
      <c r="E805" t="s">
        <v>1658</v>
      </c>
      <c r="F805" t="s">
        <v>1659</v>
      </c>
      <c r="G805" t="s">
        <v>1660</v>
      </c>
      <c r="H805">
        <v>0</v>
      </c>
      <c r="I805">
        <v>0.29499999999999998</v>
      </c>
      <c r="J805">
        <v>252</v>
      </c>
    </row>
    <row r="806" spans="1:10" x14ac:dyDescent="0.2">
      <c r="A806" t="s">
        <v>680</v>
      </c>
      <c r="B806" t="s">
        <v>2028</v>
      </c>
      <c r="C806" t="s">
        <v>1506</v>
      </c>
      <c r="D806" t="s">
        <v>1507</v>
      </c>
      <c r="E806" t="s">
        <v>1789</v>
      </c>
      <c r="F806" t="s">
        <v>2029</v>
      </c>
      <c r="G806" t="s">
        <v>2030</v>
      </c>
      <c r="H806">
        <v>0</v>
      </c>
      <c r="I806">
        <v>0.29499999999999998</v>
      </c>
      <c r="J806">
        <v>73</v>
      </c>
    </row>
    <row r="807" spans="1:10" x14ac:dyDescent="0.2">
      <c r="A807" t="s">
        <v>680</v>
      </c>
      <c r="B807" t="s">
        <v>3135</v>
      </c>
      <c r="C807" t="s">
        <v>1506</v>
      </c>
      <c r="D807" t="s">
        <v>1507</v>
      </c>
      <c r="E807" t="s">
        <v>1789</v>
      </c>
      <c r="F807" t="s">
        <v>2209</v>
      </c>
      <c r="G807" t="s">
        <v>3136</v>
      </c>
      <c r="H807">
        <v>0</v>
      </c>
      <c r="I807">
        <v>0.27600000000000002</v>
      </c>
      <c r="J807">
        <v>72</v>
      </c>
    </row>
    <row r="808" spans="1:10" x14ac:dyDescent="0.2">
      <c r="A808" t="s">
        <v>680</v>
      </c>
      <c r="B808" t="s">
        <v>3137</v>
      </c>
      <c r="C808" t="s">
        <v>1506</v>
      </c>
      <c r="D808" t="s">
        <v>1507</v>
      </c>
      <c r="E808" t="s">
        <v>8</v>
      </c>
      <c r="F808" t="s">
        <v>1575</v>
      </c>
      <c r="G808" t="s">
        <v>3138</v>
      </c>
      <c r="H808">
        <v>0</v>
      </c>
      <c r="I808">
        <v>0.27600000000000002</v>
      </c>
      <c r="J808">
        <v>73</v>
      </c>
    </row>
    <row r="809" spans="1:10" x14ac:dyDescent="0.2">
      <c r="A809" t="s">
        <v>680</v>
      </c>
      <c r="B809" t="s">
        <v>3139</v>
      </c>
      <c r="C809" t="s">
        <v>1506</v>
      </c>
      <c r="D809" t="s">
        <v>1507</v>
      </c>
      <c r="E809" t="s">
        <v>8</v>
      </c>
      <c r="F809" t="s">
        <v>1575</v>
      </c>
      <c r="G809" t="s">
        <v>3140</v>
      </c>
      <c r="H809">
        <v>0</v>
      </c>
      <c r="I809">
        <v>0.27600000000000002</v>
      </c>
      <c r="J809">
        <v>73</v>
      </c>
    </row>
    <row r="810" spans="1:10" x14ac:dyDescent="0.2">
      <c r="A810" t="s">
        <v>680</v>
      </c>
      <c r="B810" t="s">
        <v>3141</v>
      </c>
      <c r="C810" t="s">
        <v>1506</v>
      </c>
      <c r="D810" t="s">
        <v>1507</v>
      </c>
      <c r="E810" t="s">
        <v>8</v>
      </c>
      <c r="F810" t="s">
        <v>1575</v>
      </c>
      <c r="G810" t="s">
        <v>3142</v>
      </c>
      <c r="H810">
        <v>0</v>
      </c>
      <c r="I810">
        <v>0.27600000000000002</v>
      </c>
      <c r="J810">
        <v>73</v>
      </c>
    </row>
    <row r="811" spans="1:10" x14ac:dyDescent="0.2">
      <c r="A811" t="s">
        <v>680</v>
      </c>
      <c r="B811" t="s">
        <v>3143</v>
      </c>
      <c r="C811" t="s">
        <v>1506</v>
      </c>
      <c r="D811" t="s">
        <v>1507</v>
      </c>
      <c r="E811" t="s">
        <v>1878</v>
      </c>
      <c r="F811" t="s">
        <v>1879</v>
      </c>
      <c r="G811" t="s">
        <v>3144</v>
      </c>
      <c r="H811">
        <v>0</v>
      </c>
      <c r="I811">
        <v>0.27600000000000002</v>
      </c>
      <c r="J811">
        <v>72</v>
      </c>
    </row>
    <row r="812" spans="1:10" x14ac:dyDescent="0.2">
      <c r="A812" t="s">
        <v>680</v>
      </c>
      <c r="B812" t="s">
        <v>3145</v>
      </c>
      <c r="C812" t="s">
        <v>1506</v>
      </c>
      <c r="D812" t="s">
        <v>1507</v>
      </c>
      <c r="E812" t="s">
        <v>1658</v>
      </c>
      <c r="F812" t="s">
        <v>2381</v>
      </c>
      <c r="G812" t="s">
        <v>3146</v>
      </c>
      <c r="H812">
        <v>0</v>
      </c>
      <c r="I812">
        <v>0.26400000000000001</v>
      </c>
      <c r="J812">
        <v>73</v>
      </c>
    </row>
    <row r="813" spans="1:10" x14ac:dyDescent="0.2">
      <c r="A813" t="s">
        <v>680</v>
      </c>
      <c r="B813" t="s">
        <v>3147</v>
      </c>
      <c r="C813" t="s">
        <v>1506</v>
      </c>
      <c r="D813" t="s">
        <v>1507</v>
      </c>
      <c r="E813" t="s">
        <v>8</v>
      </c>
      <c r="F813" t="s">
        <v>1575</v>
      </c>
      <c r="G813" t="s">
        <v>3148</v>
      </c>
      <c r="H813">
        <v>0</v>
      </c>
      <c r="I813">
        <v>0.25700000000000001</v>
      </c>
      <c r="J813">
        <v>72</v>
      </c>
    </row>
    <row r="814" spans="1:10" x14ac:dyDescent="0.2">
      <c r="A814" t="s">
        <v>680</v>
      </c>
      <c r="B814" t="s">
        <v>3149</v>
      </c>
      <c r="C814" t="s">
        <v>1506</v>
      </c>
      <c r="D814" t="s">
        <v>1507</v>
      </c>
      <c r="E814" t="s">
        <v>1508</v>
      </c>
      <c r="F814" t="s">
        <v>1509</v>
      </c>
      <c r="G814" t="s">
        <v>3150</v>
      </c>
      <c r="H814">
        <v>0</v>
      </c>
      <c r="I814">
        <v>0.221</v>
      </c>
      <c r="J814">
        <v>73</v>
      </c>
    </row>
    <row r="815" spans="1:10" x14ac:dyDescent="0.2">
      <c r="A815" t="s">
        <v>680</v>
      </c>
      <c r="B815" t="s">
        <v>3151</v>
      </c>
      <c r="C815" t="s">
        <v>1506</v>
      </c>
      <c r="D815" t="s">
        <v>1507</v>
      </c>
      <c r="E815" t="s">
        <v>1508</v>
      </c>
      <c r="F815" t="s">
        <v>1509</v>
      </c>
      <c r="G815" t="s">
        <v>3152</v>
      </c>
      <c r="H815">
        <v>0</v>
      </c>
      <c r="I815">
        <v>0.221</v>
      </c>
      <c r="J815">
        <v>72</v>
      </c>
    </row>
    <row r="816" spans="1:10" x14ac:dyDescent="0.2">
      <c r="A816" t="s">
        <v>680</v>
      </c>
      <c r="B816" t="s">
        <v>3153</v>
      </c>
      <c r="C816" t="s">
        <v>1506</v>
      </c>
      <c r="D816" t="s">
        <v>1507</v>
      </c>
      <c r="E816" t="s">
        <v>1508</v>
      </c>
      <c r="F816" t="s">
        <v>1509</v>
      </c>
      <c r="G816" t="s">
        <v>3154</v>
      </c>
      <c r="H816">
        <v>0</v>
      </c>
      <c r="I816">
        <v>0.221</v>
      </c>
      <c r="J816">
        <v>72</v>
      </c>
    </row>
    <row r="817" spans="1:10" x14ac:dyDescent="0.2">
      <c r="A817" t="s">
        <v>680</v>
      </c>
      <c r="B817" t="s">
        <v>2497</v>
      </c>
      <c r="C817" t="s">
        <v>1506</v>
      </c>
      <c r="D817" t="s">
        <v>1507</v>
      </c>
      <c r="E817" t="s">
        <v>1508</v>
      </c>
      <c r="F817" t="s">
        <v>1509</v>
      </c>
      <c r="G817" t="s">
        <v>2498</v>
      </c>
      <c r="H817">
        <v>0</v>
      </c>
      <c r="I817">
        <v>0.221</v>
      </c>
      <c r="J817">
        <v>72</v>
      </c>
    </row>
    <row r="818" spans="1:10" x14ac:dyDescent="0.2">
      <c r="A818" t="s">
        <v>680</v>
      </c>
      <c r="B818" t="s">
        <v>3155</v>
      </c>
      <c r="C818" t="s">
        <v>1506</v>
      </c>
      <c r="D818" t="s">
        <v>1507</v>
      </c>
      <c r="E818" t="s">
        <v>1508</v>
      </c>
      <c r="F818" t="s">
        <v>1509</v>
      </c>
      <c r="G818" t="s">
        <v>3156</v>
      </c>
      <c r="H818">
        <v>0</v>
      </c>
      <c r="I818">
        <v>0.221</v>
      </c>
      <c r="J818">
        <v>72</v>
      </c>
    </row>
    <row r="819" spans="1:10" x14ac:dyDescent="0.2">
      <c r="A819" t="s">
        <v>680</v>
      </c>
      <c r="B819" t="s">
        <v>3157</v>
      </c>
      <c r="C819" t="s">
        <v>1506</v>
      </c>
      <c r="D819" t="s">
        <v>1507</v>
      </c>
      <c r="E819" t="s">
        <v>1508</v>
      </c>
      <c r="F819" t="s">
        <v>1509</v>
      </c>
      <c r="G819" t="s">
        <v>3158</v>
      </c>
      <c r="H819">
        <v>0</v>
      </c>
      <c r="I819">
        <v>0.216</v>
      </c>
      <c r="J819">
        <v>71</v>
      </c>
    </row>
    <row r="820" spans="1:10" x14ac:dyDescent="0.2">
      <c r="A820" t="s">
        <v>680</v>
      </c>
      <c r="B820" t="s">
        <v>3159</v>
      </c>
      <c r="C820" t="s">
        <v>1506</v>
      </c>
      <c r="D820" t="s">
        <v>1507</v>
      </c>
      <c r="E820" t="s">
        <v>1586</v>
      </c>
      <c r="F820" t="s">
        <v>3160</v>
      </c>
      <c r="G820" t="s">
        <v>3161</v>
      </c>
      <c r="H820">
        <v>0</v>
      </c>
      <c r="I820">
        <v>0.216</v>
      </c>
      <c r="J820">
        <v>539</v>
      </c>
    </row>
    <row r="821" spans="1:10" x14ac:dyDescent="0.2">
      <c r="A821" t="s">
        <v>680</v>
      </c>
      <c r="B821" t="s">
        <v>3162</v>
      </c>
      <c r="C821" t="s">
        <v>1506</v>
      </c>
      <c r="D821" t="s">
        <v>1507</v>
      </c>
      <c r="E821" t="s">
        <v>8</v>
      </c>
      <c r="F821" t="s">
        <v>1575</v>
      </c>
      <c r="G821" t="s">
        <v>3163</v>
      </c>
      <c r="H821">
        <v>0</v>
      </c>
      <c r="I821">
        <v>0.214</v>
      </c>
      <c r="J821">
        <v>492</v>
      </c>
    </row>
    <row r="822" spans="1:10" x14ac:dyDescent="0.2">
      <c r="A822" t="s">
        <v>680</v>
      </c>
      <c r="B822" t="s">
        <v>2435</v>
      </c>
      <c r="C822" t="s">
        <v>1506</v>
      </c>
      <c r="D822" t="s">
        <v>1507</v>
      </c>
      <c r="E822" t="s">
        <v>1508</v>
      </c>
      <c r="F822" t="s">
        <v>1509</v>
      </c>
      <c r="G822" t="s">
        <v>2436</v>
      </c>
      <c r="H822">
        <v>0</v>
      </c>
      <c r="I822">
        <v>0.20599999999999999</v>
      </c>
      <c r="J822">
        <v>657</v>
      </c>
    </row>
    <row r="823" spans="1:10" x14ac:dyDescent="0.2">
      <c r="A823" t="s">
        <v>680</v>
      </c>
      <c r="B823" t="s">
        <v>2198</v>
      </c>
      <c r="C823" t="s">
        <v>1506</v>
      </c>
      <c r="D823" t="s">
        <v>1507</v>
      </c>
      <c r="E823" t="s">
        <v>1508</v>
      </c>
      <c r="F823" t="s">
        <v>1509</v>
      </c>
      <c r="G823" t="s">
        <v>2199</v>
      </c>
      <c r="H823">
        <v>0</v>
      </c>
      <c r="I823">
        <v>0.20599999999999999</v>
      </c>
      <c r="J823">
        <v>657</v>
      </c>
    </row>
    <row r="824" spans="1:10" x14ac:dyDescent="0.2">
      <c r="A824" t="s">
        <v>680</v>
      </c>
      <c r="B824" t="s">
        <v>18</v>
      </c>
      <c r="C824" t="s">
        <v>1506</v>
      </c>
      <c r="D824" t="s">
        <v>1507</v>
      </c>
      <c r="E824" t="s">
        <v>1508</v>
      </c>
      <c r="F824" t="s">
        <v>1509</v>
      </c>
      <c r="G824" t="s">
        <v>26</v>
      </c>
      <c r="H824">
        <v>0</v>
      </c>
      <c r="I824">
        <v>0.20599999999999999</v>
      </c>
      <c r="J824">
        <v>657</v>
      </c>
    </row>
    <row r="825" spans="1:10" x14ac:dyDescent="0.2">
      <c r="A825" t="s">
        <v>680</v>
      </c>
      <c r="B825" t="s">
        <v>34</v>
      </c>
      <c r="C825" t="s">
        <v>1506</v>
      </c>
      <c r="D825" t="s">
        <v>1507</v>
      </c>
      <c r="E825" t="s">
        <v>1508</v>
      </c>
      <c r="F825" t="s">
        <v>1509</v>
      </c>
      <c r="G825" t="s">
        <v>35</v>
      </c>
      <c r="H825">
        <v>0</v>
      </c>
      <c r="I825">
        <v>0.20599999999999999</v>
      </c>
      <c r="J825">
        <v>657</v>
      </c>
    </row>
    <row r="826" spans="1:10" x14ac:dyDescent="0.2">
      <c r="A826" t="s">
        <v>680</v>
      </c>
      <c r="B826" t="s">
        <v>71</v>
      </c>
      <c r="C826" t="s">
        <v>1506</v>
      </c>
      <c r="D826" t="s">
        <v>1507</v>
      </c>
      <c r="E826" t="s">
        <v>1508</v>
      </c>
      <c r="F826" t="s">
        <v>1509</v>
      </c>
      <c r="G826" t="s">
        <v>63</v>
      </c>
      <c r="H826">
        <v>0</v>
      </c>
      <c r="I826">
        <v>0.20599999999999999</v>
      </c>
      <c r="J826">
        <v>72</v>
      </c>
    </row>
    <row r="827" spans="1:10" x14ac:dyDescent="0.2">
      <c r="A827" t="s">
        <v>680</v>
      </c>
      <c r="B827" t="s">
        <v>28</v>
      </c>
      <c r="C827" t="s">
        <v>1506</v>
      </c>
      <c r="D827" t="s">
        <v>1507</v>
      </c>
      <c r="E827" t="s">
        <v>1508</v>
      </c>
      <c r="F827" t="s">
        <v>1509</v>
      </c>
      <c r="G827" t="s">
        <v>29</v>
      </c>
      <c r="H827">
        <v>0</v>
      </c>
      <c r="I827">
        <v>0.20599999999999999</v>
      </c>
      <c r="J827">
        <v>73</v>
      </c>
    </row>
    <row r="828" spans="1:10" x14ac:dyDescent="0.2">
      <c r="A828" t="s">
        <v>680</v>
      </c>
      <c r="B828" t="s">
        <v>2200</v>
      </c>
      <c r="C828" t="s">
        <v>1506</v>
      </c>
      <c r="D828" t="s">
        <v>1507</v>
      </c>
      <c r="E828" t="s">
        <v>1508</v>
      </c>
      <c r="F828" t="s">
        <v>1509</v>
      </c>
      <c r="G828" t="s">
        <v>2201</v>
      </c>
      <c r="H828">
        <v>0</v>
      </c>
      <c r="I828">
        <v>0.20599999999999999</v>
      </c>
      <c r="J828">
        <v>657</v>
      </c>
    </row>
    <row r="829" spans="1:10" x14ac:dyDescent="0.2">
      <c r="A829" t="s">
        <v>680</v>
      </c>
      <c r="B829" t="s">
        <v>2763</v>
      </c>
      <c r="C829" t="s">
        <v>1506</v>
      </c>
      <c r="D829" t="s">
        <v>1507</v>
      </c>
      <c r="E829" t="s">
        <v>1508</v>
      </c>
      <c r="F829" t="s">
        <v>1509</v>
      </c>
      <c r="G829" t="s">
        <v>2398</v>
      </c>
      <c r="H829">
        <v>0</v>
      </c>
      <c r="I829">
        <v>0.20599999999999999</v>
      </c>
      <c r="J829">
        <v>657</v>
      </c>
    </row>
    <row r="830" spans="1:10" x14ac:dyDescent="0.2">
      <c r="A830" t="s">
        <v>680</v>
      </c>
      <c r="B830" t="s">
        <v>2202</v>
      </c>
      <c r="C830" t="s">
        <v>1506</v>
      </c>
      <c r="D830" t="s">
        <v>1507</v>
      </c>
      <c r="E830" t="s">
        <v>1508</v>
      </c>
      <c r="F830" t="s">
        <v>1509</v>
      </c>
      <c r="G830" t="s">
        <v>2203</v>
      </c>
      <c r="H830">
        <v>0</v>
      </c>
      <c r="I830">
        <v>0.20599999999999999</v>
      </c>
      <c r="J830">
        <v>657</v>
      </c>
    </row>
    <row r="831" spans="1:10" x14ac:dyDescent="0.2">
      <c r="A831" t="s">
        <v>680</v>
      </c>
      <c r="B831" t="s">
        <v>2204</v>
      </c>
      <c r="C831" t="s">
        <v>1506</v>
      </c>
      <c r="D831" t="s">
        <v>1507</v>
      </c>
      <c r="E831" t="s">
        <v>1508</v>
      </c>
      <c r="F831" t="s">
        <v>1509</v>
      </c>
      <c r="G831" t="s">
        <v>2205</v>
      </c>
      <c r="H831">
        <v>0</v>
      </c>
      <c r="I831">
        <v>0.20599999999999999</v>
      </c>
      <c r="J831">
        <v>657</v>
      </c>
    </row>
    <row r="832" spans="1:10" x14ac:dyDescent="0.2">
      <c r="A832" t="s">
        <v>680</v>
      </c>
      <c r="B832" t="s">
        <v>2206</v>
      </c>
      <c r="C832" t="s">
        <v>1506</v>
      </c>
      <c r="D832" t="s">
        <v>1507</v>
      </c>
      <c r="E832" t="s">
        <v>1508</v>
      </c>
      <c r="F832" t="s">
        <v>1509</v>
      </c>
      <c r="G832" t="s">
        <v>2207</v>
      </c>
      <c r="H832">
        <v>0</v>
      </c>
      <c r="I832">
        <v>0.20599999999999999</v>
      </c>
      <c r="J832">
        <v>657</v>
      </c>
    </row>
    <row r="833" spans="1:10" x14ac:dyDescent="0.2">
      <c r="A833" t="s">
        <v>680</v>
      </c>
      <c r="B833" t="s">
        <v>2193</v>
      </c>
      <c r="C833" t="s">
        <v>1506</v>
      </c>
      <c r="D833" t="s">
        <v>1507</v>
      </c>
      <c r="E833" t="s">
        <v>1508</v>
      </c>
      <c r="F833" t="s">
        <v>1509</v>
      </c>
      <c r="G833" t="s">
        <v>2194</v>
      </c>
      <c r="H833">
        <v>0</v>
      </c>
      <c r="I833">
        <v>0.19400000000000001</v>
      </c>
      <c r="J833">
        <v>72</v>
      </c>
    </row>
    <row r="834" spans="1:10" x14ac:dyDescent="0.2">
      <c r="A834" t="s">
        <v>680</v>
      </c>
      <c r="B834" t="s">
        <v>3164</v>
      </c>
      <c r="C834" t="s">
        <v>1506</v>
      </c>
      <c r="D834" t="s">
        <v>1507</v>
      </c>
      <c r="E834" t="s">
        <v>1658</v>
      </c>
      <c r="F834" t="s">
        <v>3165</v>
      </c>
      <c r="G834" t="s">
        <v>3166</v>
      </c>
      <c r="H834">
        <v>0</v>
      </c>
      <c r="I834">
        <v>0.185</v>
      </c>
      <c r="J834">
        <v>72</v>
      </c>
    </row>
    <row r="835" spans="1:10" x14ac:dyDescent="0.2">
      <c r="A835" t="s">
        <v>680</v>
      </c>
      <c r="B835" t="s">
        <v>2936</v>
      </c>
      <c r="C835" t="s">
        <v>1506</v>
      </c>
      <c r="D835" t="s">
        <v>1507</v>
      </c>
      <c r="E835" t="s">
        <v>1658</v>
      </c>
      <c r="F835" t="s">
        <v>2937</v>
      </c>
      <c r="G835" t="s">
        <v>2938</v>
      </c>
      <c r="H835">
        <v>0</v>
      </c>
      <c r="I835">
        <v>0.153</v>
      </c>
      <c r="J835">
        <v>71</v>
      </c>
    </row>
    <row r="836" spans="1:10" x14ac:dyDescent="0.2">
      <c r="A836" t="s">
        <v>680</v>
      </c>
      <c r="B836" t="s">
        <v>3167</v>
      </c>
      <c r="C836" t="s">
        <v>1506</v>
      </c>
      <c r="D836" t="s">
        <v>1507</v>
      </c>
      <c r="E836" t="s">
        <v>1633</v>
      </c>
      <c r="F836" t="s">
        <v>1634</v>
      </c>
      <c r="G836" t="s">
        <v>2082</v>
      </c>
      <c r="H836">
        <v>0</v>
      </c>
      <c r="I836">
        <v>0.14199999999999999</v>
      </c>
      <c r="J836">
        <v>72</v>
      </c>
    </row>
    <row r="837" spans="1:10" x14ac:dyDescent="0.2">
      <c r="A837" t="s">
        <v>680</v>
      </c>
      <c r="B837" t="s">
        <v>3168</v>
      </c>
      <c r="C837" t="s">
        <v>1506</v>
      </c>
      <c r="D837" t="s">
        <v>1507</v>
      </c>
      <c r="E837" t="s">
        <v>8</v>
      </c>
      <c r="F837" t="s">
        <v>2302</v>
      </c>
      <c r="G837" t="s">
        <v>3169</v>
      </c>
      <c r="H837">
        <v>0</v>
      </c>
      <c r="I837">
        <v>0.122</v>
      </c>
      <c r="J837">
        <v>72</v>
      </c>
    </row>
    <row r="838" spans="1:10" x14ac:dyDescent="0.2">
      <c r="A838" t="s">
        <v>680</v>
      </c>
      <c r="B838" t="s">
        <v>3170</v>
      </c>
      <c r="C838" t="s">
        <v>1506</v>
      </c>
      <c r="D838" t="s">
        <v>1507</v>
      </c>
      <c r="E838" t="s">
        <v>8</v>
      </c>
      <c r="F838" t="s">
        <v>2302</v>
      </c>
      <c r="G838" t="s">
        <v>3171</v>
      </c>
      <c r="H838">
        <v>0</v>
      </c>
      <c r="I838">
        <v>0.11799999999999999</v>
      </c>
      <c r="J838">
        <v>71</v>
      </c>
    </row>
    <row r="839" spans="1:10" x14ac:dyDescent="0.2">
      <c r="A839" t="s">
        <v>680</v>
      </c>
      <c r="B839" t="s">
        <v>3172</v>
      </c>
      <c r="C839" t="s">
        <v>1506</v>
      </c>
      <c r="D839" t="s">
        <v>1507</v>
      </c>
      <c r="E839" t="s">
        <v>1523</v>
      </c>
      <c r="F839" t="s">
        <v>1916</v>
      </c>
      <c r="G839" t="s">
        <v>2655</v>
      </c>
      <c r="H839">
        <v>0</v>
      </c>
      <c r="I839">
        <v>0.11700000000000001</v>
      </c>
      <c r="J839">
        <v>72</v>
      </c>
    </row>
    <row r="840" spans="1:10" x14ac:dyDescent="0.2">
      <c r="A840" t="s">
        <v>680</v>
      </c>
      <c r="B840" t="s">
        <v>2636</v>
      </c>
      <c r="C840" t="s">
        <v>1506</v>
      </c>
      <c r="D840" t="s">
        <v>1507</v>
      </c>
      <c r="E840" t="s">
        <v>1633</v>
      </c>
      <c r="F840" t="s">
        <v>1634</v>
      </c>
      <c r="G840" t="s">
        <v>2637</v>
      </c>
      <c r="H840">
        <v>0</v>
      </c>
      <c r="I840">
        <v>0.10100000000000001</v>
      </c>
      <c r="J840">
        <v>72</v>
      </c>
    </row>
    <row r="841" spans="1:10" x14ac:dyDescent="0.2">
      <c r="A841" t="s">
        <v>680</v>
      </c>
      <c r="B841" t="s">
        <v>2640</v>
      </c>
      <c r="C841" t="s">
        <v>1506</v>
      </c>
      <c r="D841" t="s">
        <v>1507</v>
      </c>
      <c r="E841" t="s">
        <v>1633</v>
      </c>
      <c r="F841" t="s">
        <v>1634</v>
      </c>
      <c r="G841" t="s">
        <v>2641</v>
      </c>
      <c r="H841">
        <v>0</v>
      </c>
      <c r="I841">
        <v>0.10100000000000001</v>
      </c>
      <c r="J841">
        <v>72</v>
      </c>
    </row>
    <row r="842" spans="1:10" x14ac:dyDescent="0.2">
      <c r="A842" t="s">
        <v>680</v>
      </c>
      <c r="B842" t="s">
        <v>3173</v>
      </c>
      <c r="C842" t="s">
        <v>1506</v>
      </c>
      <c r="D842" t="s">
        <v>1507</v>
      </c>
      <c r="E842" t="s">
        <v>1658</v>
      </c>
      <c r="F842" t="s">
        <v>1659</v>
      </c>
      <c r="G842" t="s">
        <v>3174</v>
      </c>
      <c r="H842">
        <v>0</v>
      </c>
      <c r="I842">
        <v>9.7000000000000003E-2</v>
      </c>
      <c r="J842">
        <v>541</v>
      </c>
    </row>
    <row r="843" spans="1:10" x14ac:dyDescent="0.2">
      <c r="A843" t="s">
        <v>680</v>
      </c>
      <c r="B843" t="s">
        <v>3175</v>
      </c>
      <c r="C843" t="s">
        <v>1506</v>
      </c>
      <c r="D843" t="s">
        <v>1507</v>
      </c>
      <c r="E843" t="s">
        <v>1796</v>
      </c>
      <c r="F843" t="s">
        <v>2784</v>
      </c>
      <c r="G843" t="s">
        <v>3176</v>
      </c>
      <c r="H843">
        <v>0</v>
      </c>
      <c r="I843">
        <v>9.0999999999999998E-2</v>
      </c>
      <c r="J843">
        <v>71</v>
      </c>
    </row>
    <row r="844" spans="1:10" x14ac:dyDescent="0.2">
      <c r="A844" t="s">
        <v>680</v>
      </c>
      <c r="B844" t="s">
        <v>3177</v>
      </c>
      <c r="C844" t="s">
        <v>1506</v>
      </c>
      <c r="D844" t="s">
        <v>1507</v>
      </c>
      <c r="E844" t="s">
        <v>1692</v>
      </c>
      <c r="F844" t="s">
        <v>1693</v>
      </c>
      <c r="G844" t="s">
        <v>3178</v>
      </c>
      <c r="H844">
        <v>0</v>
      </c>
      <c r="I844">
        <v>6.2E-2</v>
      </c>
      <c r="J844">
        <v>662</v>
      </c>
    </row>
    <row r="845" spans="1:10" x14ac:dyDescent="0.2">
      <c r="A845" t="s">
        <v>680</v>
      </c>
      <c r="B845" t="s">
        <v>3179</v>
      </c>
      <c r="C845" t="s">
        <v>1506</v>
      </c>
      <c r="D845" t="s">
        <v>1507</v>
      </c>
      <c r="E845" t="s">
        <v>1508</v>
      </c>
      <c r="F845" t="s">
        <v>1509</v>
      </c>
      <c r="G845" t="s">
        <v>3180</v>
      </c>
      <c r="H845">
        <v>0</v>
      </c>
      <c r="I845">
        <v>5.8000000000000003E-2</v>
      </c>
      <c r="J845">
        <v>72</v>
      </c>
    </row>
    <row r="846" spans="1:10" x14ac:dyDescent="0.2">
      <c r="A846" t="s">
        <v>680</v>
      </c>
      <c r="B846" t="s">
        <v>3181</v>
      </c>
      <c r="C846" t="s">
        <v>1506</v>
      </c>
      <c r="D846" t="s">
        <v>1507</v>
      </c>
      <c r="E846" t="s">
        <v>8</v>
      </c>
      <c r="F846" t="s">
        <v>1575</v>
      </c>
      <c r="G846" t="s">
        <v>3182</v>
      </c>
      <c r="H846">
        <v>0</v>
      </c>
      <c r="I846">
        <v>5.3999999999999999E-2</v>
      </c>
      <c r="J846">
        <v>72</v>
      </c>
    </row>
    <row r="847" spans="1:10" x14ac:dyDescent="0.2">
      <c r="A847" t="s">
        <v>680</v>
      </c>
      <c r="B847" t="s">
        <v>2437</v>
      </c>
      <c r="C847" t="s">
        <v>1506</v>
      </c>
      <c r="D847" t="s">
        <v>1507</v>
      </c>
      <c r="E847" t="s">
        <v>1508</v>
      </c>
      <c r="F847" t="s">
        <v>1509</v>
      </c>
      <c r="G847" t="s">
        <v>2438</v>
      </c>
      <c r="H847">
        <v>0</v>
      </c>
      <c r="I847">
        <v>5.1999999999999998E-2</v>
      </c>
      <c r="J847">
        <v>72</v>
      </c>
    </row>
    <row r="848" spans="1:10" x14ac:dyDescent="0.2">
      <c r="A848" t="s">
        <v>680</v>
      </c>
      <c r="B848" t="s">
        <v>3183</v>
      </c>
      <c r="C848" t="s">
        <v>1506</v>
      </c>
      <c r="D848" t="s">
        <v>1507</v>
      </c>
      <c r="E848" t="s">
        <v>1508</v>
      </c>
      <c r="F848" t="s">
        <v>1509</v>
      </c>
      <c r="G848" t="s">
        <v>3184</v>
      </c>
      <c r="H848">
        <v>0</v>
      </c>
      <c r="I848">
        <v>5.1999999999999998E-2</v>
      </c>
      <c r="J848">
        <v>73</v>
      </c>
    </row>
    <row r="849" spans="1:10" x14ac:dyDescent="0.2">
      <c r="A849" t="s">
        <v>680</v>
      </c>
      <c r="B849" t="s">
        <v>2739</v>
      </c>
      <c r="C849" t="s">
        <v>1506</v>
      </c>
      <c r="D849" t="s">
        <v>1507</v>
      </c>
      <c r="E849" t="s">
        <v>1765</v>
      </c>
      <c r="F849" t="s">
        <v>2740</v>
      </c>
      <c r="G849" t="s">
        <v>2741</v>
      </c>
      <c r="H849">
        <v>0</v>
      </c>
      <c r="I849">
        <v>5.1999999999999998E-2</v>
      </c>
      <c r="J849">
        <v>72</v>
      </c>
    </row>
    <row r="850" spans="1:10" x14ac:dyDescent="0.2">
      <c r="A850" t="s">
        <v>680</v>
      </c>
      <c r="B850" t="s">
        <v>2612</v>
      </c>
      <c r="C850" t="s">
        <v>1506</v>
      </c>
      <c r="D850" t="s">
        <v>1507</v>
      </c>
      <c r="E850" t="s">
        <v>1508</v>
      </c>
      <c r="F850" t="s">
        <v>1509</v>
      </c>
      <c r="G850" t="s">
        <v>2613</v>
      </c>
      <c r="H850">
        <v>0</v>
      </c>
      <c r="I850">
        <v>0.05</v>
      </c>
      <c r="J850">
        <v>72</v>
      </c>
    </row>
    <row r="851" spans="1:10" x14ac:dyDescent="0.2">
      <c r="A851" t="s">
        <v>680</v>
      </c>
      <c r="B851" t="s">
        <v>3185</v>
      </c>
      <c r="C851" t="s">
        <v>1506</v>
      </c>
      <c r="D851" t="s">
        <v>1507</v>
      </c>
      <c r="E851" t="s">
        <v>1789</v>
      </c>
      <c r="F851" t="s">
        <v>2209</v>
      </c>
      <c r="G851" t="s">
        <v>3186</v>
      </c>
      <c r="H851">
        <v>0</v>
      </c>
      <c r="I851">
        <v>4.7E-2</v>
      </c>
      <c r="J851">
        <v>73</v>
      </c>
    </row>
    <row r="852" spans="1:10" x14ac:dyDescent="0.2">
      <c r="A852" t="s">
        <v>680</v>
      </c>
      <c r="B852" t="s">
        <v>3187</v>
      </c>
      <c r="C852" t="s">
        <v>1506</v>
      </c>
      <c r="D852" t="s">
        <v>1507</v>
      </c>
      <c r="E852" t="s">
        <v>2357</v>
      </c>
      <c r="F852" t="s">
        <v>3188</v>
      </c>
      <c r="G852" t="s">
        <v>3189</v>
      </c>
      <c r="H852">
        <v>0</v>
      </c>
      <c r="I852">
        <v>4.7E-2</v>
      </c>
      <c r="J852">
        <v>71</v>
      </c>
    </row>
    <row r="853" spans="1:10" x14ac:dyDescent="0.2">
      <c r="A853" t="s">
        <v>680</v>
      </c>
      <c r="B853" t="s">
        <v>3190</v>
      </c>
      <c r="C853" t="s">
        <v>1506</v>
      </c>
      <c r="D853" t="s">
        <v>1507</v>
      </c>
      <c r="E853" t="s">
        <v>1523</v>
      </c>
      <c r="F853" t="s">
        <v>3191</v>
      </c>
      <c r="G853" t="s">
        <v>3192</v>
      </c>
      <c r="H853">
        <v>0</v>
      </c>
      <c r="I853">
        <v>4.7E-2</v>
      </c>
      <c r="J853">
        <v>73</v>
      </c>
    </row>
    <row r="854" spans="1:10" x14ac:dyDescent="0.2">
      <c r="A854" t="s">
        <v>680</v>
      </c>
      <c r="B854" t="s">
        <v>3193</v>
      </c>
      <c r="C854" t="s">
        <v>1506</v>
      </c>
      <c r="D854" t="s">
        <v>1507</v>
      </c>
      <c r="E854" t="s">
        <v>1556</v>
      </c>
      <c r="F854" t="s">
        <v>3194</v>
      </c>
      <c r="G854" t="s">
        <v>3195</v>
      </c>
      <c r="H854">
        <v>0</v>
      </c>
      <c r="I854">
        <v>4.7E-2</v>
      </c>
      <c r="J854">
        <v>72</v>
      </c>
    </row>
    <row r="855" spans="1:10" x14ac:dyDescent="0.2">
      <c r="A855" t="s">
        <v>680</v>
      </c>
      <c r="B855" t="s">
        <v>3196</v>
      </c>
      <c r="C855" t="s">
        <v>1506</v>
      </c>
      <c r="D855" t="s">
        <v>1507</v>
      </c>
      <c r="E855" t="s">
        <v>1544</v>
      </c>
      <c r="F855" t="s">
        <v>1545</v>
      </c>
      <c r="G855" t="s">
        <v>3197</v>
      </c>
      <c r="H855">
        <v>0</v>
      </c>
      <c r="I855">
        <v>4.7E-2</v>
      </c>
      <c r="J855">
        <v>73</v>
      </c>
    </row>
    <row r="856" spans="1:10" x14ac:dyDescent="0.2">
      <c r="A856" t="s">
        <v>680</v>
      </c>
      <c r="B856" t="s">
        <v>3198</v>
      </c>
      <c r="C856" t="s">
        <v>1506</v>
      </c>
      <c r="D856" t="s">
        <v>1507</v>
      </c>
      <c r="E856" t="s">
        <v>1658</v>
      </c>
      <c r="F856" t="s">
        <v>1659</v>
      </c>
      <c r="G856" t="s">
        <v>3199</v>
      </c>
      <c r="H856">
        <v>0</v>
      </c>
      <c r="I856">
        <v>4.4999999999999998E-2</v>
      </c>
      <c r="J856">
        <v>73</v>
      </c>
    </row>
    <row r="857" spans="1:10" x14ac:dyDescent="0.2">
      <c r="A857" t="s">
        <v>680</v>
      </c>
      <c r="B857" t="s">
        <v>3200</v>
      </c>
      <c r="C857" t="s">
        <v>1506</v>
      </c>
      <c r="D857" t="s">
        <v>1507</v>
      </c>
      <c r="E857" t="s">
        <v>1523</v>
      </c>
      <c r="F857" t="s">
        <v>1746</v>
      </c>
      <c r="G857" t="s">
        <v>3201</v>
      </c>
      <c r="H857">
        <v>0</v>
      </c>
      <c r="I857">
        <v>4.2999999999999997E-2</v>
      </c>
      <c r="J857">
        <v>757</v>
      </c>
    </row>
    <row r="858" spans="1:10" x14ac:dyDescent="0.2">
      <c r="A858" t="s">
        <v>680</v>
      </c>
      <c r="B858" t="s">
        <v>3202</v>
      </c>
      <c r="C858" t="s">
        <v>1506</v>
      </c>
      <c r="D858" t="s">
        <v>1507</v>
      </c>
      <c r="E858" t="s">
        <v>1789</v>
      </c>
      <c r="F858" t="s">
        <v>2029</v>
      </c>
      <c r="G858" t="s">
        <v>3203</v>
      </c>
      <c r="H858">
        <v>0</v>
      </c>
      <c r="I858">
        <v>4.1000000000000002E-2</v>
      </c>
      <c r="J858">
        <v>72</v>
      </c>
    </row>
    <row r="859" spans="1:10" x14ac:dyDescent="0.2">
      <c r="A859" t="s">
        <v>680</v>
      </c>
      <c r="B859" t="s">
        <v>3204</v>
      </c>
      <c r="C859" t="s">
        <v>1506</v>
      </c>
      <c r="D859" t="s">
        <v>1507</v>
      </c>
      <c r="E859" t="s">
        <v>1511</v>
      </c>
      <c r="F859" t="s">
        <v>1512</v>
      </c>
      <c r="G859" t="s">
        <v>3205</v>
      </c>
      <c r="H859">
        <v>0</v>
      </c>
      <c r="I859">
        <v>3.7999999999999999E-2</v>
      </c>
      <c r="J859">
        <v>71</v>
      </c>
    </row>
    <row r="860" spans="1:10" x14ac:dyDescent="0.2">
      <c r="A860" t="s">
        <v>680</v>
      </c>
      <c r="B860" t="s">
        <v>3206</v>
      </c>
      <c r="C860" t="s">
        <v>1506</v>
      </c>
      <c r="D860" t="s">
        <v>1507</v>
      </c>
      <c r="E860" t="s">
        <v>1523</v>
      </c>
      <c r="F860" t="s">
        <v>1985</v>
      </c>
      <c r="G860" t="s">
        <v>3207</v>
      </c>
      <c r="H860">
        <v>0</v>
      </c>
      <c r="I860">
        <v>3.7999999999999999E-2</v>
      </c>
      <c r="J860">
        <v>73</v>
      </c>
    </row>
    <row r="861" spans="1:10" x14ac:dyDescent="0.2">
      <c r="A861" t="s">
        <v>680</v>
      </c>
      <c r="B861" t="s">
        <v>2892</v>
      </c>
      <c r="C861" t="s">
        <v>1506</v>
      </c>
      <c r="D861" t="s">
        <v>1507</v>
      </c>
      <c r="E861" t="s">
        <v>1796</v>
      </c>
      <c r="F861" t="s">
        <v>2784</v>
      </c>
      <c r="G861" t="s">
        <v>2893</v>
      </c>
      <c r="H861">
        <v>0</v>
      </c>
      <c r="I861">
        <v>3.2000000000000001E-2</v>
      </c>
      <c r="J861">
        <v>73</v>
      </c>
    </row>
    <row r="862" spans="1:10" x14ac:dyDescent="0.2">
      <c r="A862" t="s">
        <v>680</v>
      </c>
      <c r="B862" t="s">
        <v>3208</v>
      </c>
      <c r="C862" t="s">
        <v>1506</v>
      </c>
      <c r="D862" t="s">
        <v>1507</v>
      </c>
      <c r="E862" t="s">
        <v>1519</v>
      </c>
      <c r="F862" t="s">
        <v>1520</v>
      </c>
      <c r="G862" t="s">
        <v>3209</v>
      </c>
      <c r="H862">
        <v>0</v>
      </c>
      <c r="I862">
        <v>3.1E-2</v>
      </c>
      <c r="J862">
        <v>742</v>
      </c>
    </row>
    <row r="863" spans="1:10" x14ac:dyDescent="0.2">
      <c r="A863" t="s">
        <v>680</v>
      </c>
      <c r="B863" t="s">
        <v>3210</v>
      </c>
      <c r="C863" t="s">
        <v>1506</v>
      </c>
      <c r="D863" t="s">
        <v>1507</v>
      </c>
      <c r="E863" t="s">
        <v>1531</v>
      </c>
      <c r="F863" t="s">
        <v>3211</v>
      </c>
      <c r="G863" t="s">
        <v>3212</v>
      </c>
      <c r="H863">
        <v>0</v>
      </c>
      <c r="I863">
        <v>3.1E-2</v>
      </c>
      <c r="J863">
        <v>72</v>
      </c>
    </row>
    <row r="864" spans="1:10" x14ac:dyDescent="0.2">
      <c r="A864" t="s">
        <v>680</v>
      </c>
      <c r="B864" t="s">
        <v>3213</v>
      </c>
      <c r="C864" t="s">
        <v>1506</v>
      </c>
      <c r="D864" t="s">
        <v>1507</v>
      </c>
      <c r="E864" t="s">
        <v>1544</v>
      </c>
      <c r="F864" t="s">
        <v>1545</v>
      </c>
      <c r="G864" t="s">
        <v>3214</v>
      </c>
      <c r="H864">
        <v>0</v>
      </c>
      <c r="I864">
        <v>2.9000000000000001E-2</v>
      </c>
      <c r="J864">
        <v>107</v>
      </c>
    </row>
    <row r="865" spans="1:10" x14ac:dyDescent="0.2">
      <c r="A865" t="s">
        <v>680</v>
      </c>
      <c r="B865" t="s">
        <v>3215</v>
      </c>
      <c r="C865" t="s">
        <v>1506</v>
      </c>
      <c r="D865" t="s">
        <v>1507</v>
      </c>
      <c r="E865" t="s">
        <v>1556</v>
      </c>
      <c r="F865" t="s">
        <v>2244</v>
      </c>
      <c r="G865" t="s">
        <v>3216</v>
      </c>
      <c r="H865">
        <v>0</v>
      </c>
      <c r="I865">
        <v>2.7E-2</v>
      </c>
      <c r="J865">
        <v>73</v>
      </c>
    </row>
    <row r="866" spans="1:10" x14ac:dyDescent="0.2">
      <c r="A866" t="s">
        <v>680</v>
      </c>
      <c r="B866" t="s">
        <v>3217</v>
      </c>
      <c r="C866" t="s">
        <v>1506</v>
      </c>
      <c r="D866" t="s">
        <v>1507</v>
      </c>
      <c r="E866" t="s">
        <v>1523</v>
      </c>
      <c r="F866" t="s">
        <v>1985</v>
      </c>
      <c r="G866" t="s">
        <v>3218</v>
      </c>
      <c r="H866">
        <v>0</v>
      </c>
      <c r="I866">
        <v>2.5999999999999999E-2</v>
      </c>
      <c r="J866">
        <v>72</v>
      </c>
    </row>
    <row r="867" spans="1:10" x14ac:dyDescent="0.2">
      <c r="A867" t="s">
        <v>680</v>
      </c>
      <c r="B867" t="s">
        <v>3219</v>
      </c>
      <c r="C867" t="s">
        <v>1506</v>
      </c>
      <c r="D867" t="s">
        <v>1507</v>
      </c>
      <c r="E867" t="s">
        <v>3111</v>
      </c>
      <c r="F867" t="s">
        <v>3112</v>
      </c>
      <c r="G867" t="s">
        <v>3220</v>
      </c>
      <c r="H867">
        <v>0</v>
      </c>
      <c r="I867">
        <v>2.5999999999999999E-2</v>
      </c>
      <c r="J867">
        <v>72</v>
      </c>
    </row>
    <row r="868" spans="1:10" x14ac:dyDescent="0.2">
      <c r="A868" t="s">
        <v>680</v>
      </c>
      <c r="B868" t="s">
        <v>3221</v>
      </c>
      <c r="C868" t="s">
        <v>1506</v>
      </c>
      <c r="D868" t="s">
        <v>1507</v>
      </c>
      <c r="E868" t="s">
        <v>1994</v>
      </c>
      <c r="F868" t="s">
        <v>3222</v>
      </c>
      <c r="G868" t="s">
        <v>3223</v>
      </c>
      <c r="H868">
        <v>0</v>
      </c>
      <c r="I868">
        <v>2.4E-2</v>
      </c>
      <c r="J868">
        <v>356</v>
      </c>
    </row>
    <row r="869" spans="1:10" x14ac:dyDescent="0.2">
      <c r="A869" t="s">
        <v>680</v>
      </c>
      <c r="B869" t="s">
        <v>2691</v>
      </c>
      <c r="C869" t="s">
        <v>1506</v>
      </c>
      <c r="D869" t="s">
        <v>1507</v>
      </c>
      <c r="E869" t="s">
        <v>8</v>
      </c>
      <c r="F869" t="s">
        <v>2302</v>
      </c>
      <c r="G869" t="s">
        <v>2692</v>
      </c>
      <c r="H869">
        <v>0</v>
      </c>
      <c r="I869">
        <v>2.4E-2</v>
      </c>
      <c r="J869">
        <v>72</v>
      </c>
    </row>
    <row r="870" spans="1:10" x14ac:dyDescent="0.2">
      <c r="A870" t="s">
        <v>680</v>
      </c>
      <c r="B870" t="s">
        <v>3224</v>
      </c>
      <c r="C870" t="s">
        <v>1506</v>
      </c>
      <c r="D870" t="s">
        <v>1507</v>
      </c>
      <c r="E870" t="s">
        <v>8</v>
      </c>
      <c r="F870" t="s">
        <v>2302</v>
      </c>
      <c r="G870" t="s">
        <v>3225</v>
      </c>
      <c r="H870">
        <v>0</v>
      </c>
      <c r="I870">
        <v>2.4E-2</v>
      </c>
      <c r="J870">
        <v>71</v>
      </c>
    </row>
    <row r="871" spans="1:10" x14ac:dyDescent="0.2">
      <c r="A871" t="s">
        <v>680</v>
      </c>
      <c r="B871" t="s">
        <v>3226</v>
      </c>
      <c r="C871" t="s">
        <v>1506</v>
      </c>
      <c r="D871" t="s">
        <v>1507</v>
      </c>
      <c r="E871" t="s">
        <v>1523</v>
      </c>
      <c r="F871" t="s">
        <v>1985</v>
      </c>
      <c r="G871" t="s">
        <v>3227</v>
      </c>
      <c r="H871">
        <v>0</v>
      </c>
      <c r="I871">
        <v>2.3E-2</v>
      </c>
      <c r="J871">
        <v>72</v>
      </c>
    </row>
    <row r="872" spans="1:10" x14ac:dyDescent="0.2">
      <c r="A872" t="s">
        <v>680</v>
      </c>
      <c r="B872" t="s">
        <v>3228</v>
      </c>
      <c r="C872" t="s">
        <v>1506</v>
      </c>
      <c r="D872" t="s">
        <v>1507</v>
      </c>
      <c r="E872" t="s">
        <v>1523</v>
      </c>
      <c r="F872" t="s">
        <v>1985</v>
      </c>
      <c r="G872" t="s">
        <v>3229</v>
      </c>
      <c r="H872">
        <v>0</v>
      </c>
      <c r="I872">
        <v>2.3E-2</v>
      </c>
      <c r="J872">
        <v>72</v>
      </c>
    </row>
    <row r="873" spans="1:10" x14ac:dyDescent="0.2">
      <c r="A873" t="s">
        <v>680</v>
      </c>
      <c r="B873" t="s">
        <v>3230</v>
      </c>
      <c r="C873" t="s">
        <v>1506</v>
      </c>
      <c r="D873" t="s">
        <v>1507</v>
      </c>
      <c r="E873" t="s">
        <v>1523</v>
      </c>
      <c r="F873" t="s">
        <v>1985</v>
      </c>
      <c r="G873" t="s">
        <v>3231</v>
      </c>
      <c r="H873">
        <v>0</v>
      </c>
      <c r="I873">
        <v>2.3E-2</v>
      </c>
      <c r="J873">
        <v>72</v>
      </c>
    </row>
    <row r="874" spans="1:10" x14ac:dyDescent="0.2">
      <c r="A874" t="s">
        <v>680</v>
      </c>
      <c r="B874" t="s">
        <v>3232</v>
      </c>
      <c r="C874" t="s">
        <v>1506</v>
      </c>
      <c r="D874" t="s">
        <v>1507</v>
      </c>
      <c r="E874" t="s">
        <v>2428</v>
      </c>
      <c r="F874" t="s">
        <v>3233</v>
      </c>
      <c r="G874" t="s">
        <v>3234</v>
      </c>
      <c r="H874">
        <v>0</v>
      </c>
      <c r="I874">
        <v>2.3E-2</v>
      </c>
      <c r="J874">
        <v>72</v>
      </c>
    </row>
    <row r="875" spans="1:10" x14ac:dyDescent="0.2">
      <c r="A875" t="s">
        <v>680</v>
      </c>
      <c r="B875" t="s">
        <v>3235</v>
      </c>
      <c r="C875" t="s">
        <v>1506</v>
      </c>
      <c r="D875" t="s">
        <v>1507</v>
      </c>
      <c r="E875" t="s">
        <v>1519</v>
      </c>
      <c r="F875" t="s">
        <v>1520</v>
      </c>
      <c r="G875" t="s">
        <v>3236</v>
      </c>
      <c r="H875">
        <v>0</v>
      </c>
      <c r="I875">
        <v>2.1999999999999999E-2</v>
      </c>
      <c r="J875">
        <v>106</v>
      </c>
    </row>
    <row r="876" spans="1:10" x14ac:dyDescent="0.2">
      <c r="A876" t="s">
        <v>680</v>
      </c>
      <c r="B876" t="s">
        <v>3237</v>
      </c>
      <c r="C876" t="s">
        <v>1506</v>
      </c>
      <c r="D876" t="s">
        <v>1507</v>
      </c>
      <c r="E876" t="s">
        <v>1796</v>
      </c>
      <c r="F876" t="s">
        <v>2784</v>
      </c>
      <c r="G876" t="s">
        <v>3238</v>
      </c>
      <c r="H876">
        <v>0</v>
      </c>
      <c r="I876">
        <v>2.1999999999999999E-2</v>
      </c>
      <c r="J876">
        <v>71</v>
      </c>
    </row>
    <row r="877" spans="1:10" x14ac:dyDescent="0.2">
      <c r="A877" t="s">
        <v>680</v>
      </c>
      <c r="B877" t="s">
        <v>3239</v>
      </c>
      <c r="C877" t="s">
        <v>1506</v>
      </c>
      <c r="D877" t="s">
        <v>1507</v>
      </c>
      <c r="E877" t="s">
        <v>1658</v>
      </c>
      <c r="F877" t="s">
        <v>2381</v>
      </c>
      <c r="G877" t="s">
        <v>2650</v>
      </c>
      <c r="H877">
        <v>0</v>
      </c>
      <c r="I877">
        <v>2.1000000000000001E-2</v>
      </c>
      <c r="J877">
        <v>71</v>
      </c>
    </row>
    <row r="878" spans="1:10" x14ac:dyDescent="0.2">
      <c r="A878" t="s">
        <v>680</v>
      </c>
      <c r="B878" t="s">
        <v>3240</v>
      </c>
      <c r="C878" t="s">
        <v>1506</v>
      </c>
      <c r="D878" t="s">
        <v>3115</v>
      </c>
      <c r="E878" t="s">
        <v>3241</v>
      </c>
      <c r="F878" t="s">
        <v>3242</v>
      </c>
      <c r="G878" t="s">
        <v>3243</v>
      </c>
      <c r="H878">
        <v>0</v>
      </c>
      <c r="I878">
        <v>1.9E-2</v>
      </c>
      <c r="J878">
        <v>778</v>
      </c>
    </row>
    <row r="879" spans="1:10" x14ac:dyDescent="0.2">
      <c r="A879" t="s">
        <v>680</v>
      </c>
      <c r="B879" t="s">
        <v>3244</v>
      </c>
      <c r="C879" t="s">
        <v>1506</v>
      </c>
      <c r="D879" t="s">
        <v>1507</v>
      </c>
      <c r="E879" t="s">
        <v>2055</v>
      </c>
      <c r="F879" t="s">
        <v>3245</v>
      </c>
      <c r="G879" t="s">
        <v>3246</v>
      </c>
      <c r="H879">
        <v>0</v>
      </c>
      <c r="I879">
        <v>1.9E-2</v>
      </c>
      <c r="J879">
        <v>71</v>
      </c>
    </row>
    <row r="880" spans="1:10" x14ac:dyDescent="0.2">
      <c r="A880" t="s">
        <v>680</v>
      </c>
      <c r="B880" t="s">
        <v>3247</v>
      </c>
      <c r="C880" t="s">
        <v>1506</v>
      </c>
      <c r="D880" t="s">
        <v>1507</v>
      </c>
      <c r="E880" t="s">
        <v>2357</v>
      </c>
      <c r="F880" t="s">
        <v>3127</v>
      </c>
      <c r="G880" t="s">
        <v>3248</v>
      </c>
      <c r="H880">
        <v>0</v>
      </c>
      <c r="I880">
        <v>1.9E-2</v>
      </c>
      <c r="J880">
        <v>72</v>
      </c>
    </row>
    <row r="881" spans="1:10" x14ac:dyDescent="0.2">
      <c r="A881" t="s">
        <v>680</v>
      </c>
      <c r="B881" t="s">
        <v>3249</v>
      </c>
      <c r="C881" t="s">
        <v>1506</v>
      </c>
      <c r="D881" t="s">
        <v>1507</v>
      </c>
      <c r="E881" t="s">
        <v>2428</v>
      </c>
      <c r="F881" t="s">
        <v>3233</v>
      </c>
      <c r="G881" t="s">
        <v>3250</v>
      </c>
      <c r="H881">
        <v>0</v>
      </c>
      <c r="I881">
        <v>1.9E-2</v>
      </c>
      <c r="J881">
        <v>71</v>
      </c>
    </row>
    <row r="882" spans="1:10" x14ac:dyDescent="0.2">
      <c r="A882" t="s">
        <v>680</v>
      </c>
      <c r="B882" t="s">
        <v>3251</v>
      </c>
      <c r="C882" t="s">
        <v>1506</v>
      </c>
      <c r="D882" t="s">
        <v>1507</v>
      </c>
      <c r="E882" t="s">
        <v>1878</v>
      </c>
      <c r="F882" t="s">
        <v>1879</v>
      </c>
      <c r="G882" t="s">
        <v>3252</v>
      </c>
      <c r="H882">
        <v>0</v>
      </c>
      <c r="I882">
        <v>1.7999999999999999E-2</v>
      </c>
      <c r="J882">
        <v>734</v>
      </c>
    </row>
    <row r="883" spans="1:10" x14ac:dyDescent="0.2">
      <c r="A883" t="s">
        <v>680</v>
      </c>
      <c r="B883" t="s">
        <v>3253</v>
      </c>
      <c r="C883" t="s">
        <v>1506</v>
      </c>
      <c r="D883" t="s">
        <v>1507</v>
      </c>
      <c r="E883" t="s">
        <v>1625</v>
      </c>
      <c r="F883" t="s">
        <v>2664</v>
      </c>
      <c r="G883" t="s">
        <v>3254</v>
      </c>
      <c r="H883">
        <v>0</v>
      </c>
      <c r="I883">
        <v>1.7000000000000001E-2</v>
      </c>
      <c r="J883">
        <v>70</v>
      </c>
    </row>
    <row r="884" spans="1:10" x14ac:dyDescent="0.2">
      <c r="A884" t="s">
        <v>680</v>
      </c>
      <c r="B884" t="s">
        <v>3255</v>
      </c>
      <c r="C884" t="s">
        <v>1506</v>
      </c>
      <c r="D884" t="s">
        <v>1507</v>
      </c>
      <c r="E884" t="s">
        <v>1625</v>
      </c>
      <c r="F884" t="s">
        <v>2664</v>
      </c>
      <c r="G884" t="s">
        <v>3256</v>
      </c>
      <c r="H884">
        <v>0</v>
      </c>
      <c r="I884">
        <v>1.7000000000000001E-2</v>
      </c>
      <c r="J884">
        <v>70</v>
      </c>
    </row>
    <row r="885" spans="1:10" x14ac:dyDescent="0.2">
      <c r="A885" t="s">
        <v>680</v>
      </c>
      <c r="B885" t="s">
        <v>3257</v>
      </c>
      <c r="C885" t="s">
        <v>1506</v>
      </c>
      <c r="D885" t="s">
        <v>1817</v>
      </c>
      <c r="E885" t="s">
        <v>3258</v>
      </c>
      <c r="F885" t="s">
        <v>3259</v>
      </c>
      <c r="G885" t="s">
        <v>3260</v>
      </c>
      <c r="H885">
        <v>0</v>
      </c>
      <c r="I885">
        <v>1.6E-2</v>
      </c>
      <c r="J885">
        <v>580</v>
      </c>
    </row>
    <row r="886" spans="1:10" x14ac:dyDescent="0.2">
      <c r="A886" t="s">
        <v>680</v>
      </c>
      <c r="B886" t="s">
        <v>3261</v>
      </c>
      <c r="C886" t="s">
        <v>1506</v>
      </c>
      <c r="D886" t="s">
        <v>1507</v>
      </c>
      <c r="E886" t="s">
        <v>2472</v>
      </c>
      <c r="F886" t="s">
        <v>2473</v>
      </c>
      <c r="G886" t="s">
        <v>3262</v>
      </c>
      <c r="H886">
        <v>0</v>
      </c>
      <c r="I886">
        <v>1.6E-2</v>
      </c>
      <c r="J886">
        <v>71</v>
      </c>
    </row>
    <row r="887" spans="1:10" x14ac:dyDescent="0.2">
      <c r="A887" t="s">
        <v>680</v>
      </c>
      <c r="B887" t="s">
        <v>3263</v>
      </c>
      <c r="C887" t="s">
        <v>1506</v>
      </c>
      <c r="D887" t="s">
        <v>1817</v>
      </c>
      <c r="E887" t="s">
        <v>3258</v>
      </c>
      <c r="F887" t="s">
        <v>3259</v>
      </c>
      <c r="G887" t="s">
        <v>3264</v>
      </c>
      <c r="H887">
        <v>0</v>
      </c>
      <c r="I887">
        <v>1.6E-2</v>
      </c>
      <c r="J887">
        <v>580</v>
      </c>
    </row>
    <row r="888" spans="1:10" x14ac:dyDescent="0.2">
      <c r="A888" t="s">
        <v>680</v>
      </c>
      <c r="B888" t="s">
        <v>3265</v>
      </c>
      <c r="C888" t="s">
        <v>1506</v>
      </c>
      <c r="D888" t="s">
        <v>1507</v>
      </c>
      <c r="E888" t="s">
        <v>1508</v>
      </c>
      <c r="F888" t="s">
        <v>1509</v>
      </c>
      <c r="G888" t="s">
        <v>3266</v>
      </c>
      <c r="H888">
        <v>0</v>
      </c>
      <c r="I888">
        <v>1.2E-2</v>
      </c>
      <c r="J888">
        <v>71</v>
      </c>
    </row>
    <row r="889" spans="1:10" x14ac:dyDescent="0.2">
      <c r="A889" t="s">
        <v>680</v>
      </c>
      <c r="B889" t="s">
        <v>2799</v>
      </c>
      <c r="C889" t="s">
        <v>1506</v>
      </c>
      <c r="D889" t="s">
        <v>1507</v>
      </c>
      <c r="E889" t="s">
        <v>1508</v>
      </c>
      <c r="F889" t="s">
        <v>1509</v>
      </c>
      <c r="G889" t="s">
        <v>2800</v>
      </c>
      <c r="H889">
        <v>0</v>
      </c>
      <c r="I889">
        <v>1.2E-2</v>
      </c>
      <c r="J889">
        <v>72</v>
      </c>
    </row>
    <row r="890" spans="1:10" x14ac:dyDescent="0.2">
      <c r="A890" t="s">
        <v>680</v>
      </c>
      <c r="B890" t="s">
        <v>2378</v>
      </c>
      <c r="C890" t="s">
        <v>1506</v>
      </c>
      <c r="D890" t="s">
        <v>1507</v>
      </c>
      <c r="E890" t="s">
        <v>1508</v>
      </c>
      <c r="F890" t="s">
        <v>1509</v>
      </c>
      <c r="G890" t="s">
        <v>2379</v>
      </c>
      <c r="H890">
        <v>0</v>
      </c>
      <c r="I890">
        <v>1.2E-2</v>
      </c>
      <c r="J890">
        <v>72</v>
      </c>
    </row>
    <row r="891" spans="1:10" x14ac:dyDescent="0.2">
      <c r="A891" t="s">
        <v>680</v>
      </c>
      <c r="B891" t="s">
        <v>3267</v>
      </c>
      <c r="C891" t="s">
        <v>1506</v>
      </c>
      <c r="D891" t="s">
        <v>1507</v>
      </c>
      <c r="E891" t="s">
        <v>1508</v>
      </c>
      <c r="F891" t="s">
        <v>1509</v>
      </c>
      <c r="G891" t="s">
        <v>26</v>
      </c>
      <c r="H891">
        <v>0</v>
      </c>
      <c r="I891">
        <v>1.2E-2</v>
      </c>
      <c r="J891">
        <v>73</v>
      </c>
    </row>
    <row r="892" spans="1:10" x14ac:dyDescent="0.2">
      <c r="A892" t="s">
        <v>680</v>
      </c>
      <c r="B892" t="s">
        <v>62</v>
      </c>
      <c r="C892" t="s">
        <v>1506</v>
      </c>
      <c r="D892" t="s">
        <v>1507</v>
      </c>
      <c r="E892" t="s">
        <v>1508</v>
      </c>
      <c r="F892" t="s">
        <v>1509</v>
      </c>
      <c r="G892" t="s">
        <v>63</v>
      </c>
      <c r="H892">
        <v>0</v>
      </c>
      <c r="I892">
        <v>1.2E-2</v>
      </c>
      <c r="J892">
        <v>73</v>
      </c>
    </row>
    <row r="893" spans="1:10" x14ac:dyDescent="0.2">
      <c r="A893" t="s">
        <v>680</v>
      </c>
      <c r="B893" t="s">
        <v>59</v>
      </c>
      <c r="C893" t="s">
        <v>1506</v>
      </c>
      <c r="D893" t="s">
        <v>1507</v>
      </c>
      <c r="E893" t="s">
        <v>1508</v>
      </c>
      <c r="F893" t="s">
        <v>1509</v>
      </c>
      <c r="G893" t="s">
        <v>57</v>
      </c>
      <c r="H893">
        <v>0</v>
      </c>
      <c r="I893">
        <v>1.2E-2</v>
      </c>
      <c r="J893">
        <v>73</v>
      </c>
    </row>
    <row r="894" spans="1:10" x14ac:dyDescent="0.2">
      <c r="A894" t="s">
        <v>680</v>
      </c>
      <c r="B894" t="s">
        <v>2038</v>
      </c>
      <c r="C894" t="s">
        <v>1506</v>
      </c>
      <c r="D894" t="s">
        <v>1507</v>
      </c>
      <c r="E894" t="s">
        <v>1508</v>
      </c>
      <c r="F894" t="s">
        <v>1509</v>
      </c>
      <c r="G894" t="s">
        <v>2039</v>
      </c>
      <c r="H894">
        <v>0</v>
      </c>
      <c r="I894">
        <v>1.2E-2</v>
      </c>
      <c r="J894">
        <v>662</v>
      </c>
    </row>
    <row r="895" spans="1:10" x14ac:dyDescent="0.2">
      <c r="A895" t="s">
        <v>680</v>
      </c>
      <c r="B895" t="s">
        <v>2097</v>
      </c>
      <c r="C895" t="s">
        <v>1506</v>
      </c>
      <c r="D895" t="s">
        <v>1507</v>
      </c>
      <c r="E895" t="s">
        <v>1523</v>
      </c>
      <c r="F895" t="s">
        <v>2089</v>
      </c>
      <c r="G895" t="s">
        <v>2098</v>
      </c>
      <c r="H895">
        <v>0</v>
      </c>
      <c r="I895">
        <v>1.2E-2</v>
      </c>
      <c r="J895">
        <v>72</v>
      </c>
    </row>
    <row r="896" spans="1:10" x14ac:dyDescent="0.2">
      <c r="A896" t="s">
        <v>680</v>
      </c>
      <c r="B896" t="s">
        <v>3268</v>
      </c>
      <c r="C896" t="s">
        <v>1506</v>
      </c>
      <c r="D896" t="s">
        <v>1507</v>
      </c>
      <c r="E896" t="s">
        <v>1586</v>
      </c>
      <c r="F896" t="s">
        <v>2409</v>
      </c>
      <c r="G896" t="s">
        <v>3269</v>
      </c>
      <c r="H896">
        <v>0</v>
      </c>
      <c r="I896">
        <v>1.0999999999999999E-2</v>
      </c>
      <c r="J896">
        <v>72</v>
      </c>
    </row>
    <row r="897" spans="1:10" x14ac:dyDescent="0.2">
      <c r="A897" t="s">
        <v>680</v>
      </c>
      <c r="B897" t="s">
        <v>3270</v>
      </c>
      <c r="C897" t="s">
        <v>1506</v>
      </c>
      <c r="D897" t="s">
        <v>1507</v>
      </c>
      <c r="E897" t="s">
        <v>1940</v>
      </c>
      <c r="F897" t="s">
        <v>3271</v>
      </c>
      <c r="G897" t="s">
        <v>3272</v>
      </c>
      <c r="H897">
        <v>0</v>
      </c>
      <c r="I897">
        <v>8.9999999999999993E-3</v>
      </c>
      <c r="J897">
        <v>72</v>
      </c>
    </row>
    <row r="898" spans="1:10" x14ac:dyDescent="0.2">
      <c r="A898" t="s">
        <v>680</v>
      </c>
      <c r="B898" t="s">
        <v>1987</v>
      </c>
      <c r="C898" t="s">
        <v>1506</v>
      </c>
      <c r="D898" t="s">
        <v>1507</v>
      </c>
      <c r="E898" t="s">
        <v>1633</v>
      </c>
      <c r="F898" t="s">
        <v>1832</v>
      </c>
      <c r="G898" t="s">
        <v>1988</v>
      </c>
      <c r="H898">
        <v>0</v>
      </c>
      <c r="I898">
        <v>8.9999999999999993E-3</v>
      </c>
      <c r="J898">
        <v>72</v>
      </c>
    </row>
    <row r="899" spans="1:10" x14ac:dyDescent="0.2">
      <c r="A899" t="s">
        <v>680</v>
      </c>
      <c r="B899" t="s">
        <v>3273</v>
      </c>
      <c r="C899" t="s">
        <v>1506</v>
      </c>
      <c r="D899" t="s">
        <v>1507</v>
      </c>
      <c r="E899" t="s">
        <v>1907</v>
      </c>
      <c r="F899" t="s">
        <v>3274</v>
      </c>
      <c r="G899" t="s">
        <v>3275</v>
      </c>
      <c r="H899">
        <v>0</v>
      </c>
      <c r="I899">
        <v>8.9999999999999993E-3</v>
      </c>
      <c r="J899">
        <v>74</v>
      </c>
    </row>
    <row r="900" spans="1:10" x14ac:dyDescent="0.2">
      <c r="A900" t="s">
        <v>680</v>
      </c>
      <c r="B900" t="s">
        <v>3276</v>
      </c>
      <c r="C900" t="s">
        <v>1506</v>
      </c>
      <c r="D900" t="s">
        <v>1507</v>
      </c>
      <c r="E900" t="s">
        <v>8</v>
      </c>
      <c r="F900" t="s">
        <v>2302</v>
      </c>
      <c r="G900" t="s">
        <v>3277</v>
      </c>
      <c r="H900">
        <v>0</v>
      </c>
      <c r="I900">
        <v>7.0000000000000001E-3</v>
      </c>
      <c r="J900">
        <v>71</v>
      </c>
    </row>
    <row r="901" spans="1:10" x14ac:dyDescent="0.2">
      <c r="A901" t="s">
        <v>680</v>
      </c>
      <c r="B901" t="s">
        <v>3278</v>
      </c>
      <c r="C901" t="s">
        <v>1506</v>
      </c>
      <c r="D901" t="s">
        <v>1507</v>
      </c>
      <c r="E901" t="s">
        <v>1508</v>
      </c>
      <c r="F901" t="s">
        <v>1509</v>
      </c>
      <c r="G901" t="s">
        <v>50</v>
      </c>
      <c r="H901">
        <v>0</v>
      </c>
      <c r="I901">
        <v>7.0000000000000001E-3</v>
      </c>
      <c r="J901">
        <v>748</v>
      </c>
    </row>
    <row r="902" spans="1:10" x14ac:dyDescent="0.2">
      <c r="A902" t="s">
        <v>680</v>
      </c>
      <c r="B902" t="s">
        <v>3279</v>
      </c>
      <c r="C902" t="s">
        <v>1506</v>
      </c>
      <c r="D902" t="s">
        <v>1507</v>
      </c>
      <c r="E902" t="s">
        <v>3280</v>
      </c>
      <c r="F902" t="s">
        <v>3281</v>
      </c>
      <c r="G902" t="s">
        <v>3282</v>
      </c>
      <c r="H902">
        <v>0</v>
      </c>
      <c r="I902">
        <v>7.0000000000000001E-3</v>
      </c>
      <c r="J902">
        <v>71</v>
      </c>
    </row>
    <row r="903" spans="1:10" x14ac:dyDescent="0.2">
      <c r="A903" t="s">
        <v>680</v>
      </c>
      <c r="B903" t="s">
        <v>3283</v>
      </c>
      <c r="C903" t="s">
        <v>1506</v>
      </c>
      <c r="D903" t="s">
        <v>1507</v>
      </c>
      <c r="E903" t="s">
        <v>1508</v>
      </c>
      <c r="F903" t="s">
        <v>1509</v>
      </c>
      <c r="G903" t="s">
        <v>3284</v>
      </c>
      <c r="H903">
        <v>0</v>
      </c>
      <c r="I903">
        <v>7.0000000000000001E-3</v>
      </c>
      <c r="J903">
        <v>73</v>
      </c>
    </row>
    <row r="904" spans="1:10" x14ac:dyDescent="0.2">
      <c r="A904" t="s">
        <v>680</v>
      </c>
      <c r="B904" t="s">
        <v>47</v>
      </c>
      <c r="C904" t="s">
        <v>1506</v>
      </c>
      <c r="D904" t="s">
        <v>1507</v>
      </c>
      <c r="E904" t="s">
        <v>1508</v>
      </c>
      <c r="F904" t="s">
        <v>1509</v>
      </c>
      <c r="G904" t="s">
        <v>46</v>
      </c>
      <c r="H904">
        <v>0</v>
      </c>
      <c r="I904">
        <v>7.0000000000000001E-3</v>
      </c>
      <c r="J904">
        <v>748</v>
      </c>
    </row>
    <row r="905" spans="1:10" x14ac:dyDescent="0.2">
      <c r="A905" t="s">
        <v>680</v>
      </c>
      <c r="B905" t="s">
        <v>3285</v>
      </c>
      <c r="C905" t="s">
        <v>1506</v>
      </c>
      <c r="D905" t="s">
        <v>1507</v>
      </c>
      <c r="E905" t="s">
        <v>8</v>
      </c>
      <c r="F905" t="s">
        <v>2302</v>
      </c>
      <c r="G905" t="s">
        <v>3286</v>
      </c>
      <c r="H905">
        <v>0</v>
      </c>
      <c r="I905">
        <v>7.0000000000000001E-3</v>
      </c>
      <c r="J905">
        <v>153</v>
      </c>
    </row>
    <row r="906" spans="1:10" x14ac:dyDescent="0.2">
      <c r="A906" t="s">
        <v>680</v>
      </c>
      <c r="B906" t="s">
        <v>3287</v>
      </c>
      <c r="C906" t="s">
        <v>1506</v>
      </c>
      <c r="D906" t="s">
        <v>1507</v>
      </c>
      <c r="E906" t="s">
        <v>1508</v>
      </c>
      <c r="F906" t="s">
        <v>1509</v>
      </c>
      <c r="G906" t="s">
        <v>1998</v>
      </c>
      <c r="H906">
        <v>0</v>
      </c>
      <c r="I906">
        <v>6.0000000000000001E-3</v>
      </c>
      <c r="J906">
        <v>73</v>
      </c>
    </row>
    <row r="907" spans="1:10" x14ac:dyDescent="0.2">
      <c r="A907" t="s">
        <v>680</v>
      </c>
      <c r="B907" t="s">
        <v>3288</v>
      </c>
      <c r="C907" t="s">
        <v>1506</v>
      </c>
      <c r="D907" t="s">
        <v>1507</v>
      </c>
      <c r="E907" t="s">
        <v>1895</v>
      </c>
      <c r="F907" t="s">
        <v>3289</v>
      </c>
      <c r="G907" t="s">
        <v>3290</v>
      </c>
      <c r="H907">
        <v>0</v>
      </c>
      <c r="I907">
        <v>6.0000000000000001E-3</v>
      </c>
      <c r="J907">
        <v>71</v>
      </c>
    </row>
    <row r="908" spans="1:10" x14ac:dyDescent="0.2">
      <c r="A908" t="s">
        <v>680</v>
      </c>
      <c r="B908" t="s">
        <v>2441</v>
      </c>
      <c r="C908" t="s">
        <v>1506</v>
      </c>
      <c r="D908" t="s">
        <v>1507</v>
      </c>
      <c r="E908" t="s">
        <v>1907</v>
      </c>
      <c r="F908" t="s">
        <v>2442</v>
      </c>
      <c r="G908" t="s">
        <v>2443</v>
      </c>
      <c r="H908">
        <v>0</v>
      </c>
      <c r="I908">
        <v>6.0000000000000001E-3</v>
      </c>
      <c r="J908">
        <v>71</v>
      </c>
    </row>
    <row r="909" spans="1:10" x14ac:dyDescent="0.2">
      <c r="A909" t="s">
        <v>680</v>
      </c>
      <c r="B909" t="s">
        <v>3291</v>
      </c>
      <c r="C909" t="s">
        <v>1506</v>
      </c>
      <c r="D909" t="s">
        <v>1507</v>
      </c>
      <c r="E909" t="s">
        <v>3111</v>
      </c>
      <c r="F909" t="s">
        <v>3112</v>
      </c>
      <c r="G909" t="s">
        <v>3292</v>
      </c>
      <c r="H909">
        <v>0</v>
      </c>
      <c r="I909">
        <v>6.0000000000000001E-3</v>
      </c>
      <c r="J909">
        <v>491</v>
      </c>
    </row>
    <row r="910" spans="1:10" x14ac:dyDescent="0.2">
      <c r="A910" t="s">
        <v>680</v>
      </c>
      <c r="B910" t="s">
        <v>3293</v>
      </c>
      <c r="C910" t="s">
        <v>1506</v>
      </c>
      <c r="D910" t="s">
        <v>1507</v>
      </c>
      <c r="E910" t="s">
        <v>3111</v>
      </c>
      <c r="F910" t="s">
        <v>3112</v>
      </c>
      <c r="G910" t="s">
        <v>3294</v>
      </c>
      <c r="H910">
        <v>0</v>
      </c>
      <c r="I910">
        <v>6.0000000000000001E-3</v>
      </c>
      <c r="J910">
        <v>72</v>
      </c>
    </row>
    <row r="911" spans="1:10" x14ac:dyDescent="0.2">
      <c r="A911" t="s">
        <v>680</v>
      </c>
      <c r="B911" t="s">
        <v>3295</v>
      </c>
      <c r="C911" t="s">
        <v>1506</v>
      </c>
      <c r="D911" t="s">
        <v>1507</v>
      </c>
      <c r="E911" t="s">
        <v>1907</v>
      </c>
      <c r="F911" t="s">
        <v>3296</v>
      </c>
      <c r="G911" t="s">
        <v>3297</v>
      </c>
      <c r="H911">
        <v>0</v>
      </c>
      <c r="I911">
        <v>6.0000000000000001E-3</v>
      </c>
      <c r="J911">
        <v>72</v>
      </c>
    </row>
    <row r="912" spans="1:10" x14ac:dyDescent="0.2">
      <c r="A912" t="s">
        <v>680</v>
      </c>
      <c r="B912" t="s">
        <v>3298</v>
      </c>
      <c r="C912" t="s">
        <v>1506</v>
      </c>
      <c r="D912" t="s">
        <v>3115</v>
      </c>
      <c r="E912" t="s">
        <v>3299</v>
      </c>
      <c r="F912" t="s">
        <v>3300</v>
      </c>
      <c r="G912" t="s">
        <v>3301</v>
      </c>
      <c r="H912">
        <v>0</v>
      </c>
      <c r="I912">
        <v>5.0000000000000001E-3</v>
      </c>
      <c r="J912">
        <v>415</v>
      </c>
    </row>
    <row r="913" spans="1:10" x14ac:dyDescent="0.2">
      <c r="A913" t="s">
        <v>680</v>
      </c>
      <c r="B913" t="s">
        <v>3302</v>
      </c>
      <c r="C913" t="s">
        <v>1506</v>
      </c>
      <c r="D913" t="s">
        <v>1507</v>
      </c>
      <c r="E913" t="s">
        <v>1796</v>
      </c>
      <c r="F913" t="s">
        <v>1797</v>
      </c>
      <c r="G913" t="s">
        <v>3303</v>
      </c>
      <c r="H913">
        <v>0</v>
      </c>
      <c r="I913">
        <v>4.0000000000000001E-3</v>
      </c>
      <c r="J913">
        <v>73</v>
      </c>
    </row>
    <row r="914" spans="1:10" x14ac:dyDescent="0.2">
      <c r="A914" t="s">
        <v>680</v>
      </c>
      <c r="B914" t="s">
        <v>3304</v>
      </c>
      <c r="C914" t="s">
        <v>1506</v>
      </c>
      <c r="D914" t="s">
        <v>1507</v>
      </c>
      <c r="E914" t="s">
        <v>1544</v>
      </c>
      <c r="F914" t="s">
        <v>1705</v>
      </c>
      <c r="G914" t="s">
        <v>3305</v>
      </c>
      <c r="H914">
        <v>0</v>
      </c>
      <c r="I914">
        <v>4.0000000000000001E-3</v>
      </c>
      <c r="J914">
        <v>72</v>
      </c>
    </row>
    <row r="915" spans="1:10" x14ac:dyDescent="0.2">
      <c r="A915" t="s">
        <v>680</v>
      </c>
      <c r="B915" t="s">
        <v>3306</v>
      </c>
      <c r="C915" t="s">
        <v>1506</v>
      </c>
      <c r="D915" t="s">
        <v>1507</v>
      </c>
      <c r="E915" t="s">
        <v>8</v>
      </c>
      <c r="F915" t="s">
        <v>1575</v>
      </c>
      <c r="G915" t="s">
        <v>3307</v>
      </c>
      <c r="H915">
        <v>0</v>
      </c>
      <c r="I915">
        <v>4.0000000000000001E-3</v>
      </c>
      <c r="J915">
        <v>72</v>
      </c>
    </row>
    <row r="916" spans="1:10" x14ac:dyDescent="0.2">
      <c r="A916" t="s">
        <v>680</v>
      </c>
      <c r="B916" t="s">
        <v>3308</v>
      </c>
      <c r="C916" t="s">
        <v>1506</v>
      </c>
      <c r="D916" t="s">
        <v>1507</v>
      </c>
      <c r="E916" t="s">
        <v>8</v>
      </c>
      <c r="F916" t="s">
        <v>1575</v>
      </c>
      <c r="G916" t="s">
        <v>3309</v>
      </c>
      <c r="H916">
        <v>0</v>
      </c>
      <c r="I916">
        <v>4.0000000000000001E-3</v>
      </c>
      <c r="J916">
        <v>72</v>
      </c>
    </row>
    <row r="917" spans="1:10" x14ac:dyDescent="0.2">
      <c r="A917" t="s">
        <v>680</v>
      </c>
      <c r="B917" t="s">
        <v>3310</v>
      </c>
      <c r="C917" t="s">
        <v>1506</v>
      </c>
      <c r="D917" t="s">
        <v>1507</v>
      </c>
      <c r="E917" t="s">
        <v>8</v>
      </c>
      <c r="F917" t="s">
        <v>1578</v>
      </c>
      <c r="G917" t="s">
        <v>3311</v>
      </c>
      <c r="H917">
        <v>0</v>
      </c>
      <c r="I917">
        <v>4.0000000000000001E-3</v>
      </c>
      <c r="J917">
        <v>71</v>
      </c>
    </row>
    <row r="918" spans="1:10" x14ac:dyDescent="0.2">
      <c r="A918" t="s">
        <v>680</v>
      </c>
      <c r="B918" t="s">
        <v>3312</v>
      </c>
      <c r="C918" t="s">
        <v>1506</v>
      </c>
      <c r="D918" t="s">
        <v>1507</v>
      </c>
      <c r="E918" t="s">
        <v>2078</v>
      </c>
      <c r="F918" t="s">
        <v>3313</v>
      </c>
      <c r="G918" t="s">
        <v>3314</v>
      </c>
      <c r="H918">
        <v>0</v>
      </c>
      <c r="I918">
        <v>4.0000000000000001E-3</v>
      </c>
      <c r="J918">
        <v>73</v>
      </c>
    </row>
    <row r="919" spans="1:10" x14ac:dyDescent="0.2">
      <c r="A919" t="s">
        <v>680</v>
      </c>
      <c r="B919" t="s">
        <v>3315</v>
      </c>
      <c r="C919" t="s">
        <v>1506</v>
      </c>
      <c r="D919" t="s">
        <v>1507</v>
      </c>
      <c r="E919" t="s">
        <v>2078</v>
      </c>
      <c r="F919" t="s">
        <v>3313</v>
      </c>
      <c r="G919" t="s">
        <v>3316</v>
      </c>
      <c r="H919">
        <v>0</v>
      </c>
      <c r="I919">
        <v>4.0000000000000001E-3</v>
      </c>
      <c r="J919">
        <v>73</v>
      </c>
    </row>
    <row r="920" spans="1:10" x14ac:dyDescent="0.2">
      <c r="A920" t="s">
        <v>680</v>
      </c>
      <c r="B920" t="s">
        <v>3317</v>
      </c>
      <c r="C920" t="s">
        <v>1506</v>
      </c>
      <c r="D920" t="s">
        <v>1507</v>
      </c>
      <c r="E920" t="s">
        <v>1508</v>
      </c>
      <c r="F920" t="s">
        <v>1509</v>
      </c>
      <c r="G920" t="s">
        <v>3318</v>
      </c>
      <c r="H920">
        <v>0</v>
      </c>
      <c r="I920">
        <v>4.0000000000000001E-3</v>
      </c>
      <c r="J920">
        <v>73</v>
      </c>
    </row>
    <row r="921" spans="1:10" x14ac:dyDescent="0.2">
      <c r="A921" t="s">
        <v>680</v>
      </c>
      <c r="B921" t="s">
        <v>3319</v>
      </c>
      <c r="C921" t="s">
        <v>1506</v>
      </c>
      <c r="D921" t="s">
        <v>1507</v>
      </c>
      <c r="E921" t="s">
        <v>3111</v>
      </c>
      <c r="F921" t="s">
        <v>3112</v>
      </c>
      <c r="G921" t="s">
        <v>3320</v>
      </c>
      <c r="H921">
        <v>0</v>
      </c>
      <c r="I921">
        <v>4.0000000000000001E-3</v>
      </c>
      <c r="J921">
        <v>176</v>
      </c>
    </row>
    <row r="922" spans="1:10" x14ac:dyDescent="0.2">
      <c r="A922" t="s">
        <v>680</v>
      </c>
      <c r="B922" t="s">
        <v>3321</v>
      </c>
      <c r="C922" t="s">
        <v>1506</v>
      </c>
      <c r="D922" t="s">
        <v>1507</v>
      </c>
      <c r="E922" t="s">
        <v>1508</v>
      </c>
      <c r="F922" t="s">
        <v>1509</v>
      </c>
      <c r="G922" t="s">
        <v>3322</v>
      </c>
      <c r="H922">
        <v>0</v>
      </c>
      <c r="I922">
        <v>4.0000000000000001E-3</v>
      </c>
      <c r="J922">
        <v>73</v>
      </c>
    </row>
    <row r="923" spans="1:10" x14ac:dyDescent="0.2">
      <c r="A923" t="s">
        <v>680</v>
      </c>
      <c r="B923" t="s">
        <v>3323</v>
      </c>
      <c r="C923" t="s">
        <v>1506</v>
      </c>
      <c r="D923" t="s">
        <v>1507</v>
      </c>
      <c r="E923" t="s">
        <v>1696</v>
      </c>
      <c r="F923" t="s">
        <v>1697</v>
      </c>
      <c r="G923" t="s">
        <v>3324</v>
      </c>
      <c r="H923">
        <v>0</v>
      </c>
      <c r="I923">
        <v>3.0000000000000001E-3</v>
      </c>
      <c r="J923">
        <v>72</v>
      </c>
    </row>
    <row r="924" spans="1:10" x14ac:dyDescent="0.2">
      <c r="A924" t="s">
        <v>680</v>
      </c>
      <c r="B924" t="s">
        <v>1861</v>
      </c>
      <c r="C924" t="s">
        <v>1506</v>
      </c>
      <c r="D924" t="s">
        <v>1507</v>
      </c>
      <c r="E924" t="s">
        <v>1696</v>
      </c>
      <c r="F924" t="s">
        <v>1697</v>
      </c>
      <c r="G924" t="s">
        <v>1862</v>
      </c>
      <c r="H924">
        <v>0</v>
      </c>
      <c r="I924">
        <v>3.0000000000000001E-3</v>
      </c>
      <c r="J924">
        <v>71</v>
      </c>
    </row>
    <row r="925" spans="1:10" x14ac:dyDescent="0.2">
      <c r="A925" t="s">
        <v>680</v>
      </c>
      <c r="B925" t="s">
        <v>2372</v>
      </c>
      <c r="C925" t="s">
        <v>1506</v>
      </c>
      <c r="D925" t="s">
        <v>1507</v>
      </c>
      <c r="E925" t="s">
        <v>1633</v>
      </c>
      <c r="F925" t="s">
        <v>1832</v>
      </c>
      <c r="G925" t="s">
        <v>2373</v>
      </c>
      <c r="H925">
        <v>0</v>
      </c>
      <c r="I925">
        <v>3.0000000000000001E-3</v>
      </c>
      <c r="J925">
        <v>741</v>
      </c>
    </row>
    <row r="926" spans="1:10" x14ac:dyDescent="0.2">
      <c r="A926" t="s">
        <v>680</v>
      </c>
      <c r="B926" t="s">
        <v>1883</v>
      </c>
      <c r="C926" t="s">
        <v>1506</v>
      </c>
      <c r="D926" t="s">
        <v>1507</v>
      </c>
      <c r="E926" t="s">
        <v>8</v>
      </c>
      <c r="F926" t="s">
        <v>1575</v>
      </c>
      <c r="G926" t="s">
        <v>1884</v>
      </c>
      <c r="H926">
        <v>0</v>
      </c>
      <c r="I926">
        <v>3.0000000000000001E-3</v>
      </c>
      <c r="J926">
        <v>72</v>
      </c>
    </row>
    <row r="927" spans="1:10" x14ac:dyDescent="0.2">
      <c r="A927" t="s">
        <v>680</v>
      </c>
      <c r="B927" t="s">
        <v>1849</v>
      </c>
      <c r="C927" t="s">
        <v>1506</v>
      </c>
      <c r="D927" t="s">
        <v>1507</v>
      </c>
      <c r="E927" t="s">
        <v>8</v>
      </c>
      <c r="F927" t="s">
        <v>1575</v>
      </c>
      <c r="G927" t="s">
        <v>1850</v>
      </c>
      <c r="H927">
        <v>0</v>
      </c>
      <c r="I927">
        <v>3.0000000000000001E-3</v>
      </c>
      <c r="J927">
        <v>72</v>
      </c>
    </row>
    <row r="928" spans="1:10" x14ac:dyDescent="0.2">
      <c r="A928" t="s">
        <v>680</v>
      </c>
      <c r="B928" t="s">
        <v>1851</v>
      </c>
      <c r="C928" t="s">
        <v>1506</v>
      </c>
      <c r="D928" t="s">
        <v>1507</v>
      </c>
      <c r="E928" t="s">
        <v>8</v>
      </c>
      <c r="F928" t="s">
        <v>1575</v>
      </c>
      <c r="G928" t="s">
        <v>1852</v>
      </c>
      <c r="H928">
        <v>0</v>
      </c>
      <c r="I928">
        <v>3.0000000000000001E-3</v>
      </c>
      <c r="J928">
        <v>72</v>
      </c>
    </row>
    <row r="929" spans="1:10" x14ac:dyDescent="0.2">
      <c r="A929" t="s">
        <v>680</v>
      </c>
      <c r="B929" t="s">
        <v>1989</v>
      </c>
      <c r="C929" t="s">
        <v>1506</v>
      </c>
      <c r="D929" t="s">
        <v>1507</v>
      </c>
      <c r="E929" t="s">
        <v>1571</v>
      </c>
      <c r="F929" t="s">
        <v>1572</v>
      </c>
      <c r="G929" t="s">
        <v>1990</v>
      </c>
      <c r="H929">
        <v>0</v>
      </c>
      <c r="I929">
        <v>3.0000000000000001E-3</v>
      </c>
      <c r="J929">
        <v>71</v>
      </c>
    </row>
    <row r="930" spans="1:10" x14ac:dyDescent="0.2">
      <c r="A930" t="s">
        <v>680</v>
      </c>
      <c r="B930" t="s">
        <v>3325</v>
      </c>
      <c r="C930" t="s">
        <v>1506</v>
      </c>
      <c r="D930" t="s">
        <v>1507</v>
      </c>
      <c r="E930" t="s">
        <v>2078</v>
      </c>
      <c r="F930" t="s">
        <v>2079</v>
      </c>
      <c r="G930" t="s">
        <v>2080</v>
      </c>
      <c r="H930">
        <v>0</v>
      </c>
      <c r="I930">
        <v>3.0000000000000001E-3</v>
      </c>
      <c r="J930">
        <v>303</v>
      </c>
    </row>
    <row r="931" spans="1:10" x14ac:dyDescent="0.2">
      <c r="A931" t="s">
        <v>680</v>
      </c>
      <c r="B931" t="s">
        <v>3326</v>
      </c>
      <c r="C931" t="s">
        <v>1506</v>
      </c>
      <c r="D931" t="s">
        <v>1507</v>
      </c>
      <c r="E931" t="s">
        <v>1519</v>
      </c>
      <c r="F931" t="s">
        <v>1520</v>
      </c>
      <c r="G931" t="s">
        <v>3327</v>
      </c>
      <c r="H931">
        <v>0</v>
      </c>
      <c r="I931">
        <v>3.0000000000000001E-3</v>
      </c>
      <c r="J931">
        <v>71</v>
      </c>
    </row>
    <row r="932" spans="1:10" x14ac:dyDescent="0.2">
      <c r="A932" t="s">
        <v>680</v>
      </c>
      <c r="B932" t="s">
        <v>3328</v>
      </c>
      <c r="C932" t="s">
        <v>1506</v>
      </c>
      <c r="D932" t="s">
        <v>1507</v>
      </c>
      <c r="E932" t="s">
        <v>1519</v>
      </c>
      <c r="F932" t="s">
        <v>1520</v>
      </c>
      <c r="G932" t="s">
        <v>3329</v>
      </c>
      <c r="H932">
        <v>0</v>
      </c>
      <c r="I932">
        <v>3.0000000000000001E-3</v>
      </c>
      <c r="J932">
        <v>71</v>
      </c>
    </row>
    <row r="933" spans="1:10" x14ac:dyDescent="0.2">
      <c r="A933" t="s">
        <v>680</v>
      </c>
      <c r="B933" t="s">
        <v>3330</v>
      </c>
      <c r="C933" t="s">
        <v>1506</v>
      </c>
      <c r="D933" t="s">
        <v>1507</v>
      </c>
      <c r="E933" t="s">
        <v>1523</v>
      </c>
      <c r="F933" t="s">
        <v>2020</v>
      </c>
      <c r="G933" t="s">
        <v>3331</v>
      </c>
      <c r="H933">
        <v>0</v>
      </c>
      <c r="I933">
        <v>3.0000000000000001E-3</v>
      </c>
      <c r="J933">
        <v>72</v>
      </c>
    </row>
    <row r="934" spans="1:10" x14ac:dyDescent="0.2">
      <c r="A934" t="s">
        <v>680</v>
      </c>
      <c r="B934" t="s">
        <v>3332</v>
      </c>
      <c r="C934" t="s">
        <v>1506</v>
      </c>
      <c r="D934" t="s">
        <v>1741</v>
      </c>
      <c r="E934" t="s">
        <v>1742</v>
      </c>
      <c r="F934" t="s">
        <v>3333</v>
      </c>
      <c r="G934" t="s">
        <v>3334</v>
      </c>
      <c r="H934">
        <v>0</v>
      </c>
      <c r="I934">
        <v>3.0000000000000001E-3</v>
      </c>
      <c r="J934">
        <v>72</v>
      </c>
    </row>
    <row r="935" spans="1:10" x14ac:dyDescent="0.2">
      <c r="A935" t="s">
        <v>680</v>
      </c>
      <c r="B935" t="s">
        <v>3335</v>
      </c>
      <c r="C935" t="s">
        <v>1506</v>
      </c>
      <c r="D935" t="s">
        <v>1507</v>
      </c>
      <c r="E935" t="s">
        <v>1658</v>
      </c>
      <c r="F935" t="s">
        <v>2026</v>
      </c>
      <c r="G935" t="s">
        <v>3336</v>
      </c>
      <c r="H935">
        <v>0</v>
      </c>
      <c r="I935">
        <v>3.0000000000000001E-3</v>
      </c>
      <c r="J935">
        <v>72</v>
      </c>
    </row>
    <row r="936" spans="1:10" x14ac:dyDescent="0.2">
      <c r="A936" t="s">
        <v>680</v>
      </c>
      <c r="B936" t="s">
        <v>3337</v>
      </c>
      <c r="C936" t="s">
        <v>1506</v>
      </c>
      <c r="D936" t="s">
        <v>1507</v>
      </c>
      <c r="E936" t="s">
        <v>1544</v>
      </c>
      <c r="F936" t="s">
        <v>1545</v>
      </c>
      <c r="G936" t="s">
        <v>3338</v>
      </c>
      <c r="H936">
        <v>0</v>
      </c>
      <c r="I936">
        <v>3.0000000000000001E-3</v>
      </c>
      <c r="J936">
        <v>71</v>
      </c>
    </row>
    <row r="937" spans="1:10" x14ac:dyDescent="0.2">
      <c r="A937" t="s">
        <v>680</v>
      </c>
      <c r="B937" t="s">
        <v>3339</v>
      </c>
      <c r="C937" t="s">
        <v>1506</v>
      </c>
      <c r="D937" t="s">
        <v>1507</v>
      </c>
      <c r="E937" t="s">
        <v>1544</v>
      </c>
      <c r="F937" t="s">
        <v>1545</v>
      </c>
      <c r="G937" t="s">
        <v>3340</v>
      </c>
      <c r="H937">
        <v>0</v>
      </c>
      <c r="I937">
        <v>3.0000000000000001E-3</v>
      </c>
      <c r="J937">
        <v>71</v>
      </c>
    </row>
    <row r="938" spans="1:10" x14ac:dyDescent="0.2">
      <c r="A938" t="s">
        <v>680</v>
      </c>
      <c r="B938" t="s">
        <v>2582</v>
      </c>
      <c r="C938" t="s">
        <v>1506</v>
      </c>
      <c r="D938" t="s">
        <v>1507</v>
      </c>
      <c r="E938" t="s">
        <v>1571</v>
      </c>
      <c r="F938" t="s">
        <v>1572</v>
      </c>
      <c r="G938" t="s">
        <v>2583</v>
      </c>
      <c r="H938">
        <v>0</v>
      </c>
      <c r="I938">
        <v>3.0000000000000001E-3</v>
      </c>
      <c r="J938">
        <v>73</v>
      </c>
    </row>
    <row r="939" spans="1:10" x14ac:dyDescent="0.2">
      <c r="A939" t="s">
        <v>680</v>
      </c>
      <c r="B939" t="s">
        <v>3341</v>
      </c>
      <c r="C939" t="s">
        <v>1506</v>
      </c>
      <c r="D939" t="s">
        <v>1507</v>
      </c>
      <c r="E939" t="s">
        <v>1523</v>
      </c>
      <c r="F939" t="s">
        <v>1985</v>
      </c>
      <c r="G939" t="s">
        <v>3342</v>
      </c>
      <c r="H939">
        <v>0</v>
      </c>
      <c r="I939">
        <v>3.0000000000000001E-3</v>
      </c>
      <c r="J939">
        <v>72</v>
      </c>
    </row>
    <row r="940" spans="1:10" x14ac:dyDescent="0.2">
      <c r="A940" t="s">
        <v>680</v>
      </c>
      <c r="B940" t="s">
        <v>3343</v>
      </c>
      <c r="C940" t="s">
        <v>1506</v>
      </c>
      <c r="D940" t="s">
        <v>1507</v>
      </c>
      <c r="E940" t="s">
        <v>1523</v>
      </c>
      <c r="F940" t="s">
        <v>1985</v>
      </c>
      <c r="G940" t="s">
        <v>3344</v>
      </c>
      <c r="H940">
        <v>0</v>
      </c>
      <c r="I940">
        <v>3.0000000000000001E-3</v>
      </c>
      <c r="J940">
        <v>72</v>
      </c>
    </row>
    <row r="941" spans="1:10" x14ac:dyDescent="0.2">
      <c r="A941" t="s">
        <v>680</v>
      </c>
      <c r="B941" t="s">
        <v>3345</v>
      </c>
      <c r="C941" t="s">
        <v>1506</v>
      </c>
      <c r="D941" t="s">
        <v>1507</v>
      </c>
      <c r="E941" t="s">
        <v>1696</v>
      </c>
      <c r="F941" t="s">
        <v>1697</v>
      </c>
      <c r="G941" t="s">
        <v>2856</v>
      </c>
      <c r="H941">
        <v>0</v>
      </c>
      <c r="I941">
        <v>3.0000000000000001E-3</v>
      </c>
      <c r="J941">
        <v>72</v>
      </c>
    </row>
    <row r="942" spans="1:10" x14ac:dyDescent="0.2">
      <c r="A942" t="s">
        <v>680</v>
      </c>
      <c r="B942" t="s">
        <v>3346</v>
      </c>
      <c r="C942" t="s">
        <v>1506</v>
      </c>
      <c r="D942" t="s">
        <v>1507</v>
      </c>
      <c r="E942" t="s">
        <v>1696</v>
      </c>
      <c r="F942" t="s">
        <v>1697</v>
      </c>
      <c r="G942" t="s">
        <v>3347</v>
      </c>
      <c r="H942">
        <v>0</v>
      </c>
      <c r="I942">
        <v>3.0000000000000001E-3</v>
      </c>
      <c r="J942">
        <v>72</v>
      </c>
    </row>
    <row r="943" spans="1:10" x14ac:dyDescent="0.2">
      <c r="A943" t="s">
        <v>680</v>
      </c>
      <c r="B943" t="s">
        <v>3348</v>
      </c>
      <c r="C943" t="s">
        <v>1506</v>
      </c>
      <c r="D943" t="s">
        <v>3115</v>
      </c>
      <c r="E943" t="s">
        <v>3299</v>
      </c>
      <c r="F943" t="s">
        <v>3300</v>
      </c>
      <c r="G943" t="s">
        <v>3349</v>
      </c>
      <c r="H943">
        <v>0</v>
      </c>
      <c r="I943">
        <v>3.0000000000000001E-3</v>
      </c>
      <c r="J943">
        <v>72</v>
      </c>
    </row>
    <row r="944" spans="1:10" x14ac:dyDescent="0.2">
      <c r="A944" t="s">
        <v>680</v>
      </c>
      <c r="B944" t="s">
        <v>3350</v>
      </c>
      <c r="C944" t="s">
        <v>1506</v>
      </c>
      <c r="D944" t="s">
        <v>3115</v>
      </c>
      <c r="E944" t="s">
        <v>3299</v>
      </c>
      <c r="F944" t="s">
        <v>3300</v>
      </c>
      <c r="G944" t="s">
        <v>3351</v>
      </c>
      <c r="H944">
        <v>0</v>
      </c>
      <c r="I944">
        <v>3.0000000000000001E-3</v>
      </c>
      <c r="J944">
        <v>72</v>
      </c>
    </row>
    <row r="945" spans="1:10" x14ac:dyDescent="0.2">
      <c r="A945" t="s">
        <v>680</v>
      </c>
      <c r="B945" t="s">
        <v>3352</v>
      </c>
      <c r="C945" t="s">
        <v>1506</v>
      </c>
      <c r="D945" t="s">
        <v>1507</v>
      </c>
      <c r="E945" t="s">
        <v>1523</v>
      </c>
      <c r="F945" t="s">
        <v>1916</v>
      </c>
      <c r="G945" t="s">
        <v>3353</v>
      </c>
      <c r="H945">
        <v>0</v>
      </c>
      <c r="I945">
        <v>3.0000000000000001E-3</v>
      </c>
      <c r="J945">
        <v>72</v>
      </c>
    </row>
    <row r="946" spans="1:10" x14ac:dyDescent="0.2">
      <c r="A946" t="s">
        <v>680</v>
      </c>
      <c r="B946" t="s">
        <v>16</v>
      </c>
      <c r="C946" t="s">
        <v>1506</v>
      </c>
      <c r="D946" t="s">
        <v>1507</v>
      </c>
      <c r="E946" t="s">
        <v>1508</v>
      </c>
      <c r="F946" t="s">
        <v>1509</v>
      </c>
      <c r="G946" t="s">
        <v>15</v>
      </c>
      <c r="H946">
        <v>0</v>
      </c>
      <c r="I946">
        <v>3.0000000000000001E-3</v>
      </c>
      <c r="J946">
        <v>657</v>
      </c>
    </row>
    <row r="947" spans="1:10" x14ac:dyDescent="0.2">
      <c r="A947" t="s">
        <v>680</v>
      </c>
      <c r="B947" t="s">
        <v>3354</v>
      </c>
      <c r="C947" t="s">
        <v>1506</v>
      </c>
      <c r="D947" t="s">
        <v>1507</v>
      </c>
      <c r="E947" t="s">
        <v>1508</v>
      </c>
      <c r="F947" t="s">
        <v>1509</v>
      </c>
      <c r="G947" t="s">
        <v>9</v>
      </c>
      <c r="H947">
        <v>0</v>
      </c>
      <c r="I947">
        <v>3.0000000000000001E-3</v>
      </c>
      <c r="J947">
        <v>73</v>
      </c>
    </row>
    <row r="948" spans="1:10" x14ac:dyDescent="0.2">
      <c r="A948" t="s">
        <v>680</v>
      </c>
      <c r="B948" t="s">
        <v>3355</v>
      </c>
      <c r="C948" t="s">
        <v>1506</v>
      </c>
      <c r="D948" t="s">
        <v>1507</v>
      </c>
      <c r="E948" t="s">
        <v>1508</v>
      </c>
      <c r="F948" t="s">
        <v>1509</v>
      </c>
      <c r="G948" t="s">
        <v>26</v>
      </c>
      <c r="H948">
        <v>0</v>
      </c>
      <c r="I948">
        <v>3.0000000000000001E-3</v>
      </c>
      <c r="J948">
        <v>657</v>
      </c>
    </row>
    <row r="949" spans="1:10" x14ac:dyDescent="0.2">
      <c r="A949" t="s">
        <v>680</v>
      </c>
      <c r="B949" t="s">
        <v>3356</v>
      </c>
      <c r="C949" t="s">
        <v>1506</v>
      </c>
      <c r="D949" t="s">
        <v>1507</v>
      </c>
      <c r="E949" t="s">
        <v>1523</v>
      </c>
      <c r="F949" t="s">
        <v>2522</v>
      </c>
      <c r="G949" t="s">
        <v>3357</v>
      </c>
      <c r="H949">
        <v>0</v>
      </c>
      <c r="I949">
        <v>3.0000000000000001E-3</v>
      </c>
      <c r="J949">
        <v>73</v>
      </c>
    </row>
    <row r="950" spans="1:10" x14ac:dyDescent="0.2">
      <c r="A950" t="s">
        <v>680</v>
      </c>
      <c r="B950" t="s">
        <v>3358</v>
      </c>
      <c r="C950" t="s">
        <v>1506</v>
      </c>
      <c r="D950" t="s">
        <v>1507</v>
      </c>
      <c r="E950" t="s">
        <v>8</v>
      </c>
      <c r="F950" t="s">
        <v>1578</v>
      </c>
      <c r="G950" t="s">
        <v>3359</v>
      </c>
      <c r="H950">
        <v>0</v>
      </c>
      <c r="I950">
        <v>3.0000000000000001E-3</v>
      </c>
      <c r="J950">
        <v>72</v>
      </c>
    </row>
    <row r="951" spans="1:10" x14ac:dyDescent="0.2">
      <c r="A951" t="s">
        <v>680</v>
      </c>
      <c r="B951" t="s">
        <v>3360</v>
      </c>
      <c r="C951" t="s">
        <v>1506</v>
      </c>
      <c r="D951" t="s">
        <v>1507</v>
      </c>
      <c r="E951" t="s">
        <v>8</v>
      </c>
      <c r="F951" t="s">
        <v>2044</v>
      </c>
      <c r="G951" t="s">
        <v>2270</v>
      </c>
      <c r="H951">
        <v>0</v>
      </c>
      <c r="I951">
        <v>3.0000000000000001E-3</v>
      </c>
      <c r="J951">
        <v>72</v>
      </c>
    </row>
    <row r="952" spans="1:10" x14ac:dyDescent="0.2">
      <c r="A952" t="s">
        <v>680</v>
      </c>
      <c r="B952" t="s">
        <v>3361</v>
      </c>
      <c r="C952" t="s">
        <v>1506</v>
      </c>
      <c r="D952" t="s">
        <v>1507</v>
      </c>
      <c r="E952" t="s">
        <v>1519</v>
      </c>
      <c r="F952" t="s">
        <v>1520</v>
      </c>
      <c r="G952" t="s">
        <v>3362</v>
      </c>
      <c r="H952">
        <v>0</v>
      </c>
      <c r="I952">
        <v>3.0000000000000001E-3</v>
      </c>
      <c r="J952">
        <v>108</v>
      </c>
    </row>
    <row r="953" spans="1:10" x14ac:dyDescent="0.2">
      <c r="A953" t="s">
        <v>680</v>
      </c>
      <c r="B953" t="s">
        <v>3363</v>
      </c>
      <c r="C953" t="s">
        <v>1506</v>
      </c>
      <c r="D953" t="s">
        <v>1507</v>
      </c>
      <c r="E953" t="s">
        <v>1796</v>
      </c>
      <c r="F953" t="s">
        <v>2784</v>
      </c>
      <c r="G953" t="s">
        <v>3364</v>
      </c>
      <c r="H953">
        <v>0</v>
      </c>
      <c r="I953">
        <v>3.0000000000000001E-3</v>
      </c>
      <c r="J953">
        <v>72</v>
      </c>
    </row>
    <row r="954" spans="1:10" x14ac:dyDescent="0.2">
      <c r="A954" t="s">
        <v>680</v>
      </c>
      <c r="B954" t="s">
        <v>2486</v>
      </c>
      <c r="C954" t="s">
        <v>1506</v>
      </c>
      <c r="D954" t="s">
        <v>1507</v>
      </c>
      <c r="E954" t="s">
        <v>8</v>
      </c>
      <c r="F954" t="s">
        <v>1578</v>
      </c>
      <c r="G954" t="s">
        <v>2487</v>
      </c>
      <c r="H954">
        <v>0</v>
      </c>
      <c r="I954">
        <v>2E-3</v>
      </c>
      <c r="J954">
        <v>71</v>
      </c>
    </row>
    <row r="955" spans="1:10" x14ac:dyDescent="0.2">
      <c r="A955" t="s">
        <v>680</v>
      </c>
      <c r="B955" t="s">
        <v>3365</v>
      </c>
      <c r="C955" t="s">
        <v>1506</v>
      </c>
      <c r="D955" t="s">
        <v>1507</v>
      </c>
      <c r="E955" t="s">
        <v>1556</v>
      </c>
      <c r="F955" t="s">
        <v>2244</v>
      </c>
      <c r="G955" t="s">
        <v>3366</v>
      </c>
      <c r="H955">
        <v>0</v>
      </c>
      <c r="I955">
        <v>2E-3</v>
      </c>
      <c r="J955">
        <v>72</v>
      </c>
    </row>
    <row r="956" spans="1:10" x14ac:dyDescent="0.2">
      <c r="A956" t="s">
        <v>680</v>
      </c>
      <c r="B956" t="s">
        <v>3367</v>
      </c>
      <c r="C956" t="s">
        <v>1506</v>
      </c>
      <c r="D956" t="s">
        <v>1507</v>
      </c>
      <c r="E956" t="s">
        <v>1692</v>
      </c>
      <c r="F956" t="s">
        <v>3368</v>
      </c>
      <c r="G956" t="s">
        <v>3369</v>
      </c>
      <c r="H956">
        <v>0</v>
      </c>
      <c r="I956">
        <v>2E-3</v>
      </c>
      <c r="J956">
        <v>241</v>
      </c>
    </row>
    <row r="957" spans="1:10" x14ac:dyDescent="0.2">
      <c r="A957" t="s">
        <v>680</v>
      </c>
      <c r="B957" t="s">
        <v>3370</v>
      </c>
      <c r="C957" t="s">
        <v>1506</v>
      </c>
      <c r="D957" t="s">
        <v>1507</v>
      </c>
      <c r="E957" t="s">
        <v>1531</v>
      </c>
      <c r="F957" t="s">
        <v>3371</v>
      </c>
      <c r="G957" t="s">
        <v>3372</v>
      </c>
      <c r="H957">
        <v>0</v>
      </c>
      <c r="I957">
        <v>2E-3</v>
      </c>
      <c r="J957">
        <v>72</v>
      </c>
    </row>
    <row r="958" spans="1:10" x14ac:dyDescent="0.2">
      <c r="A958" t="s">
        <v>680</v>
      </c>
      <c r="B958" t="s">
        <v>3373</v>
      </c>
      <c r="C958" t="s">
        <v>1506</v>
      </c>
      <c r="D958" t="s">
        <v>1507</v>
      </c>
      <c r="E958" t="s">
        <v>1544</v>
      </c>
      <c r="F958" t="s">
        <v>1545</v>
      </c>
      <c r="G958" t="s">
        <v>3374</v>
      </c>
      <c r="H958">
        <v>0</v>
      </c>
      <c r="I958">
        <v>2E-3</v>
      </c>
      <c r="J958">
        <v>163</v>
      </c>
    </row>
    <row r="959" spans="1:10" x14ac:dyDescent="0.2">
      <c r="A959" t="s">
        <v>680</v>
      </c>
      <c r="B959" t="s">
        <v>3375</v>
      </c>
      <c r="C959" t="s">
        <v>1506</v>
      </c>
      <c r="D959" t="s">
        <v>1507</v>
      </c>
      <c r="E959" t="s">
        <v>1544</v>
      </c>
      <c r="F959" t="s">
        <v>1705</v>
      </c>
      <c r="G959" t="s">
        <v>1706</v>
      </c>
      <c r="H959">
        <v>0</v>
      </c>
      <c r="I959">
        <v>2E-3</v>
      </c>
      <c r="J959">
        <v>106</v>
      </c>
    </row>
    <row r="960" spans="1:10" x14ac:dyDescent="0.2">
      <c r="A960" t="s">
        <v>680</v>
      </c>
      <c r="B960" t="s">
        <v>3376</v>
      </c>
      <c r="C960" t="s">
        <v>1506</v>
      </c>
      <c r="D960" t="s">
        <v>1507</v>
      </c>
      <c r="E960" t="s">
        <v>8</v>
      </c>
      <c r="F960" t="s">
        <v>2302</v>
      </c>
      <c r="G960" t="s">
        <v>3377</v>
      </c>
      <c r="H960">
        <v>0</v>
      </c>
      <c r="I960">
        <v>2E-3</v>
      </c>
      <c r="J960">
        <v>71</v>
      </c>
    </row>
    <row r="961" spans="1:10" x14ac:dyDescent="0.2">
      <c r="A961" t="s">
        <v>680</v>
      </c>
      <c r="B961" t="s">
        <v>3378</v>
      </c>
      <c r="C961" t="s">
        <v>1506</v>
      </c>
      <c r="D961" t="s">
        <v>1507</v>
      </c>
      <c r="E961" t="s">
        <v>1544</v>
      </c>
      <c r="F961" t="s">
        <v>1545</v>
      </c>
      <c r="G961" t="s">
        <v>3379</v>
      </c>
      <c r="H961">
        <v>0</v>
      </c>
      <c r="I961">
        <v>2E-3</v>
      </c>
      <c r="J961">
        <v>72</v>
      </c>
    </row>
    <row r="962" spans="1:10" x14ac:dyDescent="0.2">
      <c r="A962" t="s">
        <v>680</v>
      </c>
      <c r="B962" t="s">
        <v>3380</v>
      </c>
      <c r="C962" t="s">
        <v>1506</v>
      </c>
      <c r="D962" t="s">
        <v>1507</v>
      </c>
      <c r="E962" t="s">
        <v>1789</v>
      </c>
      <c r="F962" t="s">
        <v>3381</v>
      </c>
      <c r="G962" t="s">
        <v>3382</v>
      </c>
      <c r="H962">
        <v>0</v>
      </c>
      <c r="I962">
        <v>2E-3</v>
      </c>
      <c r="J962">
        <v>71</v>
      </c>
    </row>
    <row r="963" spans="1:10" x14ac:dyDescent="0.2">
      <c r="A963" t="s">
        <v>680</v>
      </c>
      <c r="B963" t="s">
        <v>3383</v>
      </c>
      <c r="C963" t="s">
        <v>1506</v>
      </c>
      <c r="D963" t="s">
        <v>1507</v>
      </c>
      <c r="E963" t="s">
        <v>1544</v>
      </c>
      <c r="F963" t="s">
        <v>1545</v>
      </c>
      <c r="G963" t="s">
        <v>3384</v>
      </c>
      <c r="H963">
        <v>0</v>
      </c>
      <c r="I963">
        <v>2E-3</v>
      </c>
      <c r="J963">
        <v>71</v>
      </c>
    </row>
    <row r="964" spans="1:10" x14ac:dyDescent="0.2">
      <c r="A964" t="s">
        <v>680</v>
      </c>
      <c r="B964" t="s">
        <v>3385</v>
      </c>
      <c r="C964" t="s">
        <v>1506</v>
      </c>
      <c r="D964" t="s">
        <v>1507</v>
      </c>
      <c r="E964" t="s">
        <v>8</v>
      </c>
      <c r="F964" t="s">
        <v>1578</v>
      </c>
      <c r="G964" t="s">
        <v>3386</v>
      </c>
      <c r="H964">
        <v>0</v>
      </c>
      <c r="I964">
        <v>1E-3</v>
      </c>
      <c r="J964">
        <v>71</v>
      </c>
    </row>
    <row r="965" spans="1:10" x14ac:dyDescent="0.2">
      <c r="A965" t="s">
        <v>680</v>
      </c>
      <c r="B965" t="s">
        <v>3387</v>
      </c>
      <c r="C965" t="s">
        <v>1506</v>
      </c>
      <c r="D965" t="s">
        <v>1507</v>
      </c>
      <c r="E965" t="s">
        <v>1571</v>
      </c>
      <c r="F965" t="s">
        <v>1572</v>
      </c>
      <c r="G965" t="s">
        <v>3388</v>
      </c>
      <c r="H965">
        <v>0</v>
      </c>
      <c r="I965">
        <v>1E-3</v>
      </c>
      <c r="J965">
        <v>72</v>
      </c>
    </row>
    <row r="966" spans="1:10" x14ac:dyDescent="0.2">
      <c r="A966" t="s">
        <v>680</v>
      </c>
      <c r="B966" t="s">
        <v>3389</v>
      </c>
      <c r="C966" t="s">
        <v>1506</v>
      </c>
      <c r="D966" t="s">
        <v>1741</v>
      </c>
      <c r="E966" t="s">
        <v>1742</v>
      </c>
      <c r="F966" t="s">
        <v>3390</v>
      </c>
      <c r="G966" t="s">
        <v>3391</v>
      </c>
      <c r="H966">
        <v>0</v>
      </c>
      <c r="I966">
        <v>1E-3</v>
      </c>
      <c r="J966">
        <v>71</v>
      </c>
    </row>
    <row r="967" spans="1:10" x14ac:dyDescent="0.2">
      <c r="A967" t="s">
        <v>680</v>
      </c>
      <c r="B967" t="s">
        <v>3392</v>
      </c>
      <c r="C967" t="s">
        <v>1506</v>
      </c>
      <c r="D967" t="s">
        <v>1507</v>
      </c>
      <c r="E967" t="s">
        <v>1586</v>
      </c>
      <c r="F967" t="s">
        <v>3393</v>
      </c>
      <c r="G967" t="s">
        <v>3394</v>
      </c>
      <c r="H967">
        <v>0</v>
      </c>
      <c r="I967">
        <v>1E-3</v>
      </c>
      <c r="J967">
        <v>71</v>
      </c>
    </row>
    <row r="968" spans="1:10" x14ac:dyDescent="0.2">
      <c r="A968" t="s">
        <v>680</v>
      </c>
      <c r="B968" t="s">
        <v>3395</v>
      </c>
      <c r="C968" t="s">
        <v>1506</v>
      </c>
      <c r="D968" t="s">
        <v>1507</v>
      </c>
      <c r="E968" t="s">
        <v>1586</v>
      </c>
      <c r="F968" t="s">
        <v>3393</v>
      </c>
      <c r="G968" t="s">
        <v>3396</v>
      </c>
      <c r="H968">
        <v>0</v>
      </c>
      <c r="I968">
        <v>1E-3</v>
      </c>
      <c r="J968">
        <v>71</v>
      </c>
    </row>
    <row r="969" spans="1:10" x14ac:dyDescent="0.2">
      <c r="A969" t="s">
        <v>680</v>
      </c>
      <c r="B969" t="s">
        <v>3397</v>
      </c>
      <c r="C969" t="s">
        <v>1506</v>
      </c>
      <c r="D969" t="s">
        <v>1507</v>
      </c>
      <c r="E969" t="s">
        <v>1586</v>
      </c>
      <c r="F969" t="s">
        <v>3393</v>
      </c>
      <c r="G969" t="s">
        <v>3396</v>
      </c>
      <c r="H969">
        <v>0</v>
      </c>
      <c r="I969">
        <v>1E-3</v>
      </c>
      <c r="J969">
        <v>538</v>
      </c>
    </row>
    <row r="970" spans="1:10" x14ac:dyDescent="0.2">
      <c r="A970" t="s">
        <v>680</v>
      </c>
      <c r="B970" t="s">
        <v>2604</v>
      </c>
      <c r="C970" t="s">
        <v>1506</v>
      </c>
      <c r="D970" t="s">
        <v>1507</v>
      </c>
      <c r="E970" t="s">
        <v>1895</v>
      </c>
      <c r="F970" t="s">
        <v>1896</v>
      </c>
      <c r="G970" t="s">
        <v>2605</v>
      </c>
      <c r="H970">
        <v>0</v>
      </c>
      <c r="I970">
        <v>1E-3</v>
      </c>
      <c r="J970">
        <v>176</v>
      </c>
    </row>
    <row r="971" spans="1:10" x14ac:dyDescent="0.2">
      <c r="A971" t="s">
        <v>680</v>
      </c>
      <c r="B971" t="s">
        <v>3398</v>
      </c>
      <c r="C971" t="s">
        <v>1506</v>
      </c>
      <c r="D971" t="s">
        <v>1507</v>
      </c>
      <c r="E971" t="s">
        <v>8</v>
      </c>
      <c r="F971" t="s">
        <v>1578</v>
      </c>
      <c r="G971" t="s">
        <v>3399</v>
      </c>
      <c r="H971">
        <v>0</v>
      </c>
      <c r="I971">
        <v>1E-3</v>
      </c>
      <c r="J971">
        <v>174</v>
      </c>
    </row>
    <row r="972" spans="1:10" x14ac:dyDescent="0.2">
      <c r="A972" t="s">
        <v>680</v>
      </c>
      <c r="B972" t="s">
        <v>3400</v>
      </c>
      <c r="C972" t="s">
        <v>1506</v>
      </c>
      <c r="D972" t="s">
        <v>1507</v>
      </c>
      <c r="E972" t="s">
        <v>1789</v>
      </c>
      <c r="F972" t="s">
        <v>3401</v>
      </c>
      <c r="G972" t="s">
        <v>3402</v>
      </c>
      <c r="H972">
        <v>0</v>
      </c>
      <c r="I972">
        <v>1E-3</v>
      </c>
      <c r="J972">
        <v>175</v>
      </c>
    </row>
    <row r="973" spans="1:10" x14ac:dyDescent="0.2">
      <c r="A973" t="s">
        <v>680</v>
      </c>
      <c r="B973" t="s">
        <v>3403</v>
      </c>
      <c r="C973" t="s">
        <v>1506</v>
      </c>
      <c r="D973" t="s">
        <v>1507</v>
      </c>
      <c r="E973" t="s">
        <v>1789</v>
      </c>
      <c r="F973" t="s">
        <v>3401</v>
      </c>
      <c r="G973" t="s">
        <v>3404</v>
      </c>
      <c r="H973">
        <v>0</v>
      </c>
      <c r="I973">
        <v>1E-3</v>
      </c>
      <c r="J973">
        <v>175</v>
      </c>
    </row>
    <row r="974" spans="1:10" x14ac:dyDescent="0.2">
      <c r="A974" t="s">
        <v>680</v>
      </c>
      <c r="B974" t="s">
        <v>3405</v>
      </c>
      <c r="C974" t="s">
        <v>1506</v>
      </c>
      <c r="D974" t="s">
        <v>1507</v>
      </c>
      <c r="E974" t="s">
        <v>1523</v>
      </c>
      <c r="F974" t="s">
        <v>1524</v>
      </c>
      <c r="G974" t="s">
        <v>3406</v>
      </c>
      <c r="H974">
        <v>0</v>
      </c>
      <c r="I974">
        <v>1E-3</v>
      </c>
      <c r="J974">
        <v>662</v>
      </c>
    </row>
    <row r="975" spans="1:10" x14ac:dyDescent="0.2">
      <c r="A975" t="s">
        <v>680</v>
      </c>
      <c r="B975" t="s">
        <v>3407</v>
      </c>
      <c r="C975" t="s">
        <v>1506</v>
      </c>
      <c r="D975" t="s">
        <v>1507</v>
      </c>
      <c r="E975" t="s">
        <v>1625</v>
      </c>
      <c r="F975" t="s">
        <v>1808</v>
      </c>
      <c r="G975" t="s">
        <v>3408</v>
      </c>
      <c r="H975">
        <v>0</v>
      </c>
      <c r="I975">
        <v>1E-3</v>
      </c>
      <c r="J975">
        <v>71</v>
      </c>
    </row>
    <row r="976" spans="1:10" x14ac:dyDescent="0.2">
      <c r="A976" t="s">
        <v>680</v>
      </c>
      <c r="B976" t="s">
        <v>3409</v>
      </c>
      <c r="C976" t="s">
        <v>1506</v>
      </c>
      <c r="D976" t="s">
        <v>1507</v>
      </c>
      <c r="E976" t="s">
        <v>1508</v>
      </c>
      <c r="F976" t="s">
        <v>1509</v>
      </c>
      <c r="G976" t="s">
        <v>3410</v>
      </c>
      <c r="H976">
        <v>0</v>
      </c>
      <c r="I976">
        <v>1E-3</v>
      </c>
      <c r="J976">
        <v>73</v>
      </c>
    </row>
    <row r="977" spans="1:10" x14ac:dyDescent="0.2">
      <c r="A977" t="s">
        <v>680</v>
      </c>
      <c r="B977" t="s">
        <v>3411</v>
      </c>
      <c r="C977" t="s">
        <v>1506</v>
      </c>
      <c r="D977" t="s">
        <v>1507</v>
      </c>
      <c r="E977" t="s">
        <v>1508</v>
      </c>
      <c r="F977" t="s">
        <v>1509</v>
      </c>
      <c r="G977" t="s">
        <v>3412</v>
      </c>
      <c r="H977">
        <v>0</v>
      </c>
      <c r="I977">
        <v>1E-3</v>
      </c>
      <c r="J977">
        <v>73</v>
      </c>
    </row>
    <row r="978" spans="1:10" x14ac:dyDescent="0.2">
      <c r="A978" t="s">
        <v>680</v>
      </c>
      <c r="B978" t="s">
        <v>3413</v>
      </c>
      <c r="C978" t="s">
        <v>1506</v>
      </c>
      <c r="D978" t="s">
        <v>1507</v>
      </c>
      <c r="E978" t="s">
        <v>1544</v>
      </c>
      <c r="F978" t="s">
        <v>1705</v>
      </c>
      <c r="G978" t="s">
        <v>3414</v>
      </c>
      <c r="H978">
        <v>0</v>
      </c>
      <c r="I978">
        <v>1E-3</v>
      </c>
      <c r="J978">
        <v>170</v>
      </c>
    </row>
    <row r="979" spans="1:10" x14ac:dyDescent="0.2">
      <c r="A979" t="s">
        <v>680</v>
      </c>
      <c r="B979" t="s">
        <v>3415</v>
      </c>
      <c r="C979" t="s">
        <v>1506</v>
      </c>
      <c r="D979" t="s">
        <v>1507</v>
      </c>
      <c r="E979" t="s">
        <v>1531</v>
      </c>
      <c r="F979" t="s">
        <v>3416</v>
      </c>
      <c r="G979" t="s">
        <v>3417</v>
      </c>
      <c r="H979">
        <v>0</v>
      </c>
      <c r="I979">
        <v>1E-3</v>
      </c>
      <c r="J979">
        <v>72</v>
      </c>
    </row>
    <row r="980" spans="1:10" x14ac:dyDescent="0.2">
      <c r="A980" t="s">
        <v>680</v>
      </c>
      <c r="B980" t="s">
        <v>3418</v>
      </c>
      <c r="C980" t="s">
        <v>1506</v>
      </c>
      <c r="D980" t="s">
        <v>1507</v>
      </c>
      <c r="E980" t="s">
        <v>1633</v>
      </c>
      <c r="F980" t="s">
        <v>1634</v>
      </c>
      <c r="G980" t="s">
        <v>3419</v>
      </c>
      <c r="H980">
        <v>0</v>
      </c>
      <c r="I980">
        <v>1E-3</v>
      </c>
      <c r="J980">
        <v>72</v>
      </c>
    </row>
    <row r="981" spans="1:10" x14ac:dyDescent="0.2">
      <c r="A981" t="s">
        <v>680</v>
      </c>
      <c r="B981" t="s">
        <v>3420</v>
      </c>
      <c r="C981" t="s">
        <v>1506</v>
      </c>
      <c r="D981" t="s">
        <v>1507</v>
      </c>
      <c r="E981" t="s">
        <v>1658</v>
      </c>
      <c r="F981" t="s">
        <v>2381</v>
      </c>
      <c r="G981" t="s">
        <v>3421</v>
      </c>
      <c r="H981">
        <v>0</v>
      </c>
      <c r="I981">
        <v>1E-3</v>
      </c>
      <c r="J981">
        <v>72</v>
      </c>
    </row>
    <row r="982" spans="1:10" x14ac:dyDescent="0.2">
      <c r="A982" t="s">
        <v>680</v>
      </c>
      <c r="B982" t="s">
        <v>3422</v>
      </c>
      <c r="C982" t="s">
        <v>1506</v>
      </c>
      <c r="D982" t="s">
        <v>1507</v>
      </c>
      <c r="E982" t="s">
        <v>1586</v>
      </c>
      <c r="F982" t="s">
        <v>2305</v>
      </c>
      <c r="G982" t="s">
        <v>3423</v>
      </c>
      <c r="H982">
        <v>0</v>
      </c>
      <c r="I982">
        <v>1E-3</v>
      </c>
      <c r="J982">
        <v>174</v>
      </c>
    </row>
    <row r="983" spans="1:10" x14ac:dyDescent="0.2">
      <c r="A983" t="s">
        <v>680</v>
      </c>
      <c r="B983" t="s">
        <v>3424</v>
      </c>
      <c r="C983" t="s">
        <v>1506</v>
      </c>
      <c r="D983" t="s">
        <v>1507</v>
      </c>
      <c r="E983" t="s">
        <v>1907</v>
      </c>
      <c r="F983" t="s">
        <v>2425</v>
      </c>
      <c r="G983" t="s">
        <v>3425</v>
      </c>
      <c r="H983">
        <v>0</v>
      </c>
      <c r="I983">
        <v>1E-3</v>
      </c>
      <c r="J983">
        <v>71</v>
      </c>
    </row>
    <row r="984" spans="1:10" x14ac:dyDescent="0.2">
      <c r="A984" t="s">
        <v>680</v>
      </c>
      <c r="B984" t="s">
        <v>3426</v>
      </c>
      <c r="C984" t="s">
        <v>1506</v>
      </c>
      <c r="D984" t="s">
        <v>1507</v>
      </c>
      <c r="E984" t="s">
        <v>2078</v>
      </c>
      <c r="F984" t="s">
        <v>2079</v>
      </c>
      <c r="G984" t="s">
        <v>3427</v>
      </c>
      <c r="H984">
        <v>0</v>
      </c>
      <c r="I984">
        <v>1E-3</v>
      </c>
      <c r="J984">
        <v>72</v>
      </c>
    </row>
    <row r="985" spans="1:10" x14ac:dyDescent="0.2">
      <c r="A985" t="s">
        <v>680</v>
      </c>
      <c r="B985" t="s">
        <v>3428</v>
      </c>
      <c r="C985" t="s">
        <v>1506</v>
      </c>
      <c r="D985" t="s">
        <v>1507</v>
      </c>
      <c r="E985" t="s">
        <v>1586</v>
      </c>
      <c r="F985" t="s">
        <v>3429</v>
      </c>
      <c r="G985" t="s">
        <v>3430</v>
      </c>
      <c r="H985">
        <v>0</v>
      </c>
      <c r="I985">
        <v>1E-3</v>
      </c>
      <c r="J985">
        <v>73</v>
      </c>
    </row>
    <row r="986" spans="1:10" x14ac:dyDescent="0.2">
      <c r="A986" t="s">
        <v>680</v>
      </c>
      <c r="B986" t="s">
        <v>3431</v>
      </c>
      <c r="C986" t="s">
        <v>1506</v>
      </c>
      <c r="D986" t="s">
        <v>1507</v>
      </c>
      <c r="E986" t="s">
        <v>1523</v>
      </c>
      <c r="F986" t="s">
        <v>1553</v>
      </c>
      <c r="G986" t="s">
        <v>3432</v>
      </c>
      <c r="H986">
        <v>0</v>
      </c>
      <c r="I986">
        <v>1E-3</v>
      </c>
      <c r="J986">
        <v>714</v>
      </c>
    </row>
    <row r="987" spans="1:10" x14ac:dyDescent="0.2">
      <c r="A987" t="s">
        <v>680</v>
      </c>
      <c r="B987" t="s">
        <v>3433</v>
      </c>
      <c r="C987" t="s">
        <v>1506</v>
      </c>
      <c r="D987" t="s">
        <v>1507</v>
      </c>
      <c r="E987" t="s">
        <v>1523</v>
      </c>
      <c r="F987" t="s">
        <v>1553</v>
      </c>
      <c r="G987" t="s">
        <v>3434</v>
      </c>
      <c r="H987">
        <v>0</v>
      </c>
      <c r="I987">
        <v>1E-3</v>
      </c>
      <c r="J987">
        <v>714</v>
      </c>
    </row>
    <row r="988" spans="1:10" x14ac:dyDescent="0.2">
      <c r="A988" t="s">
        <v>680</v>
      </c>
      <c r="B988" t="s">
        <v>3435</v>
      </c>
      <c r="C988" t="s">
        <v>1506</v>
      </c>
      <c r="D988" t="s">
        <v>1817</v>
      </c>
      <c r="E988" t="s">
        <v>1818</v>
      </c>
      <c r="F988" t="s">
        <v>3436</v>
      </c>
      <c r="G988" t="s">
        <v>3437</v>
      </c>
      <c r="H988">
        <v>0</v>
      </c>
      <c r="I988">
        <v>1E-3</v>
      </c>
      <c r="J988">
        <v>71</v>
      </c>
    </row>
    <row r="989" spans="1:10" x14ac:dyDescent="0.2">
      <c r="A989" t="s">
        <v>680</v>
      </c>
      <c r="B989" t="s">
        <v>3438</v>
      </c>
      <c r="C989" t="s">
        <v>1506</v>
      </c>
      <c r="D989" t="s">
        <v>1507</v>
      </c>
      <c r="E989" t="s">
        <v>1586</v>
      </c>
      <c r="F989" t="s">
        <v>3160</v>
      </c>
      <c r="G989" t="s">
        <v>3439</v>
      </c>
      <c r="H989">
        <v>0</v>
      </c>
      <c r="I989">
        <v>1E-3</v>
      </c>
      <c r="J989">
        <v>71</v>
      </c>
    </row>
    <row r="990" spans="1:10" x14ac:dyDescent="0.2">
      <c r="A990" t="s">
        <v>680</v>
      </c>
      <c r="B990" t="s">
        <v>3440</v>
      </c>
      <c r="C990" t="s">
        <v>1506</v>
      </c>
      <c r="D990" t="s">
        <v>1507</v>
      </c>
      <c r="E990" t="s">
        <v>1625</v>
      </c>
      <c r="F990" t="s">
        <v>2664</v>
      </c>
      <c r="G990" t="s">
        <v>3441</v>
      </c>
      <c r="H990">
        <v>0</v>
      </c>
      <c r="I990">
        <v>1E-3</v>
      </c>
      <c r="J990">
        <v>71</v>
      </c>
    </row>
    <row r="991" spans="1:10" x14ac:dyDescent="0.2">
      <c r="A991" t="s">
        <v>680</v>
      </c>
      <c r="B991" t="s">
        <v>3442</v>
      </c>
      <c r="C991" t="s">
        <v>1506</v>
      </c>
      <c r="D991" t="s">
        <v>1507</v>
      </c>
      <c r="E991" t="s">
        <v>3111</v>
      </c>
      <c r="F991" t="s">
        <v>3112</v>
      </c>
      <c r="G991" t="s">
        <v>3443</v>
      </c>
      <c r="H991">
        <v>0</v>
      </c>
      <c r="I991">
        <v>1E-3</v>
      </c>
      <c r="J991">
        <v>71</v>
      </c>
    </row>
    <row r="992" spans="1:10" x14ac:dyDescent="0.2">
      <c r="A992" t="s">
        <v>680</v>
      </c>
      <c r="B992" t="s">
        <v>3444</v>
      </c>
      <c r="C992" t="s">
        <v>1506</v>
      </c>
      <c r="D992" t="s">
        <v>1507</v>
      </c>
      <c r="E992" t="s">
        <v>1789</v>
      </c>
      <c r="F992" t="s">
        <v>3381</v>
      </c>
      <c r="G992" t="s">
        <v>3445</v>
      </c>
      <c r="H992">
        <v>0</v>
      </c>
      <c r="I992">
        <v>1E-3</v>
      </c>
      <c r="J992">
        <v>772</v>
      </c>
    </row>
    <row r="993" spans="1:10" x14ac:dyDescent="0.2">
      <c r="A993" t="s">
        <v>680</v>
      </c>
      <c r="B993" t="s">
        <v>3446</v>
      </c>
      <c r="C993" t="s">
        <v>1506</v>
      </c>
      <c r="D993" t="s">
        <v>1507</v>
      </c>
      <c r="E993" t="s">
        <v>1789</v>
      </c>
      <c r="F993" t="s">
        <v>3381</v>
      </c>
      <c r="G993" t="s">
        <v>3445</v>
      </c>
      <c r="H993">
        <v>0</v>
      </c>
      <c r="I993">
        <v>1E-3</v>
      </c>
      <c r="J993">
        <v>772</v>
      </c>
    </row>
    <row r="994" spans="1:10" x14ac:dyDescent="0.2">
      <c r="A994" t="s">
        <v>680</v>
      </c>
      <c r="B994" t="s">
        <v>3447</v>
      </c>
      <c r="C994" t="s">
        <v>1506</v>
      </c>
      <c r="D994" t="s">
        <v>1507</v>
      </c>
      <c r="E994" t="s">
        <v>8</v>
      </c>
      <c r="F994" t="s">
        <v>1578</v>
      </c>
      <c r="G994" t="s">
        <v>3448</v>
      </c>
      <c r="H994">
        <v>0</v>
      </c>
      <c r="I994">
        <v>1E-3</v>
      </c>
      <c r="J994">
        <v>794</v>
      </c>
    </row>
    <row r="995" spans="1:10" x14ac:dyDescent="0.2">
      <c r="A995" t="s">
        <v>680</v>
      </c>
      <c r="B995" t="s">
        <v>3449</v>
      </c>
      <c r="C995" t="s">
        <v>1506</v>
      </c>
      <c r="D995" t="s">
        <v>1507</v>
      </c>
      <c r="E995" t="s">
        <v>1658</v>
      </c>
      <c r="F995" t="s">
        <v>2026</v>
      </c>
      <c r="G995" t="s">
        <v>3450</v>
      </c>
      <c r="H995">
        <v>0</v>
      </c>
      <c r="I995">
        <v>1E-3</v>
      </c>
      <c r="J995">
        <v>72</v>
      </c>
    </row>
    <row r="996" spans="1:10" x14ac:dyDescent="0.2">
      <c r="A996" s="45" t="s">
        <v>654</v>
      </c>
      <c r="B996" s="45" t="s">
        <v>8009</v>
      </c>
      <c r="C996" s="45" t="s">
        <v>1506</v>
      </c>
      <c r="D996" s="45" t="s">
        <v>1507</v>
      </c>
      <c r="E996" s="45" t="s">
        <v>1508</v>
      </c>
      <c r="F996" s="45" t="s">
        <v>1509</v>
      </c>
      <c r="G996" s="45" t="s">
        <v>63</v>
      </c>
      <c r="H996" s="45">
        <v>0.98499999999999999</v>
      </c>
      <c r="I996" s="45">
        <v>1</v>
      </c>
      <c r="J996" s="45">
        <v>95</v>
      </c>
    </row>
    <row r="997" spans="1:10" x14ac:dyDescent="0.2">
      <c r="A997" t="s">
        <v>654</v>
      </c>
      <c r="B997" t="s">
        <v>2378</v>
      </c>
      <c r="C997" t="s">
        <v>1506</v>
      </c>
      <c r="D997" t="s">
        <v>1507</v>
      </c>
      <c r="E997" t="s">
        <v>1508</v>
      </c>
      <c r="F997" t="s">
        <v>1509</v>
      </c>
      <c r="G997" t="s">
        <v>2379</v>
      </c>
      <c r="H997">
        <v>7.6999999999999999E-2</v>
      </c>
      <c r="I997">
        <v>1</v>
      </c>
      <c r="J997">
        <v>95</v>
      </c>
    </row>
    <row r="998" spans="1:10" x14ac:dyDescent="0.2">
      <c r="A998" t="s">
        <v>654</v>
      </c>
      <c r="B998" t="s">
        <v>3451</v>
      </c>
      <c r="C998" t="s">
        <v>1506</v>
      </c>
      <c r="D998" t="s">
        <v>1507</v>
      </c>
      <c r="E998" t="s">
        <v>1537</v>
      </c>
      <c r="F998" t="s">
        <v>3452</v>
      </c>
      <c r="G998" t="s">
        <v>3453</v>
      </c>
      <c r="H998">
        <v>8.0000000000000002E-3</v>
      </c>
      <c r="I998">
        <v>0</v>
      </c>
      <c r="J998">
        <v>95</v>
      </c>
    </row>
    <row r="999" spans="1:10" x14ac:dyDescent="0.2">
      <c r="A999" t="s">
        <v>654</v>
      </c>
      <c r="B999" t="s">
        <v>3454</v>
      </c>
      <c r="C999" t="s">
        <v>1506</v>
      </c>
      <c r="D999" t="s">
        <v>1507</v>
      </c>
      <c r="E999" t="s">
        <v>1531</v>
      </c>
      <c r="F999" t="s">
        <v>3455</v>
      </c>
      <c r="G999" t="s">
        <v>3456</v>
      </c>
      <c r="H999">
        <v>8.0000000000000002E-3</v>
      </c>
      <c r="I999">
        <v>0</v>
      </c>
      <c r="J999">
        <v>95</v>
      </c>
    </row>
    <row r="1000" spans="1:10" x14ac:dyDescent="0.2">
      <c r="A1000" t="s">
        <v>654</v>
      </c>
      <c r="B1000" t="s">
        <v>3457</v>
      </c>
      <c r="C1000" t="s">
        <v>1506</v>
      </c>
      <c r="D1000" t="s">
        <v>1507</v>
      </c>
      <c r="E1000" t="s">
        <v>1523</v>
      </c>
      <c r="F1000" t="s">
        <v>1985</v>
      </c>
      <c r="G1000" t="s">
        <v>3458</v>
      </c>
      <c r="H1000">
        <v>7.0000000000000001E-3</v>
      </c>
      <c r="I1000">
        <v>0</v>
      </c>
      <c r="J1000">
        <v>95</v>
      </c>
    </row>
    <row r="1001" spans="1:10" x14ac:dyDescent="0.2">
      <c r="A1001" t="s">
        <v>654</v>
      </c>
      <c r="B1001" t="s">
        <v>3459</v>
      </c>
      <c r="C1001" t="s">
        <v>1506</v>
      </c>
      <c r="D1001" t="s">
        <v>1507</v>
      </c>
      <c r="E1001" t="s">
        <v>2223</v>
      </c>
      <c r="F1001" t="s">
        <v>2224</v>
      </c>
      <c r="G1001" t="s">
        <v>3460</v>
      </c>
      <c r="H1001">
        <v>7.0000000000000001E-3</v>
      </c>
      <c r="I1001">
        <v>0</v>
      </c>
      <c r="J1001">
        <v>95</v>
      </c>
    </row>
    <row r="1002" spans="1:10" x14ac:dyDescent="0.2">
      <c r="A1002" t="s">
        <v>654</v>
      </c>
      <c r="B1002" t="s">
        <v>3461</v>
      </c>
      <c r="C1002" t="s">
        <v>1506</v>
      </c>
      <c r="D1002" t="s">
        <v>1507</v>
      </c>
      <c r="E1002" t="s">
        <v>1696</v>
      </c>
      <c r="F1002" t="s">
        <v>1697</v>
      </c>
      <c r="G1002" t="s">
        <v>3462</v>
      </c>
      <c r="H1002">
        <v>3.0000000000000001E-3</v>
      </c>
      <c r="I1002">
        <v>0</v>
      </c>
      <c r="J1002">
        <v>191</v>
      </c>
    </row>
    <row r="1003" spans="1:10" x14ac:dyDescent="0.2">
      <c r="A1003" t="s">
        <v>654</v>
      </c>
      <c r="B1003" t="s">
        <v>3463</v>
      </c>
      <c r="C1003" t="s">
        <v>1506</v>
      </c>
      <c r="D1003" t="s">
        <v>1507</v>
      </c>
      <c r="E1003" t="s">
        <v>3464</v>
      </c>
      <c r="F1003" t="s">
        <v>3465</v>
      </c>
      <c r="G1003" t="s">
        <v>3466</v>
      </c>
      <c r="H1003">
        <v>3.0000000000000001E-3</v>
      </c>
      <c r="I1003">
        <v>0</v>
      </c>
      <c r="J1003">
        <v>95</v>
      </c>
    </row>
    <row r="1004" spans="1:10" x14ac:dyDescent="0.2">
      <c r="A1004" t="s">
        <v>654</v>
      </c>
      <c r="B1004" t="s">
        <v>3467</v>
      </c>
      <c r="C1004" t="s">
        <v>1506</v>
      </c>
      <c r="D1004" t="s">
        <v>1507</v>
      </c>
      <c r="E1004" t="s">
        <v>1696</v>
      </c>
      <c r="F1004" t="s">
        <v>1697</v>
      </c>
      <c r="G1004" t="s">
        <v>3468</v>
      </c>
      <c r="H1004">
        <v>2E-3</v>
      </c>
      <c r="I1004">
        <v>0</v>
      </c>
      <c r="J1004">
        <v>191</v>
      </c>
    </row>
    <row r="1005" spans="1:10" x14ac:dyDescent="0.2">
      <c r="A1005" t="s">
        <v>654</v>
      </c>
      <c r="B1005" t="s">
        <v>3469</v>
      </c>
      <c r="C1005" t="s">
        <v>1506</v>
      </c>
      <c r="D1005" t="s">
        <v>1507</v>
      </c>
      <c r="E1005" t="s">
        <v>1523</v>
      </c>
      <c r="F1005" t="s">
        <v>1985</v>
      </c>
      <c r="G1005" t="s">
        <v>3470</v>
      </c>
      <c r="H1005">
        <v>1E-3</v>
      </c>
      <c r="I1005">
        <v>0.11899999999999999</v>
      </c>
      <c r="J1005">
        <v>95</v>
      </c>
    </row>
    <row r="1006" spans="1:10" x14ac:dyDescent="0.2">
      <c r="A1006" t="s">
        <v>654</v>
      </c>
      <c r="B1006" t="s">
        <v>3471</v>
      </c>
      <c r="C1006" t="s">
        <v>1506</v>
      </c>
      <c r="D1006" t="s">
        <v>1507</v>
      </c>
      <c r="E1006" t="s">
        <v>1789</v>
      </c>
      <c r="F1006" t="s">
        <v>2209</v>
      </c>
      <c r="G1006" t="s">
        <v>3472</v>
      </c>
      <c r="H1006">
        <v>1E-3</v>
      </c>
      <c r="I1006">
        <v>1E-3</v>
      </c>
      <c r="J1006">
        <v>95</v>
      </c>
    </row>
    <row r="1007" spans="1:10" x14ac:dyDescent="0.2">
      <c r="A1007" t="s">
        <v>654</v>
      </c>
      <c r="B1007" t="s">
        <v>3473</v>
      </c>
      <c r="C1007" t="s">
        <v>1506</v>
      </c>
      <c r="D1007" t="s">
        <v>1507</v>
      </c>
      <c r="E1007" t="s">
        <v>1596</v>
      </c>
      <c r="F1007" t="s">
        <v>1950</v>
      </c>
      <c r="G1007" t="s">
        <v>3474</v>
      </c>
      <c r="H1007">
        <v>1E-3</v>
      </c>
      <c r="I1007">
        <v>0</v>
      </c>
      <c r="J1007">
        <v>95</v>
      </c>
    </row>
    <row r="1008" spans="1:10" x14ac:dyDescent="0.2">
      <c r="A1008" t="s">
        <v>654</v>
      </c>
      <c r="B1008" t="s">
        <v>39</v>
      </c>
      <c r="C1008" t="s">
        <v>1506</v>
      </c>
      <c r="D1008" t="s">
        <v>1507</v>
      </c>
      <c r="E1008" t="s">
        <v>1508</v>
      </c>
      <c r="F1008" t="s">
        <v>1509</v>
      </c>
      <c r="G1008" t="s">
        <v>40</v>
      </c>
      <c r="H1008">
        <v>0</v>
      </c>
      <c r="I1008">
        <v>0.999</v>
      </c>
      <c r="J1008">
        <v>300</v>
      </c>
    </row>
    <row r="1009" spans="1:10" x14ac:dyDescent="0.2">
      <c r="A1009" t="s">
        <v>654</v>
      </c>
      <c r="B1009" t="s">
        <v>42</v>
      </c>
      <c r="C1009" t="s">
        <v>1506</v>
      </c>
      <c r="D1009" t="s">
        <v>1507</v>
      </c>
      <c r="E1009" t="s">
        <v>1508</v>
      </c>
      <c r="F1009" t="s">
        <v>1509</v>
      </c>
      <c r="G1009" t="s">
        <v>43</v>
      </c>
      <c r="H1009">
        <v>0</v>
      </c>
      <c r="I1009">
        <v>0.999</v>
      </c>
      <c r="J1009">
        <v>300</v>
      </c>
    </row>
    <row r="1010" spans="1:10" x14ac:dyDescent="0.2">
      <c r="A1010" t="s">
        <v>654</v>
      </c>
      <c r="B1010" t="s">
        <v>7</v>
      </c>
      <c r="C1010" t="s">
        <v>1506</v>
      </c>
      <c r="D1010" t="s">
        <v>1507</v>
      </c>
      <c r="E1010" t="s">
        <v>1508</v>
      </c>
      <c r="F1010" t="s">
        <v>1509</v>
      </c>
      <c r="G1010" t="s">
        <v>9</v>
      </c>
      <c r="H1010">
        <v>0</v>
      </c>
      <c r="I1010">
        <v>0.999</v>
      </c>
      <c r="J1010">
        <v>300</v>
      </c>
    </row>
    <row r="1011" spans="1:10" x14ac:dyDescent="0.2">
      <c r="A1011" t="s">
        <v>654</v>
      </c>
      <c r="B1011" t="s">
        <v>3475</v>
      </c>
      <c r="C1011" t="s">
        <v>1506</v>
      </c>
      <c r="D1011" t="s">
        <v>1507</v>
      </c>
      <c r="E1011" t="s">
        <v>2357</v>
      </c>
      <c r="F1011" t="s">
        <v>3188</v>
      </c>
      <c r="G1011" t="s">
        <v>3476</v>
      </c>
      <c r="H1011">
        <v>0</v>
      </c>
      <c r="I1011">
        <v>0.99199999999999999</v>
      </c>
      <c r="J1011">
        <v>95</v>
      </c>
    </row>
    <row r="1012" spans="1:10" x14ac:dyDescent="0.2">
      <c r="A1012" t="s">
        <v>654</v>
      </c>
      <c r="B1012" t="s">
        <v>3477</v>
      </c>
      <c r="C1012" t="s">
        <v>1506</v>
      </c>
      <c r="D1012" t="s">
        <v>1507</v>
      </c>
      <c r="E1012" t="s">
        <v>2357</v>
      </c>
      <c r="F1012" t="s">
        <v>3188</v>
      </c>
      <c r="G1012" t="s">
        <v>3476</v>
      </c>
      <c r="H1012">
        <v>0</v>
      </c>
      <c r="I1012">
        <v>0.98899999999999999</v>
      </c>
      <c r="J1012">
        <v>95</v>
      </c>
    </row>
    <row r="1013" spans="1:10" x14ac:dyDescent="0.2">
      <c r="A1013" t="s">
        <v>654</v>
      </c>
      <c r="B1013" t="s">
        <v>3131</v>
      </c>
      <c r="C1013" t="s">
        <v>1506</v>
      </c>
      <c r="D1013" t="s">
        <v>1507</v>
      </c>
      <c r="E1013" t="s">
        <v>1508</v>
      </c>
      <c r="F1013" t="s">
        <v>1509</v>
      </c>
      <c r="G1013" t="s">
        <v>2438</v>
      </c>
      <c r="H1013">
        <v>0</v>
      </c>
      <c r="I1013">
        <v>0.92800000000000005</v>
      </c>
      <c r="J1013">
        <v>332</v>
      </c>
    </row>
    <row r="1014" spans="1:10" x14ac:dyDescent="0.2">
      <c r="A1014" t="s">
        <v>654</v>
      </c>
      <c r="B1014" t="s">
        <v>2397</v>
      </c>
      <c r="C1014" t="s">
        <v>1506</v>
      </c>
      <c r="D1014" t="s">
        <v>1507</v>
      </c>
      <c r="E1014" t="s">
        <v>1508</v>
      </c>
      <c r="F1014" t="s">
        <v>1509</v>
      </c>
      <c r="G1014" t="s">
        <v>2398</v>
      </c>
      <c r="H1014">
        <v>0</v>
      </c>
      <c r="I1014">
        <v>0.92800000000000005</v>
      </c>
      <c r="J1014">
        <v>333</v>
      </c>
    </row>
    <row r="1015" spans="1:10" x14ac:dyDescent="0.2">
      <c r="A1015" t="s">
        <v>654</v>
      </c>
      <c r="B1015" t="s">
        <v>2114</v>
      </c>
      <c r="C1015" t="s">
        <v>1506</v>
      </c>
      <c r="D1015" t="s">
        <v>1507</v>
      </c>
      <c r="E1015" t="s">
        <v>1508</v>
      </c>
      <c r="F1015" t="s">
        <v>1509</v>
      </c>
      <c r="G1015" t="s">
        <v>2115</v>
      </c>
      <c r="H1015">
        <v>0</v>
      </c>
      <c r="I1015">
        <v>0.89300000000000002</v>
      </c>
      <c r="J1015">
        <v>332</v>
      </c>
    </row>
    <row r="1016" spans="1:10" x14ac:dyDescent="0.2">
      <c r="A1016" t="s">
        <v>654</v>
      </c>
      <c r="B1016" t="s">
        <v>3478</v>
      </c>
      <c r="C1016" t="s">
        <v>1506</v>
      </c>
      <c r="D1016" t="s">
        <v>1507</v>
      </c>
      <c r="E1016" t="s">
        <v>1508</v>
      </c>
      <c r="F1016" t="s">
        <v>1509</v>
      </c>
      <c r="G1016" t="s">
        <v>2445</v>
      </c>
      <c r="H1016">
        <v>0</v>
      </c>
      <c r="I1016">
        <v>0.89300000000000002</v>
      </c>
      <c r="J1016">
        <v>333</v>
      </c>
    </row>
    <row r="1017" spans="1:10" x14ac:dyDescent="0.2">
      <c r="A1017" t="s">
        <v>654</v>
      </c>
      <c r="B1017" t="s">
        <v>2437</v>
      </c>
      <c r="C1017" t="s">
        <v>1506</v>
      </c>
      <c r="D1017" t="s">
        <v>1507</v>
      </c>
      <c r="E1017" t="s">
        <v>1508</v>
      </c>
      <c r="F1017" t="s">
        <v>1509</v>
      </c>
      <c r="G1017" t="s">
        <v>2438</v>
      </c>
      <c r="H1017">
        <v>0</v>
      </c>
      <c r="I1017">
        <v>0.89300000000000002</v>
      </c>
      <c r="J1017">
        <v>333</v>
      </c>
    </row>
    <row r="1018" spans="1:10" x14ac:dyDescent="0.2">
      <c r="A1018" t="s">
        <v>654</v>
      </c>
      <c r="B1018" t="s">
        <v>2439</v>
      </c>
      <c r="C1018" t="s">
        <v>1506</v>
      </c>
      <c r="D1018" t="s">
        <v>1507</v>
      </c>
      <c r="E1018" t="s">
        <v>1508</v>
      </c>
      <c r="F1018" t="s">
        <v>1509</v>
      </c>
      <c r="G1018" t="s">
        <v>2440</v>
      </c>
      <c r="H1018">
        <v>0</v>
      </c>
      <c r="I1018">
        <v>0.89300000000000002</v>
      </c>
      <c r="J1018">
        <v>333</v>
      </c>
    </row>
    <row r="1019" spans="1:10" x14ac:dyDescent="0.2">
      <c r="A1019" t="s">
        <v>654</v>
      </c>
      <c r="B1019" t="s">
        <v>2446</v>
      </c>
      <c r="C1019" t="s">
        <v>1506</v>
      </c>
      <c r="D1019" t="s">
        <v>1507</v>
      </c>
      <c r="E1019" t="s">
        <v>1508</v>
      </c>
      <c r="F1019" t="s">
        <v>1509</v>
      </c>
      <c r="G1019" t="s">
        <v>2447</v>
      </c>
      <c r="H1019">
        <v>0</v>
      </c>
      <c r="I1019">
        <v>0.89300000000000002</v>
      </c>
      <c r="J1019">
        <v>333</v>
      </c>
    </row>
    <row r="1020" spans="1:10" x14ac:dyDescent="0.2">
      <c r="A1020" t="s">
        <v>654</v>
      </c>
      <c r="B1020" t="s">
        <v>3132</v>
      </c>
      <c r="C1020" t="s">
        <v>1506</v>
      </c>
      <c r="D1020" t="s">
        <v>1507</v>
      </c>
      <c r="E1020" t="s">
        <v>1508</v>
      </c>
      <c r="F1020" t="s">
        <v>1509</v>
      </c>
      <c r="G1020" t="s">
        <v>2447</v>
      </c>
      <c r="H1020">
        <v>0</v>
      </c>
      <c r="I1020">
        <v>0.89300000000000002</v>
      </c>
      <c r="J1020">
        <v>333</v>
      </c>
    </row>
    <row r="1021" spans="1:10" x14ac:dyDescent="0.2">
      <c r="A1021" t="s">
        <v>654</v>
      </c>
      <c r="B1021" t="s">
        <v>2251</v>
      </c>
      <c r="C1021" t="s">
        <v>1506</v>
      </c>
      <c r="D1021" t="s">
        <v>1507</v>
      </c>
      <c r="E1021" t="s">
        <v>1508</v>
      </c>
      <c r="F1021" t="s">
        <v>1509</v>
      </c>
      <c r="G1021" t="s">
        <v>2252</v>
      </c>
      <c r="H1021">
        <v>0</v>
      </c>
      <c r="I1021">
        <v>0.89300000000000002</v>
      </c>
      <c r="J1021">
        <v>332</v>
      </c>
    </row>
    <row r="1022" spans="1:10" x14ac:dyDescent="0.2">
      <c r="A1022" t="s">
        <v>654</v>
      </c>
      <c r="B1022" t="s">
        <v>2038</v>
      </c>
      <c r="C1022" t="s">
        <v>1506</v>
      </c>
      <c r="D1022" t="s">
        <v>1507</v>
      </c>
      <c r="E1022" t="s">
        <v>1508</v>
      </c>
      <c r="F1022" t="s">
        <v>1509</v>
      </c>
      <c r="G1022" t="s">
        <v>2039</v>
      </c>
      <c r="H1022">
        <v>0</v>
      </c>
      <c r="I1022">
        <v>0.35799999999999998</v>
      </c>
      <c r="J1022">
        <v>300</v>
      </c>
    </row>
    <row r="1023" spans="1:10" x14ac:dyDescent="0.2">
      <c r="A1023" t="s">
        <v>654</v>
      </c>
      <c r="B1023" t="s">
        <v>2102</v>
      </c>
      <c r="C1023" t="s">
        <v>1506</v>
      </c>
      <c r="D1023" t="s">
        <v>1507</v>
      </c>
      <c r="E1023" t="s">
        <v>1508</v>
      </c>
      <c r="F1023" t="s">
        <v>1509</v>
      </c>
      <c r="G1023" t="s">
        <v>2103</v>
      </c>
      <c r="H1023">
        <v>0</v>
      </c>
      <c r="I1023">
        <v>0.33100000000000002</v>
      </c>
      <c r="J1023">
        <v>333</v>
      </c>
    </row>
    <row r="1024" spans="1:10" x14ac:dyDescent="0.2">
      <c r="A1024" t="s">
        <v>654</v>
      </c>
      <c r="B1024" t="s">
        <v>2104</v>
      </c>
      <c r="C1024" t="s">
        <v>1506</v>
      </c>
      <c r="D1024" t="s">
        <v>1507</v>
      </c>
      <c r="E1024" t="s">
        <v>1508</v>
      </c>
      <c r="F1024" t="s">
        <v>1509</v>
      </c>
      <c r="G1024" t="s">
        <v>2105</v>
      </c>
      <c r="H1024">
        <v>0</v>
      </c>
      <c r="I1024">
        <v>0.33100000000000002</v>
      </c>
      <c r="J1024">
        <v>333</v>
      </c>
    </row>
    <row r="1025" spans="1:10" x14ac:dyDescent="0.2">
      <c r="A1025" t="s">
        <v>654</v>
      </c>
      <c r="B1025" t="s">
        <v>2106</v>
      </c>
      <c r="C1025" t="s">
        <v>1506</v>
      </c>
      <c r="D1025" t="s">
        <v>1507</v>
      </c>
      <c r="E1025" t="s">
        <v>1508</v>
      </c>
      <c r="F1025" t="s">
        <v>1509</v>
      </c>
      <c r="G1025" t="s">
        <v>2107</v>
      </c>
      <c r="H1025">
        <v>0</v>
      </c>
      <c r="I1025">
        <v>0.33100000000000002</v>
      </c>
      <c r="J1025">
        <v>333</v>
      </c>
    </row>
    <row r="1026" spans="1:10" x14ac:dyDescent="0.2">
      <c r="A1026" t="s">
        <v>654</v>
      </c>
      <c r="B1026" t="s">
        <v>2120</v>
      </c>
      <c r="C1026" t="s">
        <v>1506</v>
      </c>
      <c r="D1026" t="s">
        <v>1507</v>
      </c>
      <c r="E1026" t="s">
        <v>1508</v>
      </c>
      <c r="F1026" t="s">
        <v>1509</v>
      </c>
      <c r="G1026" t="s">
        <v>2121</v>
      </c>
      <c r="H1026">
        <v>0</v>
      </c>
      <c r="I1026">
        <v>0.33100000000000002</v>
      </c>
      <c r="J1026">
        <v>333</v>
      </c>
    </row>
    <row r="1027" spans="1:10" x14ac:dyDescent="0.2">
      <c r="A1027" t="s">
        <v>654</v>
      </c>
      <c r="B1027" t="s">
        <v>2124</v>
      </c>
      <c r="C1027" t="s">
        <v>1506</v>
      </c>
      <c r="D1027" t="s">
        <v>1507</v>
      </c>
      <c r="E1027" t="s">
        <v>1508</v>
      </c>
      <c r="F1027" t="s">
        <v>1509</v>
      </c>
      <c r="G1027" t="s">
        <v>2125</v>
      </c>
      <c r="H1027">
        <v>0</v>
      </c>
      <c r="I1027">
        <v>0.33100000000000002</v>
      </c>
      <c r="J1027">
        <v>333</v>
      </c>
    </row>
    <row r="1028" spans="1:10" x14ac:dyDescent="0.2">
      <c r="A1028" t="s">
        <v>654</v>
      </c>
      <c r="B1028" t="s">
        <v>2130</v>
      </c>
      <c r="C1028" t="s">
        <v>1506</v>
      </c>
      <c r="D1028" t="s">
        <v>1507</v>
      </c>
      <c r="E1028" t="s">
        <v>1508</v>
      </c>
      <c r="F1028" t="s">
        <v>1509</v>
      </c>
      <c r="G1028" t="s">
        <v>2131</v>
      </c>
      <c r="H1028">
        <v>0</v>
      </c>
      <c r="I1028">
        <v>0.33100000000000002</v>
      </c>
      <c r="J1028">
        <v>333</v>
      </c>
    </row>
    <row r="1029" spans="1:10" x14ac:dyDescent="0.2">
      <c r="A1029" t="s">
        <v>654</v>
      </c>
      <c r="B1029" t="s">
        <v>2134</v>
      </c>
      <c r="C1029" t="s">
        <v>1506</v>
      </c>
      <c r="D1029" t="s">
        <v>1507</v>
      </c>
      <c r="E1029" t="s">
        <v>1508</v>
      </c>
      <c r="F1029" t="s">
        <v>1509</v>
      </c>
      <c r="G1029" t="s">
        <v>2135</v>
      </c>
      <c r="H1029">
        <v>0</v>
      </c>
      <c r="I1029">
        <v>0.33100000000000002</v>
      </c>
      <c r="J1029">
        <v>333</v>
      </c>
    </row>
    <row r="1030" spans="1:10" x14ac:dyDescent="0.2">
      <c r="A1030" t="s">
        <v>654</v>
      </c>
      <c r="B1030" t="s">
        <v>2144</v>
      </c>
      <c r="C1030" t="s">
        <v>1506</v>
      </c>
      <c r="D1030" t="s">
        <v>1507</v>
      </c>
      <c r="E1030" t="s">
        <v>1508</v>
      </c>
      <c r="F1030" t="s">
        <v>1509</v>
      </c>
      <c r="G1030" t="s">
        <v>2145</v>
      </c>
      <c r="H1030">
        <v>0</v>
      </c>
      <c r="I1030">
        <v>0.33100000000000002</v>
      </c>
      <c r="J1030">
        <v>333</v>
      </c>
    </row>
    <row r="1031" spans="1:10" x14ac:dyDescent="0.2">
      <c r="A1031" t="s">
        <v>654</v>
      </c>
      <c r="B1031" t="s">
        <v>2150</v>
      </c>
      <c r="C1031" t="s">
        <v>1506</v>
      </c>
      <c r="D1031" t="s">
        <v>1507</v>
      </c>
      <c r="E1031" t="s">
        <v>1508</v>
      </c>
      <c r="F1031" t="s">
        <v>1509</v>
      </c>
      <c r="G1031" t="s">
        <v>2151</v>
      </c>
      <c r="H1031">
        <v>0</v>
      </c>
      <c r="I1031">
        <v>0.33100000000000002</v>
      </c>
      <c r="J1031">
        <v>333</v>
      </c>
    </row>
    <row r="1032" spans="1:10" x14ac:dyDescent="0.2">
      <c r="A1032" t="s">
        <v>654</v>
      </c>
      <c r="B1032" t="s">
        <v>2156</v>
      </c>
      <c r="C1032" t="s">
        <v>1506</v>
      </c>
      <c r="D1032" t="s">
        <v>1507</v>
      </c>
      <c r="E1032" t="s">
        <v>1508</v>
      </c>
      <c r="F1032" t="s">
        <v>1509</v>
      </c>
      <c r="G1032" t="s">
        <v>2157</v>
      </c>
      <c r="H1032">
        <v>0</v>
      </c>
      <c r="I1032">
        <v>0.33100000000000002</v>
      </c>
      <c r="J1032">
        <v>333</v>
      </c>
    </row>
    <row r="1033" spans="1:10" x14ac:dyDescent="0.2">
      <c r="A1033" t="s">
        <v>654</v>
      </c>
      <c r="B1033" t="s">
        <v>2158</v>
      </c>
      <c r="C1033" t="s">
        <v>1506</v>
      </c>
      <c r="D1033" t="s">
        <v>1507</v>
      </c>
      <c r="E1033" t="s">
        <v>1508</v>
      </c>
      <c r="F1033" t="s">
        <v>1509</v>
      </c>
      <c r="G1033" t="s">
        <v>2159</v>
      </c>
      <c r="H1033">
        <v>0</v>
      </c>
      <c r="I1033">
        <v>0.33100000000000002</v>
      </c>
      <c r="J1033">
        <v>333</v>
      </c>
    </row>
    <row r="1034" spans="1:10" x14ac:dyDescent="0.2">
      <c r="A1034" t="s">
        <v>654</v>
      </c>
      <c r="B1034" t="s">
        <v>3479</v>
      </c>
      <c r="C1034" t="s">
        <v>1506</v>
      </c>
      <c r="D1034" t="s">
        <v>1507</v>
      </c>
      <c r="E1034" t="s">
        <v>1508</v>
      </c>
      <c r="F1034" t="s">
        <v>1509</v>
      </c>
      <c r="G1034" t="s">
        <v>2161</v>
      </c>
      <c r="H1034">
        <v>0</v>
      </c>
      <c r="I1034">
        <v>0.33100000000000002</v>
      </c>
      <c r="J1034">
        <v>333</v>
      </c>
    </row>
    <row r="1035" spans="1:10" x14ac:dyDescent="0.2">
      <c r="A1035" t="s">
        <v>654</v>
      </c>
      <c r="B1035" t="s">
        <v>2348</v>
      </c>
      <c r="C1035" t="s">
        <v>1506</v>
      </c>
      <c r="D1035" t="s">
        <v>1507</v>
      </c>
      <c r="E1035" t="s">
        <v>1508</v>
      </c>
      <c r="F1035" t="s">
        <v>1509</v>
      </c>
      <c r="G1035" t="s">
        <v>2349</v>
      </c>
      <c r="H1035">
        <v>0</v>
      </c>
      <c r="I1035">
        <v>0.28899999999999998</v>
      </c>
      <c r="J1035">
        <v>331</v>
      </c>
    </row>
    <row r="1036" spans="1:10" x14ac:dyDescent="0.2">
      <c r="A1036" t="s">
        <v>654</v>
      </c>
      <c r="B1036" t="s">
        <v>2350</v>
      </c>
      <c r="C1036" t="s">
        <v>1506</v>
      </c>
      <c r="D1036" t="s">
        <v>1507</v>
      </c>
      <c r="E1036" t="s">
        <v>1508</v>
      </c>
      <c r="F1036" t="s">
        <v>1509</v>
      </c>
      <c r="G1036" t="s">
        <v>2351</v>
      </c>
      <c r="H1036">
        <v>0</v>
      </c>
      <c r="I1036">
        <v>0.28899999999999998</v>
      </c>
      <c r="J1036">
        <v>300</v>
      </c>
    </row>
    <row r="1037" spans="1:10" x14ac:dyDescent="0.2">
      <c r="A1037" t="s">
        <v>654</v>
      </c>
      <c r="B1037" t="s">
        <v>2799</v>
      </c>
      <c r="C1037" t="s">
        <v>1506</v>
      </c>
      <c r="D1037" t="s">
        <v>1507</v>
      </c>
      <c r="E1037" t="s">
        <v>1508</v>
      </c>
      <c r="F1037" t="s">
        <v>1509</v>
      </c>
      <c r="G1037" t="s">
        <v>2800</v>
      </c>
      <c r="H1037">
        <v>0</v>
      </c>
      <c r="I1037">
        <v>0.28899999999999998</v>
      </c>
      <c r="J1037">
        <v>299</v>
      </c>
    </row>
    <row r="1038" spans="1:10" x14ac:dyDescent="0.2">
      <c r="A1038" t="s">
        <v>654</v>
      </c>
      <c r="B1038" t="s">
        <v>2191</v>
      </c>
      <c r="C1038" t="s">
        <v>1506</v>
      </c>
      <c r="D1038" t="s">
        <v>1507</v>
      </c>
      <c r="E1038" t="s">
        <v>1508</v>
      </c>
      <c r="F1038" t="s">
        <v>1509</v>
      </c>
      <c r="G1038" t="s">
        <v>2192</v>
      </c>
      <c r="H1038">
        <v>0</v>
      </c>
      <c r="I1038">
        <v>0.28899999999999998</v>
      </c>
      <c r="J1038">
        <v>300</v>
      </c>
    </row>
    <row r="1039" spans="1:10" x14ac:dyDescent="0.2">
      <c r="A1039" t="s">
        <v>654</v>
      </c>
      <c r="B1039" t="s">
        <v>2352</v>
      </c>
      <c r="C1039" t="s">
        <v>1506</v>
      </c>
      <c r="D1039" t="s">
        <v>1507</v>
      </c>
      <c r="E1039" t="s">
        <v>1508</v>
      </c>
      <c r="F1039" t="s">
        <v>1509</v>
      </c>
      <c r="G1039" t="s">
        <v>2353</v>
      </c>
      <c r="H1039">
        <v>0</v>
      </c>
      <c r="I1039">
        <v>0.28899999999999998</v>
      </c>
      <c r="J1039">
        <v>300</v>
      </c>
    </row>
    <row r="1040" spans="1:10" x14ac:dyDescent="0.2">
      <c r="A1040" t="s">
        <v>654</v>
      </c>
      <c r="B1040" t="s">
        <v>49</v>
      </c>
      <c r="C1040" t="s">
        <v>1506</v>
      </c>
      <c r="D1040" t="s">
        <v>1507</v>
      </c>
      <c r="E1040" t="s">
        <v>1508</v>
      </c>
      <c r="F1040" t="s">
        <v>1509</v>
      </c>
      <c r="G1040" t="s">
        <v>50</v>
      </c>
      <c r="H1040">
        <v>0</v>
      </c>
      <c r="I1040">
        <v>0.14499999999999999</v>
      </c>
      <c r="J1040">
        <v>300</v>
      </c>
    </row>
    <row r="1041" spans="1:10" x14ac:dyDescent="0.2">
      <c r="A1041" t="s">
        <v>654</v>
      </c>
      <c r="B1041" t="s">
        <v>47</v>
      </c>
      <c r="C1041" t="s">
        <v>1506</v>
      </c>
      <c r="D1041" t="s">
        <v>1507</v>
      </c>
      <c r="E1041" t="s">
        <v>1508</v>
      </c>
      <c r="F1041" t="s">
        <v>1509</v>
      </c>
      <c r="G1041" t="s">
        <v>46</v>
      </c>
      <c r="H1041">
        <v>0</v>
      </c>
      <c r="I1041">
        <v>0.14499999999999999</v>
      </c>
      <c r="J1041">
        <v>300</v>
      </c>
    </row>
    <row r="1042" spans="1:10" x14ac:dyDescent="0.2">
      <c r="A1042" t="s">
        <v>654</v>
      </c>
      <c r="B1042" t="s">
        <v>2294</v>
      </c>
      <c r="C1042" t="s">
        <v>1506</v>
      </c>
      <c r="D1042" t="s">
        <v>1507</v>
      </c>
      <c r="E1042" t="s">
        <v>1508</v>
      </c>
      <c r="F1042" t="s">
        <v>1509</v>
      </c>
      <c r="G1042" t="s">
        <v>2295</v>
      </c>
      <c r="H1042">
        <v>0</v>
      </c>
      <c r="I1042">
        <v>4.9000000000000002E-2</v>
      </c>
      <c r="J1042">
        <v>333</v>
      </c>
    </row>
    <row r="1043" spans="1:10" x14ac:dyDescent="0.2">
      <c r="A1043" t="s">
        <v>654</v>
      </c>
      <c r="B1043" t="s">
        <v>2162</v>
      </c>
      <c r="C1043" t="s">
        <v>1506</v>
      </c>
      <c r="D1043" t="s">
        <v>1507</v>
      </c>
      <c r="E1043" t="s">
        <v>1508</v>
      </c>
      <c r="F1043" t="s">
        <v>1509</v>
      </c>
      <c r="G1043" t="s">
        <v>2163</v>
      </c>
      <c r="H1043">
        <v>0</v>
      </c>
      <c r="I1043">
        <v>3.2000000000000001E-2</v>
      </c>
      <c r="J1043">
        <v>333</v>
      </c>
    </row>
    <row r="1044" spans="1:10" x14ac:dyDescent="0.2">
      <c r="A1044" t="s">
        <v>654</v>
      </c>
      <c r="B1044" t="s">
        <v>3480</v>
      </c>
      <c r="C1044" t="s">
        <v>1506</v>
      </c>
      <c r="D1044" t="s">
        <v>1507</v>
      </c>
      <c r="E1044" t="s">
        <v>1523</v>
      </c>
      <c r="F1044" t="s">
        <v>2500</v>
      </c>
      <c r="G1044" t="s">
        <v>3481</v>
      </c>
      <c r="H1044">
        <v>0</v>
      </c>
      <c r="I1044">
        <v>0.03</v>
      </c>
      <c r="J1044">
        <v>332</v>
      </c>
    </row>
    <row r="1045" spans="1:10" x14ac:dyDescent="0.2">
      <c r="A1045" t="s">
        <v>654</v>
      </c>
      <c r="B1045" t="s">
        <v>3482</v>
      </c>
      <c r="C1045" t="s">
        <v>1506</v>
      </c>
      <c r="D1045" t="s">
        <v>1507</v>
      </c>
      <c r="E1045" t="s">
        <v>1523</v>
      </c>
      <c r="F1045" t="s">
        <v>2500</v>
      </c>
      <c r="G1045" t="s">
        <v>3483</v>
      </c>
      <c r="H1045">
        <v>0</v>
      </c>
      <c r="I1045">
        <v>0.03</v>
      </c>
      <c r="J1045">
        <v>98</v>
      </c>
    </row>
    <row r="1046" spans="1:10" x14ac:dyDescent="0.2">
      <c r="A1046" t="s">
        <v>654</v>
      </c>
      <c r="B1046" t="s">
        <v>3484</v>
      </c>
      <c r="C1046" t="s">
        <v>1506</v>
      </c>
      <c r="D1046" t="s">
        <v>1507</v>
      </c>
      <c r="E1046" t="s">
        <v>1523</v>
      </c>
      <c r="F1046" t="s">
        <v>2500</v>
      </c>
      <c r="G1046" t="s">
        <v>3485</v>
      </c>
      <c r="H1046">
        <v>0</v>
      </c>
      <c r="I1046">
        <v>0.03</v>
      </c>
      <c r="J1046">
        <v>332</v>
      </c>
    </row>
    <row r="1047" spans="1:10" x14ac:dyDescent="0.2">
      <c r="A1047" t="s">
        <v>654</v>
      </c>
      <c r="B1047" t="s">
        <v>3486</v>
      </c>
      <c r="C1047" t="s">
        <v>1506</v>
      </c>
      <c r="D1047" t="s">
        <v>1507</v>
      </c>
      <c r="E1047" t="s">
        <v>1684</v>
      </c>
      <c r="F1047" t="s">
        <v>1685</v>
      </c>
      <c r="G1047" t="s">
        <v>3487</v>
      </c>
      <c r="H1047">
        <v>0</v>
      </c>
      <c r="I1047">
        <v>1.4999999999999999E-2</v>
      </c>
      <c r="J1047">
        <v>96</v>
      </c>
    </row>
    <row r="1048" spans="1:10" x14ac:dyDescent="0.2">
      <c r="A1048" t="s">
        <v>654</v>
      </c>
      <c r="B1048" t="s">
        <v>2292</v>
      </c>
      <c r="C1048" t="s">
        <v>1506</v>
      </c>
      <c r="D1048" t="s">
        <v>1507</v>
      </c>
      <c r="E1048" t="s">
        <v>1508</v>
      </c>
      <c r="F1048" t="s">
        <v>1509</v>
      </c>
      <c r="G1048" t="s">
        <v>2293</v>
      </c>
      <c r="H1048">
        <v>0</v>
      </c>
      <c r="I1048">
        <v>8.9999999999999993E-3</v>
      </c>
      <c r="J1048">
        <v>333</v>
      </c>
    </row>
    <row r="1049" spans="1:10" x14ac:dyDescent="0.2">
      <c r="A1049" t="s">
        <v>654</v>
      </c>
      <c r="B1049" t="s">
        <v>3488</v>
      </c>
      <c r="C1049" t="s">
        <v>1506</v>
      </c>
      <c r="D1049" t="s">
        <v>1507</v>
      </c>
      <c r="E1049" t="s">
        <v>1508</v>
      </c>
      <c r="F1049" t="s">
        <v>1509</v>
      </c>
      <c r="G1049" t="s">
        <v>1998</v>
      </c>
      <c r="H1049">
        <v>0</v>
      </c>
      <c r="I1049">
        <v>8.0000000000000002E-3</v>
      </c>
      <c r="J1049">
        <v>332</v>
      </c>
    </row>
    <row r="1050" spans="1:10" x14ac:dyDescent="0.2">
      <c r="A1050" t="s">
        <v>654</v>
      </c>
      <c r="B1050" t="s">
        <v>3489</v>
      </c>
      <c r="C1050" t="s">
        <v>1506</v>
      </c>
      <c r="D1050" t="s">
        <v>1507</v>
      </c>
      <c r="E1050" t="s">
        <v>8</v>
      </c>
      <c r="F1050" t="s">
        <v>1578</v>
      </c>
      <c r="G1050" t="s">
        <v>3490</v>
      </c>
      <c r="H1050">
        <v>0</v>
      </c>
      <c r="I1050">
        <v>7.0000000000000001E-3</v>
      </c>
      <c r="J1050">
        <v>303</v>
      </c>
    </row>
    <row r="1051" spans="1:10" x14ac:dyDescent="0.2">
      <c r="A1051" t="s">
        <v>654</v>
      </c>
      <c r="B1051" t="s">
        <v>2873</v>
      </c>
      <c r="C1051" t="s">
        <v>1506</v>
      </c>
      <c r="D1051" t="s">
        <v>1507</v>
      </c>
      <c r="E1051" t="s">
        <v>1508</v>
      </c>
      <c r="F1051" t="s">
        <v>1509</v>
      </c>
      <c r="G1051" t="s">
        <v>2874</v>
      </c>
      <c r="H1051">
        <v>0</v>
      </c>
      <c r="I1051">
        <v>2E-3</v>
      </c>
      <c r="J1051">
        <v>97</v>
      </c>
    </row>
    <row r="1052" spans="1:10" x14ac:dyDescent="0.2">
      <c r="A1052" t="s">
        <v>654</v>
      </c>
      <c r="B1052" t="s">
        <v>3491</v>
      </c>
      <c r="C1052" t="s">
        <v>1506</v>
      </c>
      <c r="D1052" t="s">
        <v>1507</v>
      </c>
      <c r="E1052" t="s">
        <v>1586</v>
      </c>
      <c r="F1052" t="s">
        <v>2305</v>
      </c>
      <c r="G1052" t="s">
        <v>3492</v>
      </c>
      <c r="H1052">
        <v>0</v>
      </c>
      <c r="I1052">
        <v>1E-3</v>
      </c>
      <c r="J1052">
        <v>132</v>
      </c>
    </row>
    <row r="1053" spans="1:10" x14ac:dyDescent="0.2">
      <c r="A1053" t="s">
        <v>654</v>
      </c>
      <c r="B1053" t="s">
        <v>3493</v>
      </c>
      <c r="C1053" t="s">
        <v>1506</v>
      </c>
      <c r="D1053" t="s">
        <v>1507</v>
      </c>
      <c r="E1053" t="s">
        <v>2223</v>
      </c>
      <c r="F1053" t="s">
        <v>2224</v>
      </c>
      <c r="G1053" t="s">
        <v>2737</v>
      </c>
      <c r="H1053">
        <v>0</v>
      </c>
      <c r="I1053">
        <v>1E-3</v>
      </c>
      <c r="J1053">
        <v>133</v>
      </c>
    </row>
    <row r="1054" spans="1:10" x14ac:dyDescent="0.2">
      <c r="A1054" t="s">
        <v>654</v>
      </c>
      <c r="B1054" t="s">
        <v>3420</v>
      </c>
      <c r="C1054" t="s">
        <v>1506</v>
      </c>
      <c r="D1054" t="s">
        <v>1507</v>
      </c>
      <c r="E1054" t="s">
        <v>1658</v>
      </c>
      <c r="F1054" t="s">
        <v>2381</v>
      </c>
      <c r="G1054" t="s">
        <v>3421</v>
      </c>
      <c r="H1054">
        <v>0</v>
      </c>
      <c r="I1054">
        <v>1E-3</v>
      </c>
      <c r="J1054">
        <v>133</v>
      </c>
    </row>
    <row r="1055" spans="1:10" x14ac:dyDescent="0.2">
      <c r="A1055" t="s">
        <v>654</v>
      </c>
      <c r="B1055" t="s">
        <v>3494</v>
      </c>
      <c r="C1055" t="s">
        <v>1506</v>
      </c>
      <c r="D1055" t="s">
        <v>1507</v>
      </c>
      <c r="E1055" t="s">
        <v>8</v>
      </c>
      <c r="F1055" t="s">
        <v>1578</v>
      </c>
      <c r="G1055" t="s">
        <v>3495</v>
      </c>
      <c r="H1055">
        <v>0</v>
      </c>
      <c r="I1055">
        <v>1E-3</v>
      </c>
      <c r="J1055">
        <v>382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zoomScale="80" zoomScaleNormal="80" workbookViewId="0"/>
  </sheetViews>
  <sheetFormatPr baseColWidth="10" defaultColWidth="25" defaultRowHeight="15.75" customHeight="1" x14ac:dyDescent="0.2"/>
  <cols>
    <col min="1" max="1" width="32" style="3" customWidth="1"/>
    <col min="2" max="2" width="9.33203125" style="3" customWidth="1"/>
    <col min="3" max="3" width="10.6640625" style="3" bestFit="1" customWidth="1"/>
    <col min="4" max="4" width="161.83203125" style="3" customWidth="1"/>
    <col min="5" max="16384" width="25" style="3"/>
  </cols>
  <sheetData>
    <row r="1" spans="1:4" ht="16" x14ac:dyDescent="0.2">
      <c r="A1" s="6" t="s">
        <v>8020</v>
      </c>
    </row>
    <row r="3" spans="1:4" ht="16" x14ac:dyDescent="0.2">
      <c r="A3" s="9" t="s">
        <v>344</v>
      </c>
      <c r="B3" s="9" t="s">
        <v>345</v>
      </c>
      <c r="C3" s="9" t="s">
        <v>348</v>
      </c>
      <c r="D3" s="9" t="s">
        <v>351</v>
      </c>
    </row>
    <row r="4" spans="1:4" ht="16" x14ac:dyDescent="0.2">
      <c r="A4" s="10" t="s">
        <v>73</v>
      </c>
      <c r="B4" s="3" t="s">
        <v>352</v>
      </c>
      <c r="C4" s="3">
        <v>70</v>
      </c>
      <c r="D4" s="11" t="s">
        <v>404</v>
      </c>
    </row>
    <row r="5" spans="1:4" ht="16" x14ac:dyDescent="0.2">
      <c r="A5" s="10" t="s">
        <v>26</v>
      </c>
      <c r="B5" s="3" t="s">
        <v>352</v>
      </c>
      <c r="C5" s="3">
        <v>70</v>
      </c>
      <c r="D5" s="11" t="s">
        <v>405</v>
      </c>
    </row>
    <row r="6" spans="1:4" ht="16" x14ac:dyDescent="0.2">
      <c r="A6" s="10" t="s">
        <v>69</v>
      </c>
      <c r="B6" s="3" t="s">
        <v>352</v>
      </c>
      <c r="C6" s="3">
        <v>70</v>
      </c>
      <c r="D6" s="11" t="s">
        <v>406</v>
      </c>
    </row>
    <row r="7" spans="1:4" ht="16" x14ac:dyDescent="0.2">
      <c r="A7" s="10" t="s">
        <v>290</v>
      </c>
      <c r="B7" s="3" t="s">
        <v>352</v>
      </c>
      <c r="C7" s="3">
        <v>70</v>
      </c>
      <c r="D7" s="11" t="s">
        <v>407</v>
      </c>
    </row>
    <row r="8" spans="1:4" ht="16" x14ac:dyDescent="0.2">
      <c r="A8" s="10" t="s">
        <v>408</v>
      </c>
      <c r="B8" s="3" t="s">
        <v>352</v>
      </c>
      <c r="C8" s="3">
        <v>70</v>
      </c>
      <c r="D8" s="11" t="s">
        <v>409</v>
      </c>
    </row>
    <row r="9" spans="1:4" ht="16" x14ac:dyDescent="0.2">
      <c r="A9" s="10" t="s">
        <v>275</v>
      </c>
      <c r="B9" s="3" t="s">
        <v>352</v>
      </c>
      <c r="C9" s="3">
        <v>70</v>
      </c>
      <c r="D9" s="11" t="s">
        <v>410</v>
      </c>
    </row>
    <row r="10" spans="1:4" ht="16" x14ac:dyDescent="0.2">
      <c r="A10" s="10" t="s">
        <v>73</v>
      </c>
      <c r="B10" s="3" t="s">
        <v>366</v>
      </c>
      <c r="C10" s="3">
        <v>127</v>
      </c>
      <c r="D10" s="11" t="s">
        <v>411</v>
      </c>
    </row>
    <row r="11" spans="1:4" ht="16" x14ac:dyDescent="0.2">
      <c r="A11" s="10" t="s">
        <v>26</v>
      </c>
      <c r="B11" s="3" t="s">
        <v>366</v>
      </c>
      <c r="C11" s="3">
        <v>127</v>
      </c>
      <c r="D11" s="11" t="s">
        <v>412</v>
      </c>
    </row>
    <row r="12" spans="1:4" ht="16" x14ac:dyDescent="0.2">
      <c r="A12" s="10" t="s">
        <v>69</v>
      </c>
      <c r="B12" s="3" t="s">
        <v>366</v>
      </c>
      <c r="C12" s="3">
        <v>127</v>
      </c>
      <c r="D12" s="11" t="s">
        <v>413</v>
      </c>
    </row>
    <row r="13" spans="1:4" ht="16" x14ac:dyDescent="0.2">
      <c r="A13" s="10" t="s">
        <v>290</v>
      </c>
      <c r="B13" s="3" t="s">
        <v>366</v>
      </c>
      <c r="C13" s="3">
        <v>127</v>
      </c>
      <c r="D13" s="11" t="s">
        <v>414</v>
      </c>
    </row>
    <row r="14" spans="1:4" ht="16" x14ac:dyDescent="0.2">
      <c r="A14" s="10" t="s">
        <v>408</v>
      </c>
      <c r="B14" s="3" t="s">
        <v>366</v>
      </c>
      <c r="C14" s="3">
        <v>127</v>
      </c>
      <c r="D14" s="11" t="s">
        <v>415</v>
      </c>
    </row>
    <row r="15" spans="1:4" ht="16" x14ac:dyDescent="0.2">
      <c r="A15" s="10" t="s">
        <v>275</v>
      </c>
      <c r="B15" s="3" t="s">
        <v>366</v>
      </c>
      <c r="C15" s="3">
        <v>127</v>
      </c>
      <c r="D15" s="11" t="s">
        <v>416</v>
      </c>
    </row>
    <row r="16" spans="1:4" ht="16" x14ac:dyDescent="0.2">
      <c r="A16" s="10" t="s">
        <v>73</v>
      </c>
      <c r="B16" s="3" t="s">
        <v>377</v>
      </c>
      <c r="C16" s="3">
        <v>95</v>
      </c>
      <c r="D16" s="11" t="s">
        <v>417</v>
      </c>
    </row>
    <row r="17" spans="1:4" ht="16" x14ac:dyDescent="0.2">
      <c r="A17" s="10" t="s">
        <v>26</v>
      </c>
      <c r="B17" s="3" t="s">
        <v>377</v>
      </c>
      <c r="C17" s="3">
        <v>95</v>
      </c>
      <c r="D17" s="11" t="s">
        <v>418</v>
      </c>
    </row>
    <row r="18" spans="1:4" ht="16" x14ac:dyDescent="0.2">
      <c r="A18" s="10" t="s">
        <v>69</v>
      </c>
      <c r="B18" s="3" t="s">
        <v>377</v>
      </c>
      <c r="C18" s="3">
        <v>95</v>
      </c>
      <c r="D18" s="11" t="s">
        <v>419</v>
      </c>
    </row>
    <row r="19" spans="1:4" ht="16" x14ac:dyDescent="0.2">
      <c r="A19" s="10" t="s">
        <v>408</v>
      </c>
      <c r="B19" s="3" t="s">
        <v>377</v>
      </c>
      <c r="C19" s="3">
        <v>95</v>
      </c>
      <c r="D19" s="11" t="s">
        <v>420</v>
      </c>
    </row>
    <row r="20" spans="1:4" ht="16" x14ac:dyDescent="0.2">
      <c r="A20" s="10" t="s">
        <v>275</v>
      </c>
      <c r="B20" s="3" t="s">
        <v>377</v>
      </c>
      <c r="C20" s="3">
        <v>95</v>
      </c>
      <c r="D20" s="11" t="s">
        <v>421</v>
      </c>
    </row>
    <row r="24" spans="1:4" ht="15.75" customHeight="1" x14ac:dyDescent="0.25">
      <c r="D24" s="12"/>
    </row>
    <row r="25" spans="1:4" ht="17" x14ac:dyDescent="0.25">
      <c r="D25" s="12"/>
    </row>
    <row r="26" spans="1:4" ht="17" x14ac:dyDescent="0.25">
      <c r="D26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5"/>
  <sheetViews>
    <sheetView zoomScale="80" zoomScaleNormal="80" workbookViewId="0"/>
  </sheetViews>
  <sheetFormatPr baseColWidth="10" defaultColWidth="11" defaultRowHeight="15.75" customHeight="1" x14ac:dyDescent="0.2"/>
  <cols>
    <col min="1" max="1" width="24.6640625" style="3" customWidth="1"/>
    <col min="2" max="2" width="19.1640625" style="3" customWidth="1"/>
    <col min="3" max="3" width="10.83203125" style="3" customWidth="1"/>
    <col min="4" max="4" width="18.6640625" style="3" customWidth="1"/>
    <col min="5" max="5" width="10.33203125" style="3" customWidth="1"/>
    <col min="6" max="6" width="9" style="3" customWidth="1"/>
    <col min="7" max="7" width="19.6640625" style="3" customWidth="1"/>
    <col min="8" max="8" width="46.5" style="3" customWidth="1"/>
    <col min="9" max="9" width="14.33203125" style="3" customWidth="1"/>
    <col min="10" max="10" width="15.5" style="3" customWidth="1"/>
    <col min="11" max="11" width="45.6640625" style="3" customWidth="1"/>
    <col min="12" max="15" width="10.83203125" style="3" customWidth="1"/>
    <col min="16" max="16" width="15.1640625" style="3" customWidth="1"/>
    <col min="17" max="17" width="12" style="3" customWidth="1"/>
    <col min="18" max="19" width="10.83203125" style="3" customWidth="1"/>
  </cols>
  <sheetData>
    <row r="1" spans="1:20" ht="15.75" customHeight="1" x14ac:dyDescent="0.2">
      <c r="A1" s="13" t="s">
        <v>8019</v>
      </c>
    </row>
    <row r="3" spans="1:20" ht="15.75" customHeight="1" x14ac:dyDescent="0.2">
      <c r="A3" s="13" t="s">
        <v>422</v>
      </c>
      <c r="B3" s="13" t="s">
        <v>423</v>
      </c>
      <c r="C3" s="13" t="s">
        <v>424</v>
      </c>
      <c r="D3" s="13" t="s">
        <v>425</v>
      </c>
      <c r="E3" s="13" t="s">
        <v>426</v>
      </c>
      <c r="F3" s="13" t="s">
        <v>427</v>
      </c>
      <c r="G3" s="13" t="s">
        <v>428</v>
      </c>
      <c r="H3" s="13" t="s">
        <v>429</v>
      </c>
      <c r="I3" s="13" t="s">
        <v>430</v>
      </c>
      <c r="J3" s="13" t="s">
        <v>431</v>
      </c>
      <c r="K3" s="13" t="s">
        <v>432</v>
      </c>
      <c r="L3" s="13" t="s">
        <v>433</v>
      </c>
      <c r="M3" s="13" t="s">
        <v>434</v>
      </c>
      <c r="N3" s="13" t="s">
        <v>435</v>
      </c>
      <c r="O3" s="13" t="s">
        <v>436</v>
      </c>
      <c r="P3" s="13" t="s">
        <v>437</v>
      </c>
      <c r="Q3" s="13" t="s">
        <v>438</v>
      </c>
      <c r="R3" s="13" t="s">
        <v>439</v>
      </c>
      <c r="S3" s="13" t="s">
        <v>440</v>
      </c>
      <c r="T3" s="13" t="s">
        <v>441</v>
      </c>
    </row>
    <row r="4" spans="1:20" ht="15.75" customHeight="1" x14ac:dyDescent="0.2">
      <c r="A4" s="3" t="s">
        <v>442</v>
      </c>
      <c r="B4" s="3" t="s">
        <v>443</v>
      </c>
      <c r="C4" s="3" t="s">
        <v>444</v>
      </c>
      <c r="D4" s="3" t="s">
        <v>445</v>
      </c>
      <c r="E4" s="3" t="s">
        <v>8059</v>
      </c>
      <c r="F4" s="3" t="s">
        <v>8027</v>
      </c>
      <c r="G4" s="3" t="s">
        <v>446</v>
      </c>
      <c r="H4" s="3" t="s">
        <v>447</v>
      </c>
      <c r="I4" s="3">
        <v>-6.7559199999999997</v>
      </c>
      <c r="J4" s="3">
        <v>37.7547</v>
      </c>
      <c r="K4" s="3" t="s">
        <v>448</v>
      </c>
      <c r="L4" s="3">
        <v>2019</v>
      </c>
      <c r="M4" s="3">
        <v>5</v>
      </c>
      <c r="N4" s="3">
        <v>16</v>
      </c>
      <c r="O4" s="3" t="s">
        <v>8</v>
      </c>
      <c r="P4" s="3" t="s">
        <v>449</v>
      </c>
      <c r="Q4" s="3" t="s">
        <v>450</v>
      </c>
      <c r="R4" s="3">
        <v>3</v>
      </c>
      <c r="S4" s="3">
        <v>70</v>
      </c>
      <c r="T4" s="3" t="s">
        <v>451</v>
      </c>
    </row>
    <row r="5" spans="1:20" ht="15.75" customHeight="1" x14ac:dyDescent="0.2">
      <c r="A5" s="3" t="s">
        <v>452</v>
      </c>
      <c r="B5" s="3" t="s">
        <v>453</v>
      </c>
      <c r="C5" s="3" t="s">
        <v>444</v>
      </c>
      <c r="D5" s="3" t="s">
        <v>445</v>
      </c>
      <c r="E5" s="3" t="s">
        <v>8060</v>
      </c>
      <c r="F5" s="3" t="s">
        <v>8027</v>
      </c>
      <c r="G5" s="3" t="s">
        <v>446</v>
      </c>
      <c r="H5" s="3" t="s">
        <v>447</v>
      </c>
      <c r="I5" s="3">
        <v>-6.7559199999999997</v>
      </c>
      <c r="J5" s="3">
        <v>37.7547</v>
      </c>
      <c r="K5" s="3" t="s">
        <v>448</v>
      </c>
      <c r="L5" s="3">
        <v>2019</v>
      </c>
      <c r="M5" s="3">
        <v>5</v>
      </c>
      <c r="N5" s="3">
        <v>16</v>
      </c>
      <c r="O5" s="3" t="s">
        <v>8</v>
      </c>
      <c r="P5" s="3" t="s">
        <v>449</v>
      </c>
      <c r="Q5" s="3" t="s">
        <v>450</v>
      </c>
      <c r="R5" s="3">
        <v>3</v>
      </c>
      <c r="S5" s="3">
        <v>60</v>
      </c>
      <c r="T5" s="3" t="s">
        <v>451</v>
      </c>
    </row>
    <row r="6" spans="1:20" ht="15.75" customHeight="1" x14ac:dyDescent="0.2">
      <c r="A6" s="3" t="s">
        <v>454</v>
      </c>
      <c r="B6" s="3" t="s">
        <v>455</v>
      </c>
      <c r="C6" s="3" t="s">
        <v>444</v>
      </c>
      <c r="D6" s="3" t="s">
        <v>445</v>
      </c>
      <c r="E6" s="3" t="s">
        <v>8061</v>
      </c>
      <c r="F6" s="3" t="s">
        <v>8027</v>
      </c>
      <c r="G6" s="3" t="s">
        <v>446</v>
      </c>
      <c r="H6" s="3" t="s">
        <v>447</v>
      </c>
      <c r="I6" s="3">
        <v>-6.7559199999999997</v>
      </c>
      <c r="J6" s="3">
        <v>37.7547</v>
      </c>
      <c r="K6" s="3" t="s">
        <v>448</v>
      </c>
      <c r="L6" s="3">
        <v>2019</v>
      </c>
      <c r="M6" s="3">
        <v>5</v>
      </c>
      <c r="N6" s="3">
        <v>16</v>
      </c>
      <c r="O6" s="3" t="s">
        <v>8</v>
      </c>
      <c r="P6" s="3" t="s">
        <v>449</v>
      </c>
      <c r="Q6" s="3" t="s">
        <v>450</v>
      </c>
      <c r="R6" s="3">
        <v>3</v>
      </c>
      <c r="S6" s="3">
        <v>50</v>
      </c>
      <c r="T6" s="3" t="s">
        <v>451</v>
      </c>
    </row>
    <row r="7" spans="1:20" ht="15.75" customHeight="1" x14ac:dyDescent="0.2">
      <c r="A7" s="3" t="s">
        <v>456</v>
      </c>
      <c r="B7" s="3" t="s">
        <v>457</v>
      </c>
      <c r="C7" s="3" t="s">
        <v>444</v>
      </c>
      <c r="D7" s="3" t="s">
        <v>445</v>
      </c>
      <c r="E7" s="3" t="s">
        <v>8062</v>
      </c>
      <c r="F7" s="3" t="s">
        <v>8028</v>
      </c>
      <c r="G7" s="3" t="s">
        <v>458</v>
      </c>
      <c r="H7" s="3" t="s">
        <v>459</v>
      </c>
      <c r="I7" s="3">
        <v>-6.8026099999999996</v>
      </c>
      <c r="J7" s="3">
        <v>37.721589999999999</v>
      </c>
      <c r="K7" s="3" t="s">
        <v>448</v>
      </c>
      <c r="L7" s="3">
        <v>2019</v>
      </c>
      <c r="M7" s="3">
        <v>5</v>
      </c>
      <c r="N7" s="3">
        <v>16</v>
      </c>
      <c r="O7" s="3" t="s">
        <v>8</v>
      </c>
      <c r="P7" s="3" t="s">
        <v>449</v>
      </c>
      <c r="Q7" s="3" t="s">
        <v>450</v>
      </c>
      <c r="R7" s="3">
        <v>3</v>
      </c>
      <c r="S7" s="3">
        <v>120</v>
      </c>
      <c r="T7" s="3" t="s">
        <v>451</v>
      </c>
    </row>
    <row r="8" spans="1:20" ht="15.75" customHeight="1" x14ac:dyDescent="0.2">
      <c r="A8" s="3" t="s">
        <v>460</v>
      </c>
      <c r="B8" s="3" t="s">
        <v>461</v>
      </c>
      <c r="C8" s="3" t="s">
        <v>444</v>
      </c>
      <c r="D8" s="3" t="s">
        <v>445</v>
      </c>
      <c r="E8" s="3" t="s">
        <v>8063</v>
      </c>
      <c r="F8" s="3" t="s">
        <v>8028</v>
      </c>
      <c r="G8" s="3" t="s">
        <v>458</v>
      </c>
      <c r="H8" s="3" t="s">
        <v>459</v>
      </c>
      <c r="I8" s="3">
        <v>-6.8026099999999996</v>
      </c>
      <c r="J8" s="3">
        <v>37.721589999999999</v>
      </c>
      <c r="K8" s="3" t="s">
        <v>448</v>
      </c>
      <c r="L8" s="3">
        <v>2019</v>
      </c>
      <c r="M8" s="3">
        <v>5</v>
      </c>
      <c r="N8" s="3">
        <v>16</v>
      </c>
      <c r="O8" s="3" t="s">
        <v>8</v>
      </c>
      <c r="P8" s="3" t="s">
        <v>449</v>
      </c>
      <c r="Q8" s="3" t="s">
        <v>450</v>
      </c>
      <c r="R8" s="3">
        <v>2</v>
      </c>
      <c r="S8" s="3">
        <v>70</v>
      </c>
      <c r="T8" s="3" t="s">
        <v>451</v>
      </c>
    </row>
    <row r="9" spans="1:20" ht="15.75" customHeight="1" x14ac:dyDescent="0.2">
      <c r="A9" s="3" t="s">
        <v>462</v>
      </c>
      <c r="B9" s="3" t="s">
        <v>463</v>
      </c>
      <c r="C9" s="3" t="s">
        <v>444</v>
      </c>
      <c r="D9" s="3" t="s">
        <v>445</v>
      </c>
      <c r="E9" s="3" t="s">
        <v>8064</v>
      </c>
      <c r="F9" s="3" t="s">
        <v>8028</v>
      </c>
      <c r="G9" s="3" t="s">
        <v>458</v>
      </c>
      <c r="H9" s="3" t="s">
        <v>459</v>
      </c>
      <c r="I9" s="3">
        <v>-6.8026099999999996</v>
      </c>
      <c r="J9" s="3">
        <v>37.721589999999999</v>
      </c>
      <c r="K9" s="3" t="s">
        <v>448</v>
      </c>
      <c r="L9" s="3">
        <v>2019</v>
      </c>
      <c r="M9" s="3">
        <v>5</v>
      </c>
      <c r="N9" s="3">
        <v>16</v>
      </c>
      <c r="O9" s="3" t="s">
        <v>8</v>
      </c>
      <c r="P9" s="3" t="s">
        <v>449</v>
      </c>
      <c r="Q9" s="3" t="s">
        <v>450</v>
      </c>
      <c r="R9" s="3">
        <v>1</v>
      </c>
      <c r="S9" s="3">
        <v>50</v>
      </c>
      <c r="T9" s="3" t="s">
        <v>451</v>
      </c>
    </row>
    <row r="10" spans="1:20" ht="15.75" customHeight="1" x14ac:dyDescent="0.2">
      <c r="A10" s="3" t="s">
        <v>464</v>
      </c>
      <c r="B10" s="3" t="s">
        <v>465</v>
      </c>
      <c r="C10" s="3" t="s">
        <v>444</v>
      </c>
      <c r="D10" s="3" t="s">
        <v>445</v>
      </c>
      <c r="E10" s="3" t="s">
        <v>8065</v>
      </c>
      <c r="F10" s="3" t="s">
        <v>8029</v>
      </c>
      <c r="G10" s="3" t="s">
        <v>466</v>
      </c>
      <c r="H10" s="3" t="s">
        <v>467</v>
      </c>
      <c r="I10" s="3">
        <v>-6.4319899999999999</v>
      </c>
      <c r="J10" s="3">
        <v>37.533360000000002</v>
      </c>
      <c r="K10" s="3" t="s">
        <v>448</v>
      </c>
      <c r="L10" s="3">
        <v>2019</v>
      </c>
      <c r="M10" s="3">
        <v>5</v>
      </c>
      <c r="N10" s="3">
        <v>17</v>
      </c>
      <c r="O10" s="3" t="s">
        <v>8</v>
      </c>
      <c r="P10" s="3" t="s">
        <v>449</v>
      </c>
      <c r="Q10" s="3" t="s">
        <v>450</v>
      </c>
      <c r="R10" s="3">
        <v>3</v>
      </c>
      <c r="S10" s="3">
        <v>60</v>
      </c>
      <c r="T10" s="3" t="s">
        <v>451</v>
      </c>
    </row>
    <row r="11" spans="1:20" ht="15.75" customHeight="1" x14ac:dyDescent="0.2">
      <c r="A11" s="3" t="s">
        <v>468</v>
      </c>
      <c r="B11" s="3" t="s">
        <v>469</v>
      </c>
      <c r="C11" s="3" t="s">
        <v>444</v>
      </c>
      <c r="D11" s="3" t="s">
        <v>445</v>
      </c>
      <c r="E11" s="3" t="s">
        <v>8066</v>
      </c>
      <c r="F11" s="3" t="s">
        <v>8030</v>
      </c>
      <c r="G11" s="3" t="s">
        <v>470</v>
      </c>
      <c r="H11" s="3" t="s">
        <v>471</v>
      </c>
      <c r="I11" s="3">
        <v>-6.4256500000000001</v>
      </c>
      <c r="J11" s="3">
        <v>37.533099999999997</v>
      </c>
      <c r="K11" s="3" t="s">
        <v>448</v>
      </c>
      <c r="L11" s="3">
        <v>2019</v>
      </c>
      <c r="M11" s="3">
        <v>5</v>
      </c>
      <c r="N11" s="3">
        <v>17</v>
      </c>
      <c r="O11" s="3" t="s">
        <v>8</v>
      </c>
      <c r="P11" s="3" t="s">
        <v>449</v>
      </c>
      <c r="Q11" s="3" t="s">
        <v>450</v>
      </c>
      <c r="R11" s="3">
        <v>3</v>
      </c>
      <c r="S11" s="3">
        <v>70</v>
      </c>
      <c r="T11" s="3" t="s">
        <v>451</v>
      </c>
    </row>
    <row r="12" spans="1:20" ht="15.75" customHeight="1" x14ac:dyDescent="0.2">
      <c r="A12" s="3" t="s">
        <v>472</v>
      </c>
      <c r="B12" s="3" t="s">
        <v>473</v>
      </c>
      <c r="C12" s="3" t="s">
        <v>444</v>
      </c>
      <c r="D12" s="3" t="s">
        <v>445</v>
      </c>
      <c r="E12" s="3" t="s">
        <v>8067</v>
      </c>
      <c r="F12" s="3" t="s">
        <v>8031</v>
      </c>
      <c r="G12" s="3" t="s">
        <v>474</v>
      </c>
      <c r="H12" s="3" t="s">
        <v>475</v>
      </c>
      <c r="I12" s="3">
        <v>-7.0735099999999997</v>
      </c>
      <c r="J12" s="3">
        <v>36.908909999999999</v>
      </c>
      <c r="K12" s="3" t="s">
        <v>448</v>
      </c>
      <c r="L12" s="3">
        <v>2019</v>
      </c>
      <c r="M12" s="3">
        <v>5</v>
      </c>
      <c r="N12" s="3">
        <v>18</v>
      </c>
      <c r="O12" s="3" t="s">
        <v>8</v>
      </c>
      <c r="P12" s="3" t="s">
        <v>449</v>
      </c>
      <c r="Q12" s="3" t="s">
        <v>450</v>
      </c>
      <c r="R12" s="3">
        <v>3</v>
      </c>
      <c r="S12" s="3">
        <v>70</v>
      </c>
      <c r="T12" s="3" t="s">
        <v>451</v>
      </c>
    </row>
    <row r="13" spans="1:20" ht="15.75" customHeight="1" x14ac:dyDescent="0.2">
      <c r="A13" s="3" t="s">
        <v>476</v>
      </c>
      <c r="B13" s="3" t="s">
        <v>477</v>
      </c>
      <c r="C13" s="3" t="s">
        <v>444</v>
      </c>
      <c r="D13" s="3" t="s">
        <v>445</v>
      </c>
      <c r="E13" s="3" t="s">
        <v>8068</v>
      </c>
      <c r="F13" s="3" t="s">
        <v>8031</v>
      </c>
      <c r="G13" s="3" t="s">
        <v>474</v>
      </c>
      <c r="H13" s="3" t="s">
        <v>475</v>
      </c>
      <c r="I13" s="3">
        <v>-7.0735099999999997</v>
      </c>
      <c r="J13" s="3">
        <v>36.908909999999999</v>
      </c>
      <c r="K13" s="3" t="s">
        <v>448</v>
      </c>
      <c r="L13" s="3">
        <v>2019</v>
      </c>
      <c r="M13" s="3">
        <v>5</v>
      </c>
      <c r="N13" s="3">
        <v>18</v>
      </c>
      <c r="O13" s="3" t="s">
        <v>8</v>
      </c>
      <c r="P13" s="3" t="s">
        <v>449</v>
      </c>
      <c r="Q13" s="3" t="s">
        <v>450</v>
      </c>
      <c r="R13" s="3">
        <v>3</v>
      </c>
      <c r="S13" s="3">
        <v>50</v>
      </c>
      <c r="T13" s="3" t="s">
        <v>451</v>
      </c>
    </row>
    <row r="14" spans="1:20" ht="15.75" customHeight="1" x14ac:dyDescent="0.2">
      <c r="A14" s="3" t="s">
        <v>478</v>
      </c>
      <c r="B14" s="3" t="s">
        <v>479</v>
      </c>
      <c r="C14" s="3" t="s">
        <v>444</v>
      </c>
      <c r="D14" s="3" t="s">
        <v>445</v>
      </c>
      <c r="E14" s="3" t="s">
        <v>8069</v>
      </c>
      <c r="F14" s="3" t="s">
        <v>8031</v>
      </c>
      <c r="G14" s="3" t="s">
        <v>480</v>
      </c>
      <c r="H14" s="3" t="s">
        <v>481</v>
      </c>
      <c r="I14" s="3">
        <v>-7.0735099999999997</v>
      </c>
      <c r="J14" s="3">
        <v>36.908909999999999</v>
      </c>
      <c r="K14" s="3" t="s">
        <v>448</v>
      </c>
      <c r="L14" s="3">
        <v>2019</v>
      </c>
      <c r="M14" s="3">
        <v>5</v>
      </c>
      <c r="N14" s="3">
        <v>18</v>
      </c>
      <c r="O14" s="3" t="s">
        <v>8</v>
      </c>
      <c r="P14" s="3" t="s">
        <v>449</v>
      </c>
      <c r="Q14" s="3" t="s">
        <v>450</v>
      </c>
      <c r="R14" s="3">
        <v>3</v>
      </c>
      <c r="S14" s="3">
        <v>60</v>
      </c>
      <c r="T14" s="3" t="s">
        <v>451</v>
      </c>
    </row>
    <row r="15" spans="1:20" ht="15.75" customHeight="1" x14ac:dyDescent="0.2">
      <c r="A15" s="3" t="s">
        <v>482</v>
      </c>
      <c r="B15" s="3" t="s">
        <v>483</v>
      </c>
      <c r="C15" s="3" t="s">
        <v>444</v>
      </c>
      <c r="D15" s="3" t="s">
        <v>445</v>
      </c>
      <c r="E15" s="3" t="s">
        <v>8070</v>
      </c>
      <c r="F15" s="3" t="s">
        <v>8032</v>
      </c>
      <c r="G15" s="3" t="s">
        <v>484</v>
      </c>
      <c r="H15" s="3" t="s">
        <v>485</v>
      </c>
      <c r="I15" s="3">
        <v>-7.0725300000000004</v>
      </c>
      <c r="J15" s="3">
        <v>36.884610000000002</v>
      </c>
      <c r="K15" s="3" t="s">
        <v>448</v>
      </c>
      <c r="L15" s="3">
        <v>2019</v>
      </c>
      <c r="M15" s="3">
        <v>5</v>
      </c>
      <c r="N15" s="3">
        <v>18</v>
      </c>
      <c r="O15" s="3" t="s">
        <v>8</v>
      </c>
      <c r="P15" s="3" t="s">
        <v>449</v>
      </c>
      <c r="Q15" s="3" t="s">
        <v>450</v>
      </c>
      <c r="R15" s="3">
        <v>3</v>
      </c>
      <c r="S15" s="3">
        <v>120</v>
      </c>
      <c r="T15" s="3" t="s">
        <v>451</v>
      </c>
    </row>
    <row r="16" spans="1:20" ht="15.75" customHeight="1" x14ac:dyDescent="0.2">
      <c r="A16" s="3" t="s">
        <v>486</v>
      </c>
      <c r="B16" s="3" t="s">
        <v>487</v>
      </c>
      <c r="C16" s="3" t="s">
        <v>444</v>
      </c>
      <c r="D16" s="3" t="s">
        <v>445</v>
      </c>
      <c r="E16" s="3" t="s">
        <v>8071</v>
      </c>
      <c r="F16" s="3" t="s">
        <v>8033</v>
      </c>
      <c r="G16" s="3" t="s">
        <v>488</v>
      </c>
      <c r="H16" s="3" t="s">
        <v>489</v>
      </c>
      <c r="I16" s="3">
        <v>-7.0717800000000004</v>
      </c>
      <c r="J16" s="3">
        <v>36.904110000000003</v>
      </c>
      <c r="K16" s="3" t="s">
        <v>448</v>
      </c>
      <c r="L16" s="3">
        <v>2019</v>
      </c>
      <c r="M16" s="3">
        <v>5</v>
      </c>
      <c r="N16" s="3">
        <v>18</v>
      </c>
      <c r="O16" s="3" t="s">
        <v>8</v>
      </c>
      <c r="P16" s="3" t="s">
        <v>449</v>
      </c>
      <c r="Q16" s="3" t="s">
        <v>450</v>
      </c>
      <c r="R16" s="3">
        <v>4</v>
      </c>
      <c r="S16" s="3">
        <v>210</v>
      </c>
      <c r="T16" s="3" t="s">
        <v>490</v>
      </c>
    </row>
    <row r="17" spans="1:20" ht="15.75" customHeight="1" x14ac:dyDescent="0.2">
      <c r="A17" s="3" t="s">
        <v>491</v>
      </c>
      <c r="B17" s="3" t="s">
        <v>492</v>
      </c>
      <c r="C17" s="3" t="s">
        <v>444</v>
      </c>
      <c r="D17" s="3" t="s">
        <v>445</v>
      </c>
      <c r="E17" s="3" t="s">
        <v>8072</v>
      </c>
      <c r="F17" s="3" t="s">
        <v>8034</v>
      </c>
      <c r="G17" s="3" t="s">
        <v>493</v>
      </c>
      <c r="H17" s="3" t="s">
        <v>494</v>
      </c>
      <c r="I17" s="3">
        <v>-6.9453100000000001</v>
      </c>
      <c r="J17" s="3">
        <v>36.936669999999999</v>
      </c>
      <c r="K17" s="3" t="s">
        <v>448</v>
      </c>
      <c r="L17" s="3">
        <v>2019</v>
      </c>
      <c r="M17" s="3">
        <v>5</v>
      </c>
      <c r="N17" s="3">
        <v>19</v>
      </c>
      <c r="O17" s="3" t="s">
        <v>8</v>
      </c>
      <c r="P17" s="3" t="s">
        <v>449</v>
      </c>
      <c r="Q17" s="3" t="s">
        <v>450</v>
      </c>
      <c r="R17" s="3">
        <v>4</v>
      </c>
      <c r="S17" s="3">
        <v>200</v>
      </c>
      <c r="T17" s="3" t="s">
        <v>451</v>
      </c>
    </row>
    <row r="18" spans="1:20" ht="15.75" customHeight="1" x14ac:dyDescent="0.2">
      <c r="A18" s="3" t="s">
        <v>495</v>
      </c>
      <c r="B18" s="3" t="s">
        <v>496</v>
      </c>
      <c r="C18" s="3" t="s">
        <v>444</v>
      </c>
      <c r="D18" s="3" t="s">
        <v>445</v>
      </c>
      <c r="E18" s="3" t="s">
        <v>8073</v>
      </c>
      <c r="F18" s="3" t="s">
        <v>8035</v>
      </c>
      <c r="G18" s="3" t="s">
        <v>497</v>
      </c>
      <c r="H18" s="3" t="s">
        <v>498</v>
      </c>
      <c r="I18" s="3">
        <v>-7.8346600000000004</v>
      </c>
      <c r="J18" s="3">
        <v>36.907960000000003</v>
      </c>
      <c r="K18" s="3" t="s">
        <v>448</v>
      </c>
      <c r="L18" s="3">
        <v>2019</v>
      </c>
      <c r="M18" s="3">
        <v>5</v>
      </c>
      <c r="N18" s="3">
        <v>20</v>
      </c>
      <c r="O18" s="3" t="s">
        <v>8</v>
      </c>
      <c r="P18" s="3" t="s">
        <v>449</v>
      </c>
      <c r="Q18" s="3" t="s">
        <v>450</v>
      </c>
      <c r="R18" s="3">
        <v>3</v>
      </c>
      <c r="S18" s="3">
        <v>250</v>
      </c>
      <c r="T18" s="3" t="s">
        <v>451</v>
      </c>
    </row>
    <row r="19" spans="1:20" ht="15.75" customHeight="1" x14ac:dyDescent="0.2">
      <c r="A19" s="3" t="s">
        <v>499</v>
      </c>
      <c r="B19" s="3" t="s">
        <v>500</v>
      </c>
      <c r="C19" s="3" t="s">
        <v>444</v>
      </c>
      <c r="D19" s="3" t="s">
        <v>445</v>
      </c>
      <c r="E19" s="3" t="s">
        <v>8074</v>
      </c>
      <c r="F19" s="3" t="s">
        <v>8036</v>
      </c>
      <c r="G19" s="3" t="s">
        <v>501</v>
      </c>
      <c r="H19" s="3" t="s">
        <v>502</v>
      </c>
      <c r="I19" s="3">
        <v>-7.8411799999999996</v>
      </c>
      <c r="J19" s="3">
        <v>36.892099999999999</v>
      </c>
      <c r="K19" s="3" t="s">
        <v>448</v>
      </c>
      <c r="L19" s="3">
        <v>2019</v>
      </c>
      <c r="M19" s="3">
        <v>5</v>
      </c>
      <c r="N19" s="3">
        <v>20</v>
      </c>
      <c r="O19" s="3" t="s">
        <v>8</v>
      </c>
      <c r="P19" s="3" t="s">
        <v>449</v>
      </c>
      <c r="Q19" s="3" t="s">
        <v>450</v>
      </c>
      <c r="R19" s="3">
        <v>3</v>
      </c>
      <c r="S19" s="3">
        <v>150</v>
      </c>
      <c r="T19" s="3" t="s">
        <v>451</v>
      </c>
    </row>
    <row r="20" spans="1:20" ht="15.75" customHeight="1" x14ac:dyDescent="0.2">
      <c r="A20" s="3" t="s">
        <v>503</v>
      </c>
      <c r="B20" s="3" t="s">
        <v>504</v>
      </c>
      <c r="C20" s="3" t="s">
        <v>444</v>
      </c>
      <c r="D20" s="3" t="s">
        <v>445</v>
      </c>
      <c r="E20" s="3" t="s">
        <v>8075</v>
      </c>
      <c r="F20" s="3" t="s">
        <v>8037</v>
      </c>
      <c r="G20" s="3" t="s">
        <v>505</v>
      </c>
      <c r="H20" s="3" t="s">
        <v>506</v>
      </c>
      <c r="I20" s="3">
        <v>-6.8646200000000004</v>
      </c>
      <c r="J20" s="3">
        <v>37.608379999999997</v>
      </c>
      <c r="K20" s="3" t="s">
        <v>448</v>
      </c>
      <c r="L20" s="3">
        <v>2019</v>
      </c>
      <c r="M20" s="3">
        <v>5</v>
      </c>
      <c r="N20" s="3">
        <v>24</v>
      </c>
      <c r="O20" s="3" t="s">
        <v>8</v>
      </c>
      <c r="P20" s="3" t="s">
        <v>449</v>
      </c>
      <c r="Q20" s="3" t="s">
        <v>450</v>
      </c>
      <c r="R20" s="3">
        <v>6</v>
      </c>
      <c r="S20" s="3">
        <v>210</v>
      </c>
      <c r="T20" s="3" t="s">
        <v>451</v>
      </c>
    </row>
    <row r="21" spans="1:20" ht="15.75" customHeight="1" x14ac:dyDescent="0.2">
      <c r="A21" s="3" t="s">
        <v>507</v>
      </c>
      <c r="B21" s="3" t="s">
        <v>508</v>
      </c>
      <c r="C21" s="3" t="s">
        <v>444</v>
      </c>
      <c r="D21" s="3" t="s">
        <v>445</v>
      </c>
      <c r="E21" s="3" t="s">
        <v>8076</v>
      </c>
      <c r="F21" s="3" t="s">
        <v>8037</v>
      </c>
      <c r="G21" s="3" t="s">
        <v>505</v>
      </c>
      <c r="H21" s="3" t="s">
        <v>506</v>
      </c>
      <c r="I21" s="3">
        <v>-6.8652199999999999</v>
      </c>
      <c r="J21" s="3">
        <v>37.608960000000003</v>
      </c>
      <c r="K21" s="3" t="s">
        <v>448</v>
      </c>
      <c r="L21" s="3">
        <v>2019</v>
      </c>
      <c r="M21" s="3">
        <v>5</v>
      </c>
      <c r="N21" s="3">
        <v>24</v>
      </c>
      <c r="O21" s="3" t="s">
        <v>8</v>
      </c>
      <c r="P21" s="3" t="s">
        <v>449</v>
      </c>
      <c r="Q21" s="3" t="s">
        <v>450</v>
      </c>
      <c r="R21" s="3">
        <v>6</v>
      </c>
      <c r="S21" s="3">
        <v>210</v>
      </c>
      <c r="T21" s="3" t="s">
        <v>451</v>
      </c>
    </row>
    <row r="22" spans="1:20" ht="15.75" customHeight="1" x14ac:dyDescent="0.2">
      <c r="A22" s="3" t="s">
        <v>509</v>
      </c>
      <c r="B22" s="3" t="s">
        <v>510</v>
      </c>
      <c r="C22" s="3" t="s">
        <v>444</v>
      </c>
      <c r="D22" s="3" t="s">
        <v>445</v>
      </c>
      <c r="E22" s="3" t="s">
        <v>8077</v>
      </c>
      <c r="F22" s="3" t="s">
        <v>8038</v>
      </c>
      <c r="G22" s="3" t="s">
        <v>511</v>
      </c>
      <c r="H22" s="3" t="s">
        <v>512</v>
      </c>
      <c r="I22" s="3">
        <v>-8.1053200000000007</v>
      </c>
      <c r="J22" s="3">
        <v>36.696800000000003</v>
      </c>
      <c r="K22" s="3" t="s">
        <v>513</v>
      </c>
      <c r="L22" s="3">
        <v>2020</v>
      </c>
      <c r="M22" s="3">
        <v>10</v>
      </c>
      <c r="N22" s="3">
        <v>19</v>
      </c>
      <c r="O22" s="14">
        <v>0.4375</v>
      </c>
      <c r="P22" s="3" t="s">
        <v>449</v>
      </c>
      <c r="Q22" s="3" t="s">
        <v>450</v>
      </c>
      <c r="R22" s="3">
        <v>3</v>
      </c>
      <c r="S22" s="3">
        <v>150</v>
      </c>
      <c r="T22" s="3" t="s">
        <v>451</v>
      </c>
    </row>
    <row r="23" spans="1:20" ht="15.75" customHeight="1" x14ac:dyDescent="0.2">
      <c r="A23" s="3" t="s">
        <v>514</v>
      </c>
      <c r="B23" s="3" t="s">
        <v>515</v>
      </c>
      <c r="C23" s="3" t="s">
        <v>444</v>
      </c>
      <c r="D23" s="3" t="s">
        <v>445</v>
      </c>
      <c r="E23" s="3" t="s">
        <v>8078</v>
      </c>
      <c r="F23" s="3" t="s">
        <v>8040</v>
      </c>
      <c r="G23" s="3" t="s">
        <v>516</v>
      </c>
      <c r="H23" s="3" t="s">
        <v>517</v>
      </c>
      <c r="I23" s="3">
        <v>-8.1098099999999995</v>
      </c>
      <c r="J23" s="3">
        <v>36.684809999999999</v>
      </c>
      <c r="K23" s="3" t="s">
        <v>513</v>
      </c>
      <c r="L23" s="3">
        <v>2020</v>
      </c>
      <c r="M23" s="3">
        <v>10</v>
      </c>
      <c r="N23" s="3">
        <v>19</v>
      </c>
      <c r="O23" s="14">
        <v>0.49166666666666697</v>
      </c>
      <c r="P23" s="3" t="s">
        <v>449</v>
      </c>
      <c r="Q23" s="3" t="s">
        <v>450</v>
      </c>
      <c r="R23" s="3">
        <v>3</v>
      </c>
      <c r="S23" s="3">
        <v>150</v>
      </c>
      <c r="T23" s="3" t="s">
        <v>451</v>
      </c>
    </row>
    <row r="24" spans="1:20" ht="15.75" customHeight="1" x14ac:dyDescent="0.2">
      <c r="A24" s="3" t="s">
        <v>518</v>
      </c>
      <c r="B24" s="3" t="s">
        <v>519</v>
      </c>
      <c r="C24" s="3" t="s">
        <v>444</v>
      </c>
      <c r="D24" s="3" t="s">
        <v>445</v>
      </c>
      <c r="E24" s="3" t="s">
        <v>8079</v>
      </c>
      <c r="F24" s="3" t="s">
        <v>8041</v>
      </c>
      <c r="G24" s="3" t="s">
        <v>520</v>
      </c>
      <c r="H24" s="3" t="s">
        <v>521</v>
      </c>
      <c r="I24" s="3">
        <v>-8.0755199999999991</v>
      </c>
      <c r="J24" s="3">
        <v>36.799900000000001</v>
      </c>
      <c r="K24" s="3" t="s">
        <v>513</v>
      </c>
      <c r="L24" s="3">
        <v>2020</v>
      </c>
      <c r="M24" s="3">
        <v>10</v>
      </c>
      <c r="N24" s="3">
        <v>19</v>
      </c>
      <c r="O24" s="14">
        <v>0.65833333333333299</v>
      </c>
      <c r="P24" s="3" t="s">
        <v>449</v>
      </c>
      <c r="Q24" s="3" t="s">
        <v>450</v>
      </c>
      <c r="R24" s="3">
        <v>3</v>
      </c>
      <c r="S24" s="3">
        <v>150</v>
      </c>
      <c r="T24" s="3" t="s">
        <v>451</v>
      </c>
    </row>
    <row r="25" spans="1:20" ht="15.75" customHeight="1" x14ac:dyDescent="0.2">
      <c r="A25" s="3" t="s">
        <v>522</v>
      </c>
      <c r="B25" s="3" t="s">
        <v>523</v>
      </c>
      <c r="C25" s="3" t="s">
        <v>444</v>
      </c>
      <c r="D25" s="3" t="s">
        <v>445</v>
      </c>
      <c r="E25" s="3" t="s">
        <v>8080</v>
      </c>
      <c r="F25" s="3" t="s">
        <v>8039</v>
      </c>
      <c r="G25" s="3" t="s">
        <v>524</v>
      </c>
      <c r="H25" s="3" t="s">
        <v>525</v>
      </c>
      <c r="I25" s="3">
        <v>-7.93893</v>
      </c>
      <c r="J25" s="3">
        <v>36.875860000000003</v>
      </c>
      <c r="K25" s="3" t="s">
        <v>513</v>
      </c>
      <c r="L25" s="3">
        <v>2020</v>
      </c>
      <c r="M25" s="3">
        <v>10</v>
      </c>
      <c r="N25" s="3">
        <v>20</v>
      </c>
      <c r="O25" s="14">
        <v>0.42013888888888901</v>
      </c>
      <c r="P25" s="3" t="s">
        <v>449</v>
      </c>
      <c r="Q25" s="3" t="s">
        <v>450</v>
      </c>
      <c r="R25" s="3">
        <v>3</v>
      </c>
      <c r="S25" s="3">
        <v>150</v>
      </c>
      <c r="T25" s="3" t="s">
        <v>451</v>
      </c>
    </row>
    <row r="26" spans="1:20" ht="15.75" customHeight="1" x14ac:dyDescent="0.2">
      <c r="A26" s="3" t="s">
        <v>526</v>
      </c>
      <c r="B26" s="3" t="s">
        <v>527</v>
      </c>
      <c r="C26" s="3" t="s">
        <v>444</v>
      </c>
      <c r="D26" s="3" t="s">
        <v>445</v>
      </c>
      <c r="E26" s="3" t="s">
        <v>8081</v>
      </c>
      <c r="F26" s="3" t="s">
        <v>8042</v>
      </c>
      <c r="G26" s="3" t="s">
        <v>528</v>
      </c>
      <c r="H26" s="3" t="s">
        <v>529</v>
      </c>
      <c r="I26" s="3">
        <v>-7.9229399999999996</v>
      </c>
      <c r="J26" s="3">
        <v>36.905180000000001</v>
      </c>
      <c r="K26" s="3" t="s">
        <v>513</v>
      </c>
      <c r="L26" s="3">
        <v>2020</v>
      </c>
      <c r="M26" s="3">
        <v>10</v>
      </c>
      <c r="N26" s="3">
        <v>20</v>
      </c>
      <c r="O26" s="14">
        <v>0.50138888888888899</v>
      </c>
      <c r="P26" s="3" t="s">
        <v>449</v>
      </c>
      <c r="Q26" s="3" t="s">
        <v>450</v>
      </c>
      <c r="R26" s="3">
        <v>3</v>
      </c>
      <c r="S26" s="3">
        <v>100</v>
      </c>
      <c r="T26" s="3" t="s">
        <v>451</v>
      </c>
    </row>
    <row r="27" spans="1:20" ht="15.75" customHeight="1" x14ac:dyDescent="0.2">
      <c r="A27" s="3" t="s">
        <v>530</v>
      </c>
      <c r="B27" s="3" t="s">
        <v>531</v>
      </c>
      <c r="C27" s="3" t="s">
        <v>444</v>
      </c>
      <c r="D27" s="3" t="s">
        <v>445</v>
      </c>
      <c r="E27" s="3" t="s">
        <v>8082</v>
      </c>
      <c r="F27" s="3" t="s">
        <v>8043</v>
      </c>
      <c r="G27" s="3" t="s">
        <v>532</v>
      </c>
      <c r="H27" s="3" t="s">
        <v>533</v>
      </c>
      <c r="I27" s="3">
        <v>-7.9104000000000001</v>
      </c>
      <c r="J27" s="3">
        <v>36.899700000000003</v>
      </c>
      <c r="K27" s="3" t="s">
        <v>513</v>
      </c>
      <c r="L27" s="3">
        <v>2020</v>
      </c>
      <c r="M27" s="3">
        <v>10</v>
      </c>
      <c r="N27" s="3">
        <v>20</v>
      </c>
      <c r="O27" s="14">
        <v>0.53125</v>
      </c>
      <c r="P27" s="3" t="s">
        <v>449</v>
      </c>
      <c r="Q27" s="3" t="s">
        <v>450</v>
      </c>
      <c r="R27" s="3">
        <v>3</v>
      </c>
      <c r="S27" s="3">
        <v>80</v>
      </c>
      <c r="T27" s="3" t="s">
        <v>451</v>
      </c>
    </row>
    <row r="28" spans="1:20" ht="15.75" customHeight="1" x14ac:dyDescent="0.2">
      <c r="A28" s="3" t="s">
        <v>534</v>
      </c>
      <c r="B28" s="3" t="s">
        <v>535</v>
      </c>
      <c r="C28" s="3" t="s">
        <v>444</v>
      </c>
      <c r="D28" s="3" t="s">
        <v>445</v>
      </c>
      <c r="E28" s="3" t="s">
        <v>8083</v>
      </c>
      <c r="F28" s="3" t="s">
        <v>8044</v>
      </c>
      <c r="G28" s="3" t="s">
        <v>536</v>
      </c>
      <c r="H28" s="3" t="s">
        <v>537</v>
      </c>
      <c r="I28" s="3">
        <v>-7.89968</v>
      </c>
      <c r="J28" s="3">
        <v>36.905180000000001</v>
      </c>
      <c r="K28" s="3" t="s">
        <v>513</v>
      </c>
      <c r="L28" s="3">
        <v>2020</v>
      </c>
      <c r="M28" s="3">
        <v>10</v>
      </c>
      <c r="N28" s="3">
        <v>20</v>
      </c>
      <c r="O28" s="14">
        <v>0.55902777777777801</v>
      </c>
      <c r="P28" s="3" t="s">
        <v>449</v>
      </c>
      <c r="Q28" s="3" t="s">
        <v>450</v>
      </c>
      <c r="R28" s="3">
        <v>3</v>
      </c>
      <c r="S28" s="3">
        <v>100</v>
      </c>
      <c r="T28" s="3" t="s">
        <v>451</v>
      </c>
    </row>
    <row r="29" spans="1:20" ht="15.75" customHeight="1" x14ac:dyDescent="0.2">
      <c r="A29" s="3" t="s">
        <v>538</v>
      </c>
      <c r="B29" s="3" t="s">
        <v>539</v>
      </c>
      <c r="C29" s="3" t="s">
        <v>444</v>
      </c>
      <c r="D29" s="3" t="s">
        <v>445</v>
      </c>
      <c r="E29" s="3" t="s">
        <v>8084</v>
      </c>
      <c r="F29" s="3" t="s">
        <v>8045</v>
      </c>
      <c r="G29" s="3" t="s">
        <v>540</v>
      </c>
      <c r="H29" s="3" t="s">
        <v>541</v>
      </c>
      <c r="I29" s="3">
        <v>-7.8919499999999996</v>
      </c>
      <c r="J29" s="3">
        <v>36.877630000000003</v>
      </c>
      <c r="K29" s="3" t="s">
        <v>513</v>
      </c>
      <c r="L29" s="3">
        <v>2020</v>
      </c>
      <c r="M29" s="3">
        <v>10</v>
      </c>
      <c r="N29" s="3">
        <v>20</v>
      </c>
      <c r="O29" s="14">
        <v>0.60972222222222205</v>
      </c>
      <c r="P29" s="3" t="s">
        <v>449</v>
      </c>
      <c r="Q29" s="3" t="s">
        <v>450</v>
      </c>
      <c r="R29" s="3">
        <v>2</v>
      </c>
      <c r="S29" s="3">
        <v>100</v>
      </c>
      <c r="T29" s="3" t="s">
        <v>451</v>
      </c>
    </row>
    <row r="30" spans="1:20" ht="15.75" customHeight="1" x14ac:dyDescent="0.2">
      <c r="A30" s="3" t="s">
        <v>542</v>
      </c>
      <c r="B30" s="3" t="s">
        <v>543</v>
      </c>
      <c r="C30" s="3" t="s">
        <v>444</v>
      </c>
      <c r="D30" s="3" t="s">
        <v>445</v>
      </c>
      <c r="E30" s="3" t="s">
        <v>8085</v>
      </c>
      <c r="F30" s="3" t="s">
        <v>8046</v>
      </c>
      <c r="G30" s="3" t="s">
        <v>544</v>
      </c>
      <c r="H30" s="3" t="s">
        <v>545</v>
      </c>
      <c r="I30" s="3">
        <v>-7.8530199999999999</v>
      </c>
      <c r="J30" s="3">
        <v>36.900599999999997</v>
      </c>
      <c r="K30" s="3" t="s">
        <v>513</v>
      </c>
      <c r="L30" s="3">
        <v>2020</v>
      </c>
      <c r="M30" s="3">
        <v>10</v>
      </c>
      <c r="N30" s="3">
        <v>20</v>
      </c>
      <c r="O30" s="14">
        <v>0.64444444444444504</v>
      </c>
      <c r="P30" s="3" t="s">
        <v>449</v>
      </c>
      <c r="Q30" s="3" t="s">
        <v>450</v>
      </c>
      <c r="R30" s="3">
        <v>3</v>
      </c>
      <c r="S30" s="3">
        <v>150</v>
      </c>
      <c r="T30" s="3" t="s">
        <v>451</v>
      </c>
    </row>
    <row r="31" spans="1:20" ht="15.75" customHeight="1" x14ac:dyDescent="0.2">
      <c r="A31" s="3" t="s">
        <v>546</v>
      </c>
      <c r="B31" s="3" t="s">
        <v>547</v>
      </c>
      <c r="C31" s="3" t="s">
        <v>444</v>
      </c>
      <c r="D31" s="3" t="s">
        <v>445</v>
      </c>
      <c r="E31" s="3" t="s">
        <v>8086</v>
      </c>
      <c r="F31" s="3" t="s">
        <v>8027</v>
      </c>
      <c r="G31" s="3" t="s">
        <v>446</v>
      </c>
      <c r="H31" s="3" t="s">
        <v>548</v>
      </c>
      <c r="I31" s="3">
        <v>-6.7556700000000003</v>
      </c>
      <c r="J31" s="3">
        <v>37.754179999999998</v>
      </c>
      <c r="K31" s="3" t="s">
        <v>513</v>
      </c>
      <c r="L31" s="3">
        <v>2020</v>
      </c>
      <c r="M31" s="3">
        <v>10</v>
      </c>
      <c r="N31" s="3">
        <v>22</v>
      </c>
      <c r="O31" s="14">
        <v>0.52430555555555602</v>
      </c>
      <c r="P31" s="3" t="s">
        <v>449</v>
      </c>
      <c r="Q31" s="3" t="s">
        <v>450</v>
      </c>
      <c r="R31" s="3">
        <v>3</v>
      </c>
      <c r="S31" s="3">
        <v>100</v>
      </c>
      <c r="T31" s="3" t="s">
        <v>451</v>
      </c>
    </row>
    <row r="32" spans="1:20" ht="15.75" customHeight="1" x14ac:dyDescent="0.2">
      <c r="A32" s="3" t="s">
        <v>549</v>
      </c>
      <c r="B32" s="3" t="s">
        <v>550</v>
      </c>
      <c r="C32" s="3" t="s">
        <v>444</v>
      </c>
      <c r="D32" s="3" t="s">
        <v>445</v>
      </c>
      <c r="E32" s="3" t="s">
        <v>8087</v>
      </c>
      <c r="F32" s="3" t="s">
        <v>8027</v>
      </c>
      <c r="G32" s="3" t="s">
        <v>446</v>
      </c>
      <c r="H32" s="3" t="s">
        <v>548</v>
      </c>
      <c r="I32" s="3">
        <v>-6.7556700000000003</v>
      </c>
      <c r="J32" s="3">
        <v>37.754179999999998</v>
      </c>
      <c r="K32" s="3" t="s">
        <v>513</v>
      </c>
      <c r="L32" s="3">
        <v>2020</v>
      </c>
      <c r="M32" s="3">
        <v>10</v>
      </c>
      <c r="N32" s="3">
        <v>22</v>
      </c>
      <c r="O32" s="14">
        <v>0.52430555555555602</v>
      </c>
      <c r="P32" s="3" t="s">
        <v>449</v>
      </c>
      <c r="Q32" s="3" t="s">
        <v>450</v>
      </c>
      <c r="R32" s="3">
        <v>3</v>
      </c>
      <c r="S32" s="3">
        <v>100</v>
      </c>
      <c r="T32" s="3" t="s">
        <v>451</v>
      </c>
    </row>
    <row r="33" spans="1:20" ht="15.75" customHeight="1" x14ac:dyDescent="0.2">
      <c r="A33" s="3" t="s">
        <v>551</v>
      </c>
      <c r="B33" s="3" t="s">
        <v>552</v>
      </c>
      <c r="C33" s="3" t="s">
        <v>444</v>
      </c>
      <c r="D33" s="3" t="s">
        <v>445</v>
      </c>
      <c r="E33" s="3" t="s">
        <v>8088</v>
      </c>
      <c r="F33" s="3" t="s">
        <v>8047</v>
      </c>
      <c r="G33" s="3" t="s">
        <v>553</v>
      </c>
      <c r="H33" s="3" t="s">
        <v>554</v>
      </c>
      <c r="I33" s="3">
        <v>-6.8526100000000003</v>
      </c>
      <c r="J33" s="3">
        <v>37.650219999999997</v>
      </c>
      <c r="K33" s="3" t="s">
        <v>513</v>
      </c>
      <c r="L33" s="3">
        <v>2020</v>
      </c>
      <c r="M33" s="3">
        <v>10</v>
      </c>
      <c r="N33" s="3">
        <v>22</v>
      </c>
      <c r="O33" s="14">
        <v>0.35486111111111102</v>
      </c>
      <c r="P33" s="3" t="s">
        <v>449</v>
      </c>
      <c r="Q33" s="3" t="s">
        <v>450</v>
      </c>
      <c r="R33" s="3">
        <v>3</v>
      </c>
      <c r="S33" s="3">
        <v>100</v>
      </c>
      <c r="T33" s="3" t="s">
        <v>451</v>
      </c>
    </row>
    <row r="34" spans="1:20" ht="15.75" customHeight="1" x14ac:dyDescent="0.2">
      <c r="A34" s="3" t="s">
        <v>555</v>
      </c>
      <c r="B34" s="3" t="s">
        <v>556</v>
      </c>
      <c r="C34" s="3" t="s">
        <v>444</v>
      </c>
      <c r="D34" s="3" t="s">
        <v>445</v>
      </c>
      <c r="E34" s="3" t="s">
        <v>8089</v>
      </c>
      <c r="F34" s="3" t="s">
        <v>8047</v>
      </c>
      <c r="G34" s="3" t="s">
        <v>553</v>
      </c>
      <c r="H34" s="3" t="s">
        <v>554</v>
      </c>
      <c r="I34" s="3">
        <v>-6.8527899999999997</v>
      </c>
      <c r="J34" s="3">
        <v>37.649790000000003</v>
      </c>
      <c r="K34" s="3" t="s">
        <v>513</v>
      </c>
      <c r="L34" s="3">
        <v>2020</v>
      </c>
      <c r="M34" s="3">
        <v>10</v>
      </c>
      <c r="N34" s="3">
        <v>22</v>
      </c>
      <c r="O34" s="14">
        <v>0.360416666666667</v>
      </c>
      <c r="P34" s="3" t="s">
        <v>449</v>
      </c>
      <c r="Q34" s="3" t="s">
        <v>450</v>
      </c>
      <c r="R34" s="3">
        <v>3</v>
      </c>
      <c r="S34" s="3">
        <v>100</v>
      </c>
      <c r="T34" s="3" t="s">
        <v>451</v>
      </c>
    </row>
    <row r="35" spans="1:20" ht="15.75" customHeight="1" x14ac:dyDescent="0.2">
      <c r="A35" s="3" t="s">
        <v>557</v>
      </c>
      <c r="B35" s="3" t="s">
        <v>558</v>
      </c>
      <c r="C35" s="3" t="s">
        <v>444</v>
      </c>
      <c r="D35" s="3" t="s">
        <v>445</v>
      </c>
      <c r="E35" s="3" t="s">
        <v>8090</v>
      </c>
      <c r="F35" s="3" t="s">
        <v>8048</v>
      </c>
      <c r="G35" s="3" t="s">
        <v>559</v>
      </c>
      <c r="H35" s="3" t="s">
        <v>560</v>
      </c>
      <c r="I35" s="3">
        <v>-6.9032099999999996</v>
      </c>
      <c r="J35" s="3">
        <v>37.592480000000002</v>
      </c>
      <c r="K35" s="3" t="s">
        <v>513</v>
      </c>
      <c r="L35" s="3">
        <v>2020</v>
      </c>
      <c r="M35" s="3">
        <v>10</v>
      </c>
      <c r="N35" s="3">
        <v>22</v>
      </c>
      <c r="O35" s="14">
        <v>0.688194444444444</v>
      </c>
      <c r="P35" s="3" t="s">
        <v>449</v>
      </c>
      <c r="Q35" s="3" t="s">
        <v>450</v>
      </c>
      <c r="R35" s="3">
        <v>3</v>
      </c>
      <c r="S35" s="3">
        <v>100</v>
      </c>
      <c r="T35" s="3" t="s">
        <v>451</v>
      </c>
    </row>
    <row r="36" spans="1:20" ht="15.75" customHeight="1" x14ac:dyDescent="0.2">
      <c r="A36" s="3" t="s">
        <v>561</v>
      </c>
      <c r="B36" s="3" t="s">
        <v>562</v>
      </c>
      <c r="C36" s="3" t="s">
        <v>444</v>
      </c>
      <c r="D36" s="3" t="s">
        <v>445</v>
      </c>
      <c r="E36" s="3" t="s">
        <v>8091</v>
      </c>
      <c r="F36" s="3" t="s">
        <v>8048</v>
      </c>
      <c r="G36" s="3" t="s">
        <v>559</v>
      </c>
      <c r="H36" s="3" t="s">
        <v>560</v>
      </c>
      <c r="I36" s="3">
        <v>-6.9032099999999996</v>
      </c>
      <c r="J36" s="3">
        <v>37.592480000000002</v>
      </c>
      <c r="K36" s="3" t="s">
        <v>513</v>
      </c>
      <c r="L36" s="3">
        <v>2020</v>
      </c>
      <c r="M36" s="3">
        <v>10</v>
      </c>
      <c r="N36" s="3">
        <v>22</v>
      </c>
      <c r="O36" s="14">
        <v>0.69374999999999998</v>
      </c>
      <c r="P36" s="3" t="s">
        <v>449</v>
      </c>
      <c r="Q36" s="3" t="s">
        <v>450</v>
      </c>
      <c r="R36" s="3">
        <v>1</v>
      </c>
      <c r="S36" s="3">
        <v>100</v>
      </c>
      <c r="T36" s="3" t="s">
        <v>490</v>
      </c>
    </row>
    <row r="37" spans="1:20" ht="15.75" customHeight="1" x14ac:dyDescent="0.2">
      <c r="A37" s="3" t="s">
        <v>563</v>
      </c>
      <c r="B37" s="3" t="s">
        <v>564</v>
      </c>
      <c r="C37" s="3" t="s">
        <v>444</v>
      </c>
      <c r="D37" s="3" t="s">
        <v>445</v>
      </c>
      <c r="E37" s="3" t="s">
        <v>8092</v>
      </c>
      <c r="F37" s="3" t="s">
        <v>8048</v>
      </c>
      <c r="G37" s="3" t="s">
        <v>559</v>
      </c>
      <c r="H37" s="3" t="s">
        <v>560</v>
      </c>
      <c r="I37" s="3">
        <v>-6.9032099999999996</v>
      </c>
      <c r="J37" s="3">
        <v>37.592480000000002</v>
      </c>
      <c r="K37" s="3" t="s">
        <v>513</v>
      </c>
      <c r="L37" s="3">
        <v>2020</v>
      </c>
      <c r="M37" s="3">
        <v>10</v>
      </c>
      <c r="N37" s="3">
        <v>22</v>
      </c>
      <c r="O37" s="14">
        <v>0.69374999999999998</v>
      </c>
      <c r="P37" s="3" t="s">
        <v>449</v>
      </c>
      <c r="Q37" s="3" t="s">
        <v>450</v>
      </c>
      <c r="R37" s="3">
        <v>1</v>
      </c>
      <c r="S37" s="3">
        <v>80</v>
      </c>
      <c r="T37" s="3" t="s">
        <v>451</v>
      </c>
    </row>
    <row r="38" spans="1:20" ht="15.75" customHeight="1" x14ac:dyDescent="0.2">
      <c r="A38" s="3" t="s">
        <v>565</v>
      </c>
      <c r="B38" s="3" t="s">
        <v>566</v>
      </c>
      <c r="C38" s="3" t="s">
        <v>444</v>
      </c>
      <c r="D38" s="3" t="s">
        <v>567</v>
      </c>
      <c r="E38" s="3" t="s">
        <v>8093</v>
      </c>
      <c r="F38" s="3" t="s">
        <v>8049</v>
      </c>
      <c r="G38" s="3" t="s">
        <v>568</v>
      </c>
      <c r="H38" s="3" t="s">
        <v>569</v>
      </c>
      <c r="I38" s="3">
        <v>-6.6112799999999998</v>
      </c>
      <c r="J38" s="3">
        <v>38.78519</v>
      </c>
      <c r="K38" s="3" t="s">
        <v>513</v>
      </c>
      <c r="L38" s="3">
        <v>2020</v>
      </c>
      <c r="M38" s="3">
        <v>10</v>
      </c>
      <c r="N38" s="3">
        <v>23</v>
      </c>
      <c r="O38" s="14">
        <v>0.34722222222222199</v>
      </c>
      <c r="P38" s="3" t="s">
        <v>449</v>
      </c>
      <c r="Q38" s="3" t="s">
        <v>450</v>
      </c>
      <c r="R38" s="3">
        <v>3</v>
      </c>
      <c r="S38" s="3">
        <v>100</v>
      </c>
      <c r="T38" s="3" t="s">
        <v>451</v>
      </c>
    </row>
    <row r="39" spans="1:20" ht="15.75" customHeight="1" x14ac:dyDescent="0.2">
      <c r="A39" s="3" t="s">
        <v>570</v>
      </c>
      <c r="B39" s="3" t="s">
        <v>571</v>
      </c>
      <c r="C39" s="3" t="s">
        <v>444</v>
      </c>
      <c r="D39" s="3" t="s">
        <v>567</v>
      </c>
      <c r="E39" s="3" t="s">
        <v>8094</v>
      </c>
      <c r="F39" s="3" t="s">
        <v>8049</v>
      </c>
      <c r="G39" s="3" t="s">
        <v>568</v>
      </c>
      <c r="H39" s="3" t="s">
        <v>569</v>
      </c>
      <c r="I39" s="3">
        <v>-6.6112799999999998</v>
      </c>
      <c r="J39" s="3">
        <v>38.78519</v>
      </c>
      <c r="K39" s="3" t="s">
        <v>513</v>
      </c>
      <c r="L39" s="3">
        <v>2020</v>
      </c>
      <c r="M39" s="3">
        <v>10</v>
      </c>
      <c r="N39" s="3">
        <v>23</v>
      </c>
      <c r="O39" s="14">
        <v>0.34722222222222199</v>
      </c>
      <c r="P39" s="3" t="s">
        <v>449</v>
      </c>
      <c r="Q39" s="3" t="s">
        <v>450</v>
      </c>
      <c r="R39" s="3">
        <v>3</v>
      </c>
      <c r="S39" s="3">
        <v>100</v>
      </c>
      <c r="T39" s="3" t="s">
        <v>451</v>
      </c>
    </row>
    <row r="40" spans="1:20" ht="15.75" customHeight="1" x14ac:dyDescent="0.2">
      <c r="A40" s="3" t="s">
        <v>572</v>
      </c>
      <c r="B40" s="3" t="s">
        <v>573</v>
      </c>
      <c r="C40" s="3" t="s">
        <v>444</v>
      </c>
      <c r="D40" s="3" t="s">
        <v>567</v>
      </c>
      <c r="E40" s="3" t="s">
        <v>8095</v>
      </c>
      <c r="F40" s="3" t="s">
        <v>8050</v>
      </c>
      <c r="G40" s="3" t="s">
        <v>574</v>
      </c>
      <c r="H40" s="3" t="s">
        <v>575</v>
      </c>
      <c r="I40" s="3">
        <v>-6.4721099999999998</v>
      </c>
      <c r="J40" s="3">
        <v>38.967649999999999</v>
      </c>
      <c r="K40" s="3" t="s">
        <v>513</v>
      </c>
      <c r="L40" s="3">
        <v>2020</v>
      </c>
      <c r="M40" s="3">
        <v>10</v>
      </c>
      <c r="N40" s="3">
        <v>23</v>
      </c>
      <c r="O40" s="14">
        <v>0.499305555555556</v>
      </c>
      <c r="P40" s="3" t="s">
        <v>449</v>
      </c>
      <c r="Q40" s="3" t="s">
        <v>450</v>
      </c>
      <c r="R40" s="3">
        <v>3</v>
      </c>
      <c r="S40" s="3">
        <v>100</v>
      </c>
      <c r="T40" s="3" t="s">
        <v>451</v>
      </c>
    </row>
    <row r="41" spans="1:20" ht="15.75" customHeight="1" x14ac:dyDescent="0.2">
      <c r="A41" s="3" t="s">
        <v>576</v>
      </c>
      <c r="B41" s="3" t="s">
        <v>577</v>
      </c>
      <c r="C41" s="3" t="s">
        <v>444</v>
      </c>
      <c r="D41" s="3" t="s">
        <v>567</v>
      </c>
      <c r="E41" s="3" t="s">
        <v>8096</v>
      </c>
      <c r="F41" s="3" t="s">
        <v>8050</v>
      </c>
      <c r="G41" s="3" t="s">
        <v>574</v>
      </c>
      <c r="H41" s="3" t="s">
        <v>575</v>
      </c>
      <c r="I41" s="3">
        <v>-6.4721099999999998</v>
      </c>
      <c r="J41" s="3">
        <v>38.967649999999999</v>
      </c>
      <c r="K41" s="3" t="s">
        <v>513</v>
      </c>
      <c r="L41" s="3">
        <v>2020</v>
      </c>
      <c r="M41" s="3">
        <v>10</v>
      </c>
      <c r="N41" s="3">
        <v>24</v>
      </c>
      <c r="O41" s="14">
        <v>0.499305555555556</v>
      </c>
      <c r="P41" s="3" t="s">
        <v>449</v>
      </c>
      <c r="Q41" s="3" t="s">
        <v>450</v>
      </c>
      <c r="R41" s="3">
        <v>3</v>
      </c>
      <c r="S41" s="3">
        <v>100</v>
      </c>
      <c r="T41" s="3" t="s">
        <v>451</v>
      </c>
    </row>
    <row r="42" spans="1:20" ht="15.75" customHeight="1" x14ac:dyDescent="0.2">
      <c r="A42" s="3" t="s">
        <v>578</v>
      </c>
      <c r="B42" s="3" t="s">
        <v>579</v>
      </c>
      <c r="C42" s="3" t="s">
        <v>444</v>
      </c>
      <c r="D42" s="3" t="s">
        <v>567</v>
      </c>
      <c r="E42" s="3" t="s">
        <v>8097</v>
      </c>
      <c r="F42" s="3" t="s">
        <v>8051</v>
      </c>
      <c r="G42" s="3" t="s">
        <v>580</v>
      </c>
      <c r="H42" s="3" t="s">
        <v>581</v>
      </c>
      <c r="I42" s="3">
        <v>-7.1630700000000003</v>
      </c>
      <c r="J42" s="3">
        <v>39.220170000000003</v>
      </c>
      <c r="K42" s="3" t="s">
        <v>513</v>
      </c>
      <c r="L42" s="3">
        <v>2020</v>
      </c>
      <c r="M42" s="3">
        <v>10</v>
      </c>
      <c r="N42" s="3">
        <v>24</v>
      </c>
      <c r="O42" s="14">
        <v>0.44722222222222202</v>
      </c>
      <c r="P42" s="3" t="s">
        <v>449</v>
      </c>
      <c r="Q42" s="3" t="s">
        <v>450</v>
      </c>
      <c r="R42" s="3">
        <v>3</v>
      </c>
      <c r="S42" s="3">
        <v>100</v>
      </c>
      <c r="T42" s="3" t="s">
        <v>451</v>
      </c>
    </row>
    <row r="43" spans="1:20" ht="15.75" customHeight="1" x14ac:dyDescent="0.2">
      <c r="A43" s="3" t="s">
        <v>582</v>
      </c>
      <c r="B43" s="3" t="s">
        <v>583</v>
      </c>
      <c r="C43" s="3" t="s">
        <v>444</v>
      </c>
      <c r="D43" s="3" t="s">
        <v>567</v>
      </c>
      <c r="E43" s="3" t="s">
        <v>8098</v>
      </c>
      <c r="F43" s="3" t="s">
        <v>8051</v>
      </c>
      <c r="G43" s="3" t="s">
        <v>580</v>
      </c>
      <c r="H43" s="3" t="s">
        <v>581</v>
      </c>
      <c r="I43" s="3">
        <v>-7.1630700000000003</v>
      </c>
      <c r="J43" s="3">
        <v>39.220170000000003</v>
      </c>
      <c r="K43" s="3" t="s">
        <v>513</v>
      </c>
      <c r="L43" s="3">
        <v>2020</v>
      </c>
      <c r="M43" s="3">
        <v>10</v>
      </c>
      <c r="N43" s="3">
        <v>24</v>
      </c>
      <c r="O43" s="14">
        <v>0.44722222222222202</v>
      </c>
      <c r="P43" s="3" t="s">
        <v>449</v>
      </c>
      <c r="Q43" s="3" t="s">
        <v>450</v>
      </c>
      <c r="R43" s="3">
        <v>3</v>
      </c>
      <c r="S43" s="3">
        <v>100</v>
      </c>
      <c r="T43" s="3" t="s">
        <v>451</v>
      </c>
    </row>
    <row r="44" spans="1:20" ht="15.75" customHeight="1" x14ac:dyDescent="0.2">
      <c r="A44" s="3" t="s">
        <v>584</v>
      </c>
      <c r="B44" s="3" t="s">
        <v>585</v>
      </c>
      <c r="C44" s="3" t="s">
        <v>444</v>
      </c>
      <c r="D44" s="3" t="s">
        <v>567</v>
      </c>
      <c r="E44" s="3" t="s">
        <v>8099</v>
      </c>
      <c r="F44" s="3" t="s">
        <v>8052</v>
      </c>
      <c r="G44" s="3" t="s">
        <v>586</v>
      </c>
      <c r="H44" s="3" t="s">
        <v>587</v>
      </c>
      <c r="I44" s="3">
        <v>-7.17631</v>
      </c>
      <c r="J44" s="3">
        <v>39.329569999999997</v>
      </c>
      <c r="K44" s="3" t="s">
        <v>513</v>
      </c>
      <c r="L44" s="3">
        <v>2020</v>
      </c>
      <c r="M44" s="3">
        <v>10</v>
      </c>
      <c r="N44" s="3">
        <v>24</v>
      </c>
      <c r="O44" s="14">
        <v>0.50833333333333297</v>
      </c>
      <c r="P44" s="3" t="s">
        <v>449</v>
      </c>
      <c r="Q44" s="3" t="s">
        <v>450</v>
      </c>
      <c r="R44" s="3">
        <v>3</v>
      </c>
      <c r="S44" s="3">
        <v>100</v>
      </c>
      <c r="T44" s="3" t="s">
        <v>451</v>
      </c>
    </row>
    <row r="45" spans="1:20" ht="16" x14ac:dyDescent="0.2">
      <c r="A45" s="3" t="s">
        <v>588</v>
      </c>
      <c r="B45" s="3" t="s">
        <v>589</v>
      </c>
      <c r="C45" s="3" t="s">
        <v>444</v>
      </c>
      <c r="D45" s="3" t="s">
        <v>567</v>
      </c>
      <c r="E45" s="3" t="s">
        <v>8100</v>
      </c>
      <c r="F45" s="3" t="s">
        <v>8052</v>
      </c>
      <c r="G45" s="3" t="s">
        <v>586</v>
      </c>
      <c r="H45" s="3" t="s">
        <v>587</v>
      </c>
      <c r="I45" s="3">
        <v>-7.1761699999999999</v>
      </c>
      <c r="J45" s="3">
        <v>39.332509999999999</v>
      </c>
      <c r="K45" s="3" t="s">
        <v>513</v>
      </c>
      <c r="L45" s="3">
        <v>2020</v>
      </c>
      <c r="M45" s="3">
        <v>10</v>
      </c>
      <c r="N45" s="3">
        <v>24</v>
      </c>
      <c r="O45" s="14">
        <v>0.51875000000000004</v>
      </c>
      <c r="P45" s="3" t="s">
        <v>449</v>
      </c>
      <c r="Q45" s="3" t="s">
        <v>450</v>
      </c>
      <c r="R45" s="3">
        <v>3</v>
      </c>
      <c r="S45" s="3">
        <v>100</v>
      </c>
      <c r="T45" s="3" t="s">
        <v>451</v>
      </c>
    </row>
    <row r="46" spans="1:20" ht="16" x14ac:dyDescent="0.2">
      <c r="A46" s="3" t="s">
        <v>590</v>
      </c>
      <c r="B46" s="3" t="s">
        <v>591</v>
      </c>
      <c r="C46" s="3" t="s">
        <v>444</v>
      </c>
      <c r="D46" s="3" t="s">
        <v>567</v>
      </c>
      <c r="E46" s="3" t="s">
        <v>8101</v>
      </c>
      <c r="F46" s="3" t="s">
        <v>8053</v>
      </c>
      <c r="G46" s="3" t="s">
        <v>592</v>
      </c>
      <c r="H46" s="3" t="s">
        <v>593</v>
      </c>
      <c r="I46" s="3">
        <v>-7.1403800000000004</v>
      </c>
      <c r="J46" s="3">
        <v>39.327399999999997</v>
      </c>
      <c r="K46" s="3" t="s">
        <v>513</v>
      </c>
      <c r="L46" s="3">
        <v>2020</v>
      </c>
      <c r="M46" s="3">
        <v>10</v>
      </c>
      <c r="N46" s="3">
        <v>24</v>
      </c>
      <c r="O46" s="14">
        <v>0.57083333333333297</v>
      </c>
      <c r="P46" s="3" t="s">
        <v>449</v>
      </c>
      <c r="Q46" s="3" t="s">
        <v>450</v>
      </c>
      <c r="R46" s="3">
        <v>3</v>
      </c>
      <c r="S46" s="3">
        <v>100</v>
      </c>
      <c r="T46" s="3" t="s">
        <v>451</v>
      </c>
    </row>
    <row r="47" spans="1:20" ht="16" x14ac:dyDescent="0.2">
      <c r="A47" s="3" t="s">
        <v>594</v>
      </c>
      <c r="B47" s="3" t="s">
        <v>595</v>
      </c>
      <c r="C47" s="3" t="s">
        <v>444</v>
      </c>
      <c r="D47" s="3" t="s">
        <v>596</v>
      </c>
      <c r="E47" s="3" t="s">
        <v>8102</v>
      </c>
      <c r="F47" s="3" t="s">
        <v>8054</v>
      </c>
      <c r="G47" s="3" t="s">
        <v>597</v>
      </c>
      <c r="H47" s="3" t="s">
        <v>598</v>
      </c>
      <c r="I47" s="3">
        <v>-6.8728800000000003</v>
      </c>
      <c r="J47" s="3">
        <v>39.342089999999999</v>
      </c>
      <c r="K47" s="3" t="s">
        <v>513</v>
      </c>
      <c r="L47" s="3">
        <v>2020</v>
      </c>
      <c r="M47" s="3">
        <v>10</v>
      </c>
      <c r="N47" s="3">
        <v>25</v>
      </c>
      <c r="O47" s="14">
        <v>0.47638888888888897</v>
      </c>
      <c r="P47" s="3" t="s">
        <v>449</v>
      </c>
      <c r="Q47" s="3" t="s">
        <v>450</v>
      </c>
      <c r="R47" s="3">
        <v>3</v>
      </c>
      <c r="S47" s="3">
        <v>100</v>
      </c>
      <c r="T47" s="3" t="s">
        <v>451</v>
      </c>
    </row>
    <row r="48" spans="1:20" ht="16" x14ac:dyDescent="0.2">
      <c r="A48" s="3" t="s">
        <v>599</v>
      </c>
      <c r="B48" s="3" t="s">
        <v>600</v>
      </c>
      <c r="C48" s="3" t="s">
        <v>444</v>
      </c>
      <c r="D48" s="3" t="s">
        <v>596</v>
      </c>
      <c r="E48" s="3" t="s">
        <v>8103</v>
      </c>
      <c r="F48" s="3" t="s">
        <v>8054</v>
      </c>
      <c r="G48" s="3" t="s">
        <v>597</v>
      </c>
      <c r="H48" s="3" t="s">
        <v>598</v>
      </c>
      <c r="I48" s="3">
        <v>-6.8728800000000003</v>
      </c>
      <c r="J48" s="3">
        <v>39.342089999999999</v>
      </c>
      <c r="K48" s="3" t="s">
        <v>513</v>
      </c>
      <c r="L48" s="3">
        <v>2020</v>
      </c>
      <c r="M48" s="3">
        <v>10</v>
      </c>
      <c r="N48" s="3">
        <v>25</v>
      </c>
      <c r="O48" s="14">
        <v>0.47638888888888897</v>
      </c>
      <c r="P48" s="3" t="s">
        <v>449</v>
      </c>
      <c r="Q48" s="3" t="s">
        <v>450</v>
      </c>
      <c r="R48" s="3">
        <v>3</v>
      </c>
      <c r="S48" s="3">
        <v>100</v>
      </c>
      <c r="T48" s="3" t="s">
        <v>451</v>
      </c>
    </row>
    <row r="49" spans="1:20" ht="16" x14ac:dyDescent="0.2">
      <c r="A49" s="3" t="s">
        <v>601</v>
      </c>
      <c r="B49" s="3" t="s">
        <v>602</v>
      </c>
      <c r="C49" s="3" t="s">
        <v>444</v>
      </c>
      <c r="D49" s="3" t="s">
        <v>596</v>
      </c>
      <c r="E49" s="3" t="s">
        <v>8104</v>
      </c>
      <c r="F49" s="3" t="s">
        <v>8054</v>
      </c>
      <c r="G49" s="3" t="s">
        <v>597</v>
      </c>
      <c r="H49" s="3" t="s">
        <v>598</v>
      </c>
      <c r="I49" s="3">
        <v>-6.8728800000000003</v>
      </c>
      <c r="J49" s="3">
        <v>39.342089999999999</v>
      </c>
      <c r="K49" s="3" t="s">
        <v>513</v>
      </c>
      <c r="L49" s="3">
        <v>2020</v>
      </c>
      <c r="M49" s="3">
        <v>10</v>
      </c>
      <c r="N49" s="3">
        <v>25</v>
      </c>
      <c r="O49" s="14">
        <v>0.47638888888888897</v>
      </c>
      <c r="P49" s="3" t="s">
        <v>449</v>
      </c>
      <c r="Q49" s="3" t="s">
        <v>450</v>
      </c>
      <c r="R49" s="3">
        <v>3</v>
      </c>
      <c r="S49" s="3">
        <v>100</v>
      </c>
      <c r="T49" s="3" t="s">
        <v>451</v>
      </c>
    </row>
    <row r="50" spans="1:20" ht="16" x14ac:dyDescent="0.2">
      <c r="A50" s="3" t="s">
        <v>603</v>
      </c>
      <c r="B50" s="3" t="s">
        <v>604</v>
      </c>
      <c r="C50" s="3" t="s">
        <v>444</v>
      </c>
      <c r="D50" s="3" t="s">
        <v>596</v>
      </c>
      <c r="E50" s="3" t="s">
        <v>8105</v>
      </c>
      <c r="F50" s="3" t="s">
        <v>8055</v>
      </c>
      <c r="G50" s="3" t="s">
        <v>605</v>
      </c>
      <c r="H50" s="3" t="s">
        <v>606</v>
      </c>
      <c r="I50" s="3">
        <v>-6.9363599999999996</v>
      </c>
      <c r="J50" s="3">
        <v>39.125540000000001</v>
      </c>
      <c r="K50" s="3" t="s">
        <v>513</v>
      </c>
      <c r="L50" s="3">
        <v>2020</v>
      </c>
      <c r="M50" s="3">
        <v>10</v>
      </c>
      <c r="N50" s="3">
        <v>25</v>
      </c>
      <c r="O50" s="14">
        <v>0.125</v>
      </c>
      <c r="P50" s="3" t="s">
        <v>449</v>
      </c>
      <c r="Q50" s="3" t="s">
        <v>450</v>
      </c>
      <c r="R50" s="3">
        <v>3</v>
      </c>
      <c r="S50" s="3">
        <v>100</v>
      </c>
      <c r="T50" s="3" t="s">
        <v>451</v>
      </c>
    </row>
    <row r="51" spans="1:20" ht="16" x14ac:dyDescent="0.2">
      <c r="A51" s="3" t="s">
        <v>607</v>
      </c>
      <c r="B51" s="3" t="s">
        <v>608</v>
      </c>
      <c r="C51" s="3" t="s">
        <v>444</v>
      </c>
      <c r="D51" s="3" t="s">
        <v>596</v>
      </c>
      <c r="E51" s="3" t="s">
        <v>8106</v>
      </c>
      <c r="F51" s="3" t="s">
        <v>8055</v>
      </c>
      <c r="G51" s="3" t="s">
        <v>605</v>
      </c>
      <c r="H51" s="3" t="s">
        <v>606</v>
      </c>
      <c r="I51" s="3">
        <v>-6.9363599999999996</v>
      </c>
      <c r="J51" s="3">
        <v>39.125540000000001</v>
      </c>
      <c r="K51" s="3" t="s">
        <v>513</v>
      </c>
      <c r="L51" s="3">
        <v>2020</v>
      </c>
      <c r="M51" s="3">
        <v>10</v>
      </c>
      <c r="N51" s="3">
        <v>25</v>
      </c>
      <c r="O51" s="14">
        <v>0.125</v>
      </c>
      <c r="P51" s="3" t="s">
        <v>449</v>
      </c>
      <c r="Q51" s="3" t="s">
        <v>450</v>
      </c>
      <c r="R51" s="3">
        <v>3</v>
      </c>
      <c r="S51" s="3">
        <v>100</v>
      </c>
      <c r="T51" s="3" t="s">
        <v>451</v>
      </c>
    </row>
    <row r="52" spans="1:20" ht="16" x14ac:dyDescent="0.2">
      <c r="A52" s="3" t="s">
        <v>609</v>
      </c>
      <c r="B52" s="3" t="s">
        <v>610</v>
      </c>
      <c r="C52" s="3" t="s">
        <v>444</v>
      </c>
      <c r="D52" s="3" t="s">
        <v>596</v>
      </c>
      <c r="E52" s="3" t="s">
        <v>8107</v>
      </c>
      <c r="F52" s="3" t="s">
        <v>8056</v>
      </c>
      <c r="G52" s="3" t="s">
        <v>611</v>
      </c>
      <c r="H52" s="3" t="s">
        <v>612</v>
      </c>
      <c r="I52" s="3">
        <v>-6.8361900000000002</v>
      </c>
      <c r="J52" s="3">
        <v>39.211190000000002</v>
      </c>
      <c r="K52" s="3" t="s">
        <v>513</v>
      </c>
      <c r="L52" s="3">
        <v>2020</v>
      </c>
      <c r="M52" s="3">
        <v>10</v>
      </c>
      <c r="N52" s="3">
        <v>27</v>
      </c>
      <c r="O52" s="14">
        <v>0.47569444444444398</v>
      </c>
      <c r="P52" s="3" t="s">
        <v>449</v>
      </c>
      <c r="Q52" s="3" t="s">
        <v>450</v>
      </c>
      <c r="R52" s="3">
        <v>3</v>
      </c>
      <c r="S52" s="3">
        <v>100</v>
      </c>
      <c r="T52" s="3" t="s">
        <v>451</v>
      </c>
    </row>
    <row r="53" spans="1:20" ht="16" x14ac:dyDescent="0.2">
      <c r="A53" s="3" t="s">
        <v>613</v>
      </c>
      <c r="B53" s="3" t="s">
        <v>614</v>
      </c>
      <c r="C53" s="3" t="s">
        <v>444</v>
      </c>
      <c r="D53" s="3" t="s">
        <v>596</v>
      </c>
      <c r="E53" s="3" t="s">
        <v>8108</v>
      </c>
      <c r="F53" s="3" t="s">
        <v>8057</v>
      </c>
      <c r="G53" s="3" t="s">
        <v>615</v>
      </c>
      <c r="H53" s="3" t="s">
        <v>616</v>
      </c>
      <c r="I53" s="3">
        <v>-6.7437699999999996</v>
      </c>
      <c r="J53" s="3">
        <v>39.234380000000002</v>
      </c>
      <c r="K53" s="3" t="s">
        <v>513</v>
      </c>
      <c r="L53" s="3">
        <v>2020</v>
      </c>
      <c r="M53" s="3">
        <v>10</v>
      </c>
      <c r="N53" s="3">
        <v>27</v>
      </c>
      <c r="O53" s="14">
        <v>4.7916666666666698E-2</v>
      </c>
      <c r="P53" s="3" t="s">
        <v>449</v>
      </c>
      <c r="Q53" s="3" t="s">
        <v>450</v>
      </c>
      <c r="R53" s="3">
        <v>3</v>
      </c>
      <c r="S53" s="3">
        <v>100</v>
      </c>
      <c r="T53" s="3" t="s">
        <v>451</v>
      </c>
    </row>
    <row r="54" spans="1:20" ht="16" x14ac:dyDescent="0.2">
      <c r="A54" s="3" t="s">
        <v>617</v>
      </c>
      <c r="B54" s="3" t="s">
        <v>618</v>
      </c>
      <c r="C54" s="3" t="s">
        <v>444</v>
      </c>
      <c r="D54" s="3" t="s">
        <v>596</v>
      </c>
      <c r="E54" s="3" t="s">
        <v>8109</v>
      </c>
      <c r="F54" s="3" t="s">
        <v>8058</v>
      </c>
      <c r="G54" s="3" t="s">
        <v>619</v>
      </c>
      <c r="H54" s="3" t="s">
        <v>620</v>
      </c>
      <c r="I54" s="3">
        <v>-6.6642999999999999</v>
      </c>
      <c r="J54" s="3">
        <v>39.217739999999999</v>
      </c>
      <c r="K54" s="3" t="s">
        <v>513</v>
      </c>
      <c r="L54" s="3">
        <v>2020</v>
      </c>
      <c r="M54" s="3">
        <v>10</v>
      </c>
      <c r="N54" s="3">
        <v>30</v>
      </c>
      <c r="O54" s="14">
        <v>0.51805555555555605</v>
      </c>
      <c r="P54" s="3" t="s">
        <v>449</v>
      </c>
      <c r="Q54" s="3" t="s">
        <v>450</v>
      </c>
      <c r="R54" s="3">
        <v>3</v>
      </c>
      <c r="S54" s="3">
        <v>100</v>
      </c>
      <c r="T54" s="3" t="s">
        <v>451</v>
      </c>
    </row>
    <row r="55" spans="1:20" ht="16" x14ac:dyDescent="0.2">
      <c r="A55" s="3" t="s">
        <v>621</v>
      </c>
      <c r="B55" s="3" t="s">
        <v>622</v>
      </c>
      <c r="C55" s="3" t="s">
        <v>444</v>
      </c>
      <c r="D55" s="3" t="s">
        <v>596</v>
      </c>
      <c r="E55" s="3" t="s">
        <v>8110</v>
      </c>
      <c r="F55" s="3" t="s">
        <v>8058</v>
      </c>
      <c r="G55" s="3" t="s">
        <v>619</v>
      </c>
      <c r="H55" s="3" t="s">
        <v>620</v>
      </c>
      <c r="I55" s="3">
        <v>-6.6642999999999999</v>
      </c>
      <c r="J55" s="3">
        <v>39.217739999999999</v>
      </c>
      <c r="K55" s="3" t="s">
        <v>513</v>
      </c>
      <c r="L55" s="3">
        <v>2020</v>
      </c>
      <c r="M55" s="3">
        <v>10</v>
      </c>
      <c r="N55" s="3">
        <v>30</v>
      </c>
      <c r="O55" s="14">
        <v>0.51805555555555605</v>
      </c>
      <c r="P55" s="3" t="s">
        <v>449</v>
      </c>
      <c r="Q55" s="3" t="s">
        <v>450</v>
      </c>
      <c r="R55" s="3">
        <v>3</v>
      </c>
      <c r="S55" s="3">
        <v>100</v>
      </c>
      <c r="T55" s="3" t="s">
        <v>451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48576"/>
  <sheetViews>
    <sheetView zoomScale="80" zoomScaleNormal="80" workbookViewId="0"/>
  </sheetViews>
  <sheetFormatPr baseColWidth="10" defaultColWidth="11" defaultRowHeight="15.75" customHeight="1" x14ac:dyDescent="0.2"/>
  <cols>
    <col min="1" max="1" width="19.1640625" style="3" customWidth="1"/>
    <col min="2" max="2" width="23.6640625" style="3" customWidth="1"/>
    <col min="3" max="3" width="17.33203125" style="3" customWidth="1"/>
    <col min="4" max="4" width="11.5" style="3" customWidth="1"/>
    <col min="5" max="5" width="13" style="3" customWidth="1"/>
    <col min="6" max="6" width="11.6640625" style="3" customWidth="1"/>
    <col min="7" max="7" width="13.33203125" style="3" customWidth="1"/>
    <col min="8" max="8" width="22.5" style="3" customWidth="1"/>
    <col min="9" max="9" width="10.83203125" style="3" customWidth="1"/>
    <col min="10" max="10" width="15.83203125" style="3" customWidth="1"/>
    <col min="11" max="11" width="49.33203125" style="3" customWidth="1"/>
    <col min="12" max="12" width="45.6640625" style="3" customWidth="1"/>
    <col min="13" max="13" width="23.1640625" style="3" customWidth="1"/>
    <col min="14" max="14" width="14.6640625" style="3" customWidth="1"/>
    <col min="15" max="15" width="14.33203125" style="3" customWidth="1"/>
    <col min="16" max="16" width="15.5" style="3" customWidth="1"/>
    <col min="17" max="17" width="11" style="3" bestFit="1" customWidth="1"/>
  </cols>
  <sheetData>
    <row r="1" spans="1:17" ht="16" x14ac:dyDescent="0.2">
      <c r="A1" s="6" t="s">
        <v>8018</v>
      </c>
    </row>
    <row r="2" spans="1:17" ht="16" x14ac:dyDescent="0.2">
      <c r="A2" s="8"/>
    </row>
    <row r="3" spans="1:17" ht="16" x14ac:dyDescent="0.2">
      <c r="A3" s="13" t="s">
        <v>623</v>
      </c>
      <c r="B3" s="13" t="s">
        <v>422</v>
      </c>
      <c r="C3" s="13" t="s">
        <v>624</v>
      </c>
      <c r="D3" s="13" t="s">
        <v>625</v>
      </c>
      <c r="E3" s="13" t="s">
        <v>626</v>
      </c>
      <c r="F3" s="13" t="s">
        <v>627</v>
      </c>
      <c r="G3" s="13" t="s">
        <v>628</v>
      </c>
      <c r="H3" s="13" t="s">
        <v>629</v>
      </c>
      <c r="I3" s="13" t="s">
        <v>630</v>
      </c>
      <c r="J3" s="13" t="s">
        <v>631</v>
      </c>
      <c r="K3" s="13" t="s">
        <v>429</v>
      </c>
      <c r="L3" s="13" t="s">
        <v>432</v>
      </c>
      <c r="M3" s="13" t="s">
        <v>437</v>
      </c>
      <c r="N3" s="13" t="s">
        <v>632</v>
      </c>
      <c r="O3" s="13" t="s">
        <v>430</v>
      </c>
      <c r="P3" s="13" t="s">
        <v>431</v>
      </c>
      <c r="Q3" s="13" t="s">
        <v>633</v>
      </c>
    </row>
    <row r="4" spans="1:17" ht="16" x14ac:dyDescent="0.2">
      <c r="A4" s="3" t="s">
        <v>174</v>
      </c>
      <c r="B4" s="3" t="s">
        <v>442</v>
      </c>
      <c r="C4" s="3" t="s">
        <v>634</v>
      </c>
      <c r="D4" s="3" t="s">
        <v>635</v>
      </c>
      <c r="E4" s="3" t="s">
        <v>636</v>
      </c>
      <c r="F4" s="3" t="s">
        <v>637</v>
      </c>
      <c r="G4" s="3" t="s">
        <v>638</v>
      </c>
      <c r="H4" s="3" t="s">
        <v>639</v>
      </c>
      <c r="I4" s="3" t="s">
        <v>640</v>
      </c>
      <c r="J4" s="3" t="s">
        <v>641</v>
      </c>
      <c r="K4" s="3" t="s">
        <v>642</v>
      </c>
      <c r="L4" s="3" t="s">
        <v>448</v>
      </c>
      <c r="M4" s="3" t="s">
        <v>643</v>
      </c>
      <c r="N4" s="3" t="s">
        <v>445</v>
      </c>
      <c r="O4" s="3">
        <v>-6.7559199999999997</v>
      </c>
      <c r="P4" s="3">
        <v>37.7547</v>
      </c>
      <c r="Q4" s="15">
        <v>43601</v>
      </c>
    </row>
    <row r="5" spans="1:17" ht="16" x14ac:dyDescent="0.2">
      <c r="A5" s="3" t="s">
        <v>176</v>
      </c>
      <c r="B5" s="3" t="s">
        <v>442</v>
      </c>
      <c r="C5" s="3" t="s">
        <v>634</v>
      </c>
      <c r="D5" s="3" t="s">
        <v>635</v>
      </c>
      <c r="E5" s="3" t="s">
        <v>644</v>
      </c>
      <c r="F5" s="3" t="s">
        <v>637</v>
      </c>
      <c r="G5" s="3" t="s">
        <v>638</v>
      </c>
      <c r="H5" s="3" t="s">
        <v>639</v>
      </c>
      <c r="I5" s="3" t="s">
        <v>640</v>
      </c>
      <c r="J5" s="3" t="s">
        <v>641</v>
      </c>
      <c r="K5" s="3" t="s">
        <v>642</v>
      </c>
      <c r="L5" s="3" t="s">
        <v>448</v>
      </c>
      <c r="M5" s="3" t="s">
        <v>643</v>
      </c>
      <c r="N5" s="3" t="s">
        <v>445</v>
      </c>
      <c r="O5" s="3">
        <v>-6.7559199999999997</v>
      </c>
      <c r="P5" s="3">
        <v>37.7547</v>
      </c>
      <c r="Q5" s="15">
        <v>43601</v>
      </c>
    </row>
    <row r="6" spans="1:17" ht="16" x14ac:dyDescent="0.2">
      <c r="A6" s="3" t="s">
        <v>178</v>
      </c>
      <c r="B6" s="3" t="s">
        <v>442</v>
      </c>
      <c r="C6" s="3" t="s">
        <v>634</v>
      </c>
      <c r="D6" s="3" t="s">
        <v>635</v>
      </c>
      <c r="E6" s="3" t="s">
        <v>645</v>
      </c>
      <c r="F6" s="3" t="s">
        <v>637</v>
      </c>
      <c r="G6" s="3" t="s">
        <v>638</v>
      </c>
      <c r="H6" s="3" t="s">
        <v>639</v>
      </c>
      <c r="I6" s="3" t="s">
        <v>640</v>
      </c>
      <c r="J6" s="3" t="s">
        <v>641</v>
      </c>
      <c r="K6" s="3" t="s">
        <v>642</v>
      </c>
      <c r="L6" s="3" t="s">
        <v>448</v>
      </c>
      <c r="M6" s="3" t="s">
        <v>643</v>
      </c>
      <c r="N6" s="3" t="s">
        <v>445</v>
      </c>
      <c r="O6" s="3">
        <v>-6.7559199999999997</v>
      </c>
      <c r="P6" s="3">
        <v>37.7547</v>
      </c>
      <c r="Q6" s="15">
        <v>43601</v>
      </c>
    </row>
    <row r="7" spans="1:17" ht="16" x14ac:dyDescent="0.2">
      <c r="A7" s="3" t="s">
        <v>180</v>
      </c>
      <c r="B7" s="3" t="s">
        <v>442</v>
      </c>
      <c r="C7" s="3" t="s">
        <v>634</v>
      </c>
      <c r="D7" s="3" t="s">
        <v>635</v>
      </c>
      <c r="E7" s="3" t="s">
        <v>646</v>
      </c>
      <c r="F7" s="3" t="s">
        <v>637</v>
      </c>
      <c r="G7" s="3" t="s">
        <v>638</v>
      </c>
      <c r="H7" s="3" t="s">
        <v>639</v>
      </c>
      <c r="I7" s="3" t="s">
        <v>640</v>
      </c>
      <c r="J7" s="3" t="s">
        <v>641</v>
      </c>
      <c r="K7" s="3" t="s">
        <v>642</v>
      </c>
      <c r="L7" s="3" t="s">
        <v>448</v>
      </c>
      <c r="M7" s="3" t="s">
        <v>643</v>
      </c>
      <c r="N7" s="3" t="s">
        <v>445</v>
      </c>
      <c r="O7" s="3">
        <v>-6.7559199999999997</v>
      </c>
      <c r="P7" s="3">
        <v>37.7547</v>
      </c>
      <c r="Q7" s="15">
        <v>43601</v>
      </c>
    </row>
    <row r="8" spans="1:17" ht="16" x14ac:dyDescent="0.2">
      <c r="A8" s="3" t="s">
        <v>182</v>
      </c>
      <c r="B8" s="3" t="s">
        <v>442</v>
      </c>
      <c r="C8" s="3" t="s">
        <v>634</v>
      </c>
      <c r="D8" s="3" t="s">
        <v>635</v>
      </c>
      <c r="E8" s="3" t="s">
        <v>647</v>
      </c>
      <c r="F8" s="3" t="s">
        <v>637</v>
      </c>
      <c r="G8" s="3" t="s">
        <v>638</v>
      </c>
      <c r="H8" s="3" t="s">
        <v>639</v>
      </c>
      <c r="I8" s="3" t="s">
        <v>640</v>
      </c>
      <c r="J8" s="3" t="s">
        <v>641</v>
      </c>
      <c r="K8" s="3" t="s">
        <v>642</v>
      </c>
      <c r="L8" s="3" t="s">
        <v>448</v>
      </c>
      <c r="M8" s="3" t="s">
        <v>643</v>
      </c>
      <c r="N8" s="3" t="s">
        <v>445</v>
      </c>
      <c r="O8" s="3">
        <v>-6.7559199999999997</v>
      </c>
      <c r="P8" s="3">
        <v>37.7547</v>
      </c>
      <c r="Q8" s="15">
        <v>43601</v>
      </c>
    </row>
    <row r="9" spans="1:17" ht="16" x14ac:dyDescent="0.2">
      <c r="A9" s="3" t="s">
        <v>184</v>
      </c>
      <c r="B9" s="3" t="s">
        <v>442</v>
      </c>
      <c r="C9" s="3" t="s">
        <v>648</v>
      </c>
      <c r="D9" s="3" t="s">
        <v>635</v>
      </c>
      <c r="E9" s="3" t="s">
        <v>8</v>
      </c>
      <c r="F9" s="3" t="s">
        <v>637</v>
      </c>
      <c r="G9" s="3" t="s">
        <v>638</v>
      </c>
      <c r="H9" s="3" t="s">
        <v>639</v>
      </c>
      <c r="I9" s="3" t="s">
        <v>640</v>
      </c>
      <c r="J9" s="3" t="s">
        <v>641</v>
      </c>
      <c r="K9" s="3" t="s">
        <v>642</v>
      </c>
      <c r="L9" s="3" t="s">
        <v>448</v>
      </c>
      <c r="M9" s="3" t="s">
        <v>643</v>
      </c>
      <c r="N9" s="3" t="s">
        <v>445</v>
      </c>
      <c r="O9" s="3">
        <v>-6.7559199999999997</v>
      </c>
      <c r="P9" s="3">
        <v>37.7547</v>
      </c>
      <c r="Q9" s="15">
        <v>43601</v>
      </c>
    </row>
    <row r="10" spans="1:17" ht="16" x14ac:dyDescent="0.2">
      <c r="A10" s="3" t="s">
        <v>186</v>
      </c>
      <c r="B10" s="3" t="s">
        <v>452</v>
      </c>
      <c r="C10" s="3" t="s">
        <v>634</v>
      </c>
      <c r="D10" s="3" t="s">
        <v>635</v>
      </c>
      <c r="E10" s="3" t="s">
        <v>649</v>
      </c>
      <c r="F10" s="3" t="s">
        <v>637</v>
      </c>
      <c r="G10" s="3" t="s">
        <v>638</v>
      </c>
      <c r="H10" s="3" t="s">
        <v>639</v>
      </c>
      <c r="I10" s="3" t="s">
        <v>640</v>
      </c>
      <c r="J10" s="3" t="s">
        <v>641</v>
      </c>
      <c r="K10" s="3" t="s">
        <v>650</v>
      </c>
      <c r="L10" s="3" t="s">
        <v>448</v>
      </c>
      <c r="M10" s="3" t="s">
        <v>643</v>
      </c>
      <c r="N10" s="3" t="s">
        <v>445</v>
      </c>
      <c r="O10" s="3">
        <v>-6.7559199999999997</v>
      </c>
      <c r="P10" s="3">
        <v>37.7547</v>
      </c>
      <c r="Q10" s="15">
        <v>43601</v>
      </c>
    </row>
    <row r="11" spans="1:17" ht="16" x14ac:dyDescent="0.2">
      <c r="A11" s="3" t="s">
        <v>188</v>
      </c>
      <c r="B11" s="3" t="s">
        <v>452</v>
      </c>
      <c r="C11" s="3" t="s">
        <v>634</v>
      </c>
      <c r="D11" s="3" t="s">
        <v>635</v>
      </c>
      <c r="E11" s="3" t="s">
        <v>651</v>
      </c>
      <c r="F11" s="3" t="s">
        <v>637</v>
      </c>
      <c r="G11" s="3" t="s">
        <v>638</v>
      </c>
      <c r="H11" s="3" t="s">
        <v>639</v>
      </c>
      <c r="I11" s="3" t="s">
        <v>640</v>
      </c>
      <c r="J11" s="3" t="s">
        <v>641</v>
      </c>
      <c r="K11" s="3" t="s">
        <v>650</v>
      </c>
      <c r="L11" s="3" t="s">
        <v>448</v>
      </c>
      <c r="M11" s="3" t="s">
        <v>643</v>
      </c>
      <c r="N11" s="3" t="s">
        <v>445</v>
      </c>
      <c r="O11" s="3">
        <v>-6.7559199999999997</v>
      </c>
      <c r="P11" s="3">
        <v>37.7547</v>
      </c>
      <c r="Q11" s="15">
        <v>43601</v>
      </c>
    </row>
    <row r="12" spans="1:17" ht="16" x14ac:dyDescent="0.2">
      <c r="A12" s="3" t="s">
        <v>190</v>
      </c>
      <c r="B12" s="3" t="s">
        <v>452</v>
      </c>
      <c r="C12" s="3" t="s">
        <v>634</v>
      </c>
      <c r="D12" s="3" t="s">
        <v>635</v>
      </c>
      <c r="E12" s="3" t="s">
        <v>652</v>
      </c>
      <c r="F12" s="3" t="s">
        <v>637</v>
      </c>
      <c r="G12" s="3" t="s">
        <v>638</v>
      </c>
      <c r="H12" s="3" t="s">
        <v>639</v>
      </c>
      <c r="I12" s="3" t="s">
        <v>640</v>
      </c>
      <c r="J12" s="3" t="s">
        <v>641</v>
      </c>
      <c r="K12" s="3" t="s">
        <v>650</v>
      </c>
      <c r="L12" s="3" t="s">
        <v>448</v>
      </c>
      <c r="M12" s="3" t="s">
        <v>643</v>
      </c>
      <c r="N12" s="3" t="s">
        <v>445</v>
      </c>
      <c r="O12" s="3">
        <v>-6.7559199999999997</v>
      </c>
      <c r="P12" s="3">
        <v>37.7547</v>
      </c>
      <c r="Q12" s="15">
        <v>43601</v>
      </c>
    </row>
    <row r="13" spans="1:17" ht="16" x14ac:dyDescent="0.2">
      <c r="A13" s="3" t="s">
        <v>122</v>
      </c>
      <c r="B13" s="3" t="s">
        <v>452</v>
      </c>
      <c r="C13" s="3" t="s">
        <v>634</v>
      </c>
      <c r="D13" s="3" t="s">
        <v>635</v>
      </c>
      <c r="E13" s="3" t="s">
        <v>653</v>
      </c>
      <c r="F13" s="3" t="s">
        <v>637</v>
      </c>
      <c r="G13" s="3" t="s">
        <v>654</v>
      </c>
      <c r="H13" s="3" t="s">
        <v>655</v>
      </c>
      <c r="I13" s="3" t="s">
        <v>640</v>
      </c>
      <c r="J13" s="3" t="s">
        <v>641</v>
      </c>
      <c r="K13" s="3" t="s">
        <v>650</v>
      </c>
      <c r="L13" s="3" t="s">
        <v>448</v>
      </c>
      <c r="M13" s="3" t="s">
        <v>643</v>
      </c>
      <c r="N13" s="3" t="s">
        <v>445</v>
      </c>
      <c r="O13" s="3">
        <v>-6.7559199999999997</v>
      </c>
      <c r="P13" s="3">
        <v>37.7547</v>
      </c>
      <c r="Q13" s="15">
        <v>43601</v>
      </c>
    </row>
    <row r="14" spans="1:17" ht="16" x14ac:dyDescent="0.2">
      <c r="A14" s="3" t="s">
        <v>192</v>
      </c>
      <c r="B14" s="3" t="s">
        <v>452</v>
      </c>
      <c r="C14" s="3" t="s">
        <v>634</v>
      </c>
      <c r="D14" s="3" t="s">
        <v>635</v>
      </c>
      <c r="E14" s="3" t="s">
        <v>656</v>
      </c>
      <c r="F14" s="3" t="s">
        <v>637</v>
      </c>
      <c r="G14" s="3" t="s">
        <v>638</v>
      </c>
      <c r="H14" s="3" t="s">
        <v>639</v>
      </c>
      <c r="I14" s="3" t="s">
        <v>640</v>
      </c>
      <c r="J14" s="3" t="s">
        <v>641</v>
      </c>
      <c r="K14" s="3" t="s">
        <v>650</v>
      </c>
      <c r="L14" s="3" t="s">
        <v>448</v>
      </c>
      <c r="M14" s="3" t="s">
        <v>643</v>
      </c>
      <c r="N14" s="3" t="s">
        <v>445</v>
      </c>
      <c r="O14" s="3">
        <v>-6.7559199999999997</v>
      </c>
      <c r="P14" s="3">
        <v>37.7547</v>
      </c>
      <c r="Q14" s="15">
        <v>43601</v>
      </c>
    </row>
    <row r="15" spans="1:17" ht="16" x14ac:dyDescent="0.2">
      <c r="A15" s="3" t="s">
        <v>194</v>
      </c>
      <c r="B15" s="3" t="s">
        <v>452</v>
      </c>
      <c r="C15" s="3" t="s">
        <v>634</v>
      </c>
      <c r="D15" s="3" t="s">
        <v>635</v>
      </c>
      <c r="E15" s="3" t="s">
        <v>657</v>
      </c>
      <c r="F15" s="3" t="s">
        <v>637</v>
      </c>
      <c r="G15" s="3" t="s">
        <v>638</v>
      </c>
      <c r="H15" s="3" t="s">
        <v>639</v>
      </c>
      <c r="I15" s="3" t="s">
        <v>640</v>
      </c>
      <c r="J15" s="3" t="s">
        <v>641</v>
      </c>
      <c r="K15" s="3" t="s">
        <v>650</v>
      </c>
      <c r="L15" s="3" t="s">
        <v>448</v>
      </c>
      <c r="M15" s="3" t="s">
        <v>643</v>
      </c>
      <c r="N15" s="3" t="s">
        <v>445</v>
      </c>
      <c r="O15" s="3">
        <v>-6.7559199999999997</v>
      </c>
      <c r="P15" s="3">
        <v>37.7547</v>
      </c>
      <c r="Q15" s="15">
        <v>43601</v>
      </c>
    </row>
    <row r="16" spans="1:17" ht="16" x14ac:dyDescent="0.2">
      <c r="A16" s="3" t="s">
        <v>196</v>
      </c>
      <c r="B16" s="3" t="s">
        <v>452</v>
      </c>
      <c r="C16" s="3" t="s">
        <v>634</v>
      </c>
      <c r="D16" s="3" t="s">
        <v>635</v>
      </c>
      <c r="E16" s="3" t="s">
        <v>658</v>
      </c>
      <c r="F16" s="3" t="s">
        <v>637</v>
      </c>
      <c r="G16" s="3" t="s">
        <v>638</v>
      </c>
      <c r="H16" s="3" t="s">
        <v>639</v>
      </c>
      <c r="I16" s="3" t="s">
        <v>640</v>
      </c>
      <c r="J16" s="3" t="s">
        <v>641</v>
      </c>
      <c r="K16" s="3" t="s">
        <v>650</v>
      </c>
      <c r="L16" s="3" t="s">
        <v>448</v>
      </c>
      <c r="M16" s="3" t="s">
        <v>643</v>
      </c>
      <c r="N16" s="3" t="s">
        <v>445</v>
      </c>
      <c r="O16" s="3">
        <v>-6.7559199999999997</v>
      </c>
      <c r="P16" s="3">
        <v>37.7547</v>
      </c>
      <c r="Q16" s="15">
        <v>43601</v>
      </c>
    </row>
    <row r="17" spans="1:17" ht="16" x14ac:dyDescent="0.2">
      <c r="A17" s="3" t="s">
        <v>198</v>
      </c>
      <c r="B17" s="3" t="s">
        <v>454</v>
      </c>
      <c r="C17" s="3" t="s">
        <v>634</v>
      </c>
      <c r="D17" s="3" t="s">
        <v>635</v>
      </c>
      <c r="E17" s="3" t="s">
        <v>659</v>
      </c>
      <c r="F17" s="3" t="s">
        <v>637</v>
      </c>
      <c r="G17" s="3" t="s">
        <v>638</v>
      </c>
      <c r="H17" s="3" t="s">
        <v>639</v>
      </c>
      <c r="I17" s="3" t="s">
        <v>640</v>
      </c>
      <c r="J17" s="3" t="s">
        <v>641</v>
      </c>
      <c r="K17" s="3" t="s">
        <v>660</v>
      </c>
      <c r="L17" s="3" t="s">
        <v>448</v>
      </c>
      <c r="M17" s="3" t="s">
        <v>643</v>
      </c>
      <c r="N17" s="3" t="s">
        <v>445</v>
      </c>
      <c r="O17" s="3">
        <v>-6.7559199999999997</v>
      </c>
      <c r="P17" s="3">
        <v>37.7547</v>
      </c>
      <c r="Q17" s="15">
        <v>43601</v>
      </c>
    </row>
    <row r="18" spans="1:17" ht="16" x14ac:dyDescent="0.2">
      <c r="A18" s="3" t="s">
        <v>200</v>
      </c>
      <c r="B18" s="3" t="s">
        <v>454</v>
      </c>
      <c r="C18" s="3" t="s">
        <v>634</v>
      </c>
      <c r="D18" s="3" t="s">
        <v>635</v>
      </c>
      <c r="E18" s="3" t="s">
        <v>661</v>
      </c>
      <c r="F18" s="3" t="s">
        <v>637</v>
      </c>
      <c r="G18" s="3" t="s">
        <v>638</v>
      </c>
      <c r="H18" s="3" t="s">
        <v>639</v>
      </c>
      <c r="I18" s="3" t="s">
        <v>640</v>
      </c>
      <c r="J18" s="3" t="s">
        <v>641</v>
      </c>
      <c r="K18" s="3" t="s">
        <v>660</v>
      </c>
      <c r="L18" s="3" t="s">
        <v>448</v>
      </c>
      <c r="M18" s="3" t="s">
        <v>643</v>
      </c>
      <c r="N18" s="3" t="s">
        <v>445</v>
      </c>
      <c r="O18" s="3">
        <v>-6.7559199999999997</v>
      </c>
      <c r="P18" s="3">
        <v>37.7547</v>
      </c>
      <c r="Q18" s="15">
        <v>43601</v>
      </c>
    </row>
    <row r="19" spans="1:17" ht="16" x14ac:dyDescent="0.2">
      <c r="A19" s="3" t="s">
        <v>202</v>
      </c>
      <c r="B19" s="3" t="s">
        <v>454</v>
      </c>
      <c r="C19" s="3" t="s">
        <v>634</v>
      </c>
      <c r="D19" s="3" t="s">
        <v>635</v>
      </c>
      <c r="E19" s="3" t="s">
        <v>662</v>
      </c>
      <c r="F19" s="3" t="s">
        <v>637</v>
      </c>
      <c r="G19" s="3" t="s">
        <v>638</v>
      </c>
      <c r="H19" s="3" t="s">
        <v>639</v>
      </c>
      <c r="I19" s="3" t="s">
        <v>640</v>
      </c>
      <c r="J19" s="3" t="s">
        <v>641</v>
      </c>
      <c r="K19" s="3" t="s">
        <v>660</v>
      </c>
      <c r="L19" s="3" t="s">
        <v>448</v>
      </c>
      <c r="M19" s="3" t="s">
        <v>643</v>
      </c>
      <c r="N19" s="3" t="s">
        <v>445</v>
      </c>
      <c r="O19" s="3">
        <v>-6.7559199999999997</v>
      </c>
      <c r="P19" s="3">
        <v>37.7547</v>
      </c>
      <c r="Q19" s="15">
        <v>43601</v>
      </c>
    </row>
    <row r="20" spans="1:17" ht="16" x14ac:dyDescent="0.2">
      <c r="A20" s="3" t="s">
        <v>124</v>
      </c>
      <c r="B20" s="3" t="s">
        <v>454</v>
      </c>
      <c r="C20" s="3" t="s">
        <v>634</v>
      </c>
      <c r="D20" s="3" t="s">
        <v>635</v>
      </c>
      <c r="E20" s="3" t="s">
        <v>663</v>
      </c>
      <c r="F20" s="3" t="s">
        <v>637</v>
      </c>
      <c r="G20" s="3" t="s">
        <v>654</v>
      </c>
      <c r="H20" s="3" t="s">
        <v>655</v>
      </c>
      <c r="I20" s="3" t="s">
        <v>640</v>
      </c>
      <c r="J20" s="3" t="s">
        <v>641</v>
      </c>
      <c r="K20" s="3" t="s">
        <v>660</v>
      </c>
      <c r="L20" s="3" t="s">
        <v>448</v>
      </c>
      <c r="M20" s="3" t="s">
        <v>643</v>
      </c>
      <c r="N20" s="3" t="s">
        <v>445</v>
      </c>
      <c r="O20" s="3">
        <v>-6.7559199999999997</v>
      </c>
      <c r="P20" s="3">
        <v>37.7547</v>
      </c>
      <c r="Q20" s="15">
        <v>43601</v>
      </c>
    </row>
    <row r="21" spans="1:17" ht="16" x14ac:dyDescent="0.2">
      <c r="A21" s="3" t="s">
        <v>204</v>
      </c>
      <c r="B21" s="3" t="s">
        <v>454</v>
      </c>
      <c r="C21" s="3" t="s">
        <v>634</v>
      </c>
      <c r="D21" s="3" t="s">
        <v>635</v>
      </c>
      <c r="E21" s="3" t="s">
        <v>664</v>
      </c>
      <c r="F21" s="3" t="s">
        <v>637</v>
      </c>
      <c r="G21" s="3" t="s">
        <v>638</v>
      </c>
      <c r="H21" s="3" t="s">
        <v>639</v>
      </c>
      <c r="I21" s="3" t="s">
        <v>640</v>
      </c>
      <c r="J21" s="3" t="s">
        <v>641</v>
      </c>
      <c r="K21" s="3" t="s">
        <v>660</v>
      </c>
      <c r="L21" s="3" t="s">
        <v>448</v>
      </c>
      <c r="M21" s="3" t="s">
        <v>643</v>
      </c>
      <c r="N21" s="3" t="s">
        <v>445</v>
      </c>
      <c r="O21" s="3">
        <v>-6.7559199999999997</v>
      </c>
      <c r="P21" s="3">
        <v>37.7547</v>
      </c>
      <c r="Q21" s="15">
        <v>43601</v>
      </c>
    </row>
    <row r="22" spans="1:17" ht="16" x14ac:dyDescent="0.2">
      <c r="A22" s="3" t="s">
        <v>206</v>
      </c>
      <c r="B22" s="3" t="s">
        <v>460</v>
      </c>
      <c r="C22" s="3" t="s">
        <v>634</v>
      </c>
      <c r="D22" s="3" t="s">
        <v>635</v>
      </c>
      <c r="E22" s="3" t="s">
        <v>665</v>
      </c>
      <c r="F22" s="3" t="s">
        <v>637</v>
      </c>
      <c r="G22" s="3" t="s">
        <v>638</v>
      </c>
      <c r="H22" s="3" t="s">
        <v>639</v>
      </c>
      <c r="I22" s="3" t="s">
        <v>640</v>
      </c>
      <c r="J22" s="3" t="s">
        <v>641</v>
      </c>
      <c r="K22" s="3" t="s">
        <v>666</v>
      </c>
      <c r="L22" s="3" t="s">
        <v>448</v>
      </c>
      <c r="M22" s="3" t="s">
        <v>643</v>
      </c>
      <c r="N22" s="3" t="s">
        <v>445</v>
      </c>
      <c r="O22" s="3">
        <v>-6.8026099999999996</v>
      </c>
      <c r="P22" s="3">
        <v>37.721589999999999</v>
      </c>
      <c r="Q22" s="15">
        <v>43601</v>
      </c>
    </row>
    <row r="23" spans="1:17" ht="16" x14ac:dyDescent="0.2">
      <c r="A23" s="3" t="s">
        <v>208</v>
      </c>
      <c r="B23" s="3" t="s">
        <v>460</v>
      </c>
      <c r="C23" s="3" t="s">
        <v>634</v>
      </c>
      <c r="D23" s="3" t="s">
        <v>635</v>
      </c>
      <c r="E23" s="3" t="s">
        <v>667</v>
      </c>
      <c r="F23" s="3" t="s">
        <v>637</v>
      </c>
      <c r="G23" s="3" t="s">
        <v>638</v>
      </c>
      <c r="H23" s="3" t="s">
        <v>639</v>
      </c>
      <c r="I23" s="3" t="s">
        <v>640</v>
      </c>
      <c r="J23" s="3" t="s">
        <v>641</v>
      </c>
      <c r="K23" s="3" t="s">
        <v>666</v>
      </c>
      <c r="L23" s="3" t="s">
        <v>448</v>
      </c>
      <c r="M23" s="3" t="s">
        <v>643</v>
      </c>
      <c r="N23" s="3" t="s">
        <v>445</v>
      </c>
      <c r="O23" s="3">
        <v>-6.8026099999999996</v>
      </c>
      <c r="P23" s="3">
        <v>37.721589999999999</v>
      </c>
      <c r="Q23" s="15">
        <v>43601</v>
      </c>
    </row>
    <row r="24" spans="1:17" ht="16" x14ac:dyDescent="0.2">
      <c r="A24" s="3" t="s">
        <v>210</v>
      </c>
      <c r="B24" s="3" t="s">
        <v>460</v>
      </c>
      <c r="C24" s="3" t="s">
        <v>634</v>
      </c>
      <c r="D24" s="3" t="s">
        <v>635</v>
      </c>
      <c r="E24" s="3" t="s">
        <v>668</v>
      </c>
      <c r="F24" s="3" t="s">
        <v>637</v>
      </c>
      <c r="G24" s="3" t="s">
        <v>638</v>
      </c>
      <c r="H24" s="3" t="s">
        <v>639</v>
      </c>
      <c r="I24" s="3" t="s">
        <v>640</v>
      </c>
      <c r="J24" s="3" t="s">
        <v>641</v>
      </c>
      <c r="K24" s="3" t="s">
        <v>666</v>
      </c>
      <c r="L24" s="3" t="s">
        <v>448</v>
      </c>
      <c r="M24" s="3" t="s">
        <v>643</v>
      </c>
      <c r="N24" s="3" t="s">
        <v>445</v>
      </c>
      <c r="O24" s="3">
        <v>-6.8026099999999996</v>
      </c>
      <c r="P24" s="3">
        <v>37.721589999999999</v>
      </c>
      <c r="Q24" s="15">
        <v>43601</v>
      </c>
    </row>
    <row r="25" spans="1:17" ht="16" x14ac:dyDescent="0.2">
      <c r="A25" s="3" t="s">
        <v>212</v>
      </c>
      <c r="B25" s="3" t="s">
        <v>456</v>
      </c>
      <c r="C25" s="3" t="s">
        <v>634</v>
      </c>
      <c r="D25" s="3" t="s">
        <v>635</v>
      </c>
      <c r="E25" s="3" t="s">
        <v>669</v>
      </c>
      <c r="F25" s="3" t="s">
        <v>637</v>
      </c>
      <c r="G25" s="3" t="s">
        <v>638</v>
      </c>
      <c r="H25" s="3" t="s">
        <v>639</v>
      </c>
      <c r="I25" s="3" t="s">
        <v>640</v>
      </c>
      <c r="J25" s="3" t="s">
        <v>641</v>
      </c>
      <c r="K25" s="3" t="s">
        <v>670</v>
      </c>
      <c r="L25" s="3" t="s">
        <v>448</v>
      </c>
      <c r="M25" s="3" t="s">
        <v>643</v>
      </c>
      <c r="N25" s="3" t="s">
        <v>445</v>
      </c>
      <c r="O25" s="3">
        <v>-6.8026099999999996</v>
      </c>
      <c r="P25" s="3">
        <v>37.721589999999999</v>
      </c>
      <c r="Q25" s="15">
        <v>43601</v>
      </c>
    </row>
    <row r="26" spans="1:17" ht="16" x14ac:dyDescent="0.2">
      <c r="A26" s="3" t="s">
        <v>214</v>
      </c>
      <c r="B26" s="3" t="s">
        <v>456</v>
      </c>
      <c r="C26" s="3" t="s">
        <v>634</v>
      </c>
      <c r="D26" s="3" t="s">
        <v>635</v>
      </c>
      <c r="E26" s="3" t="s">
        <v>671</v>
      </c>
      <c r="F26" s="3" t="s">
        <v>637</v>
      </c>
      <c r="G26" s="3" t="s">
        <v>638</v>
      </c>
      <c r="H26" s="3" t="s">
        <v>639</v>
      </c>
      <c r="I26" s="3" t="s">
        <v>640</v>
      </c>
      <c r="J26" s="3" t="s">
        <v>641</v>
      </c>
      <c r="K26" s="3" t="s">
        <v>670</v>
      </c>
      <c r="L26" s="3" t="s">
        <v>448</v>
      </c>
      <c r="M26" s="3" t="s">
        <v>643</v>
      </c>
      <c r="N26" s="3" t="s">
        <v>445</v>
      </c>
      <c r="O26" s="3">
        <v>-6.8026099999999996</v>
      </c>
      <c r="P26" s="3">
        <v>37.721589999999999</v>
      </c>
      <c r="Q26" s="15">
        <v>43601</v>
      </c>
    </row>
    <row r="27" spans="1:17" ht="16" x14ac:dyDescent="0.2">
      <c r="A27" s="3" t="s">
        <v>216</v>
      </c>
      <c r="B27" s="3" t="s">
        <v>456</v>
      </c>
      <c r="C27" s="3" t="s">
        <v>634</v>
      </c>
      <c r="D27" s="3" t="s">
        <v>635</v>
      </c>
      <c r="E27" s="3" t="s">
        <v>672</v>
      </c>
      <c r="F27" s="3" t="s">
        <v>637</v>
      </c>
      <c r="G27" s="3" t="s">
        <v>638</v>
      </c>
      <c r="H27" s="3" t="s">
        <v>639</v>
      </c>
      <c r="I27" s="3" t="s">
        <v>640</v>
      </c>
      <c r="J27" s="3" t="s">
        <v>641</v>
      </c>
      <c r="K27" s="3" t="s">
        <v>670</v>
      </c>
      <c r="L27" s="3" t="s">
        <v>448</v>
      </c>
      <c r="M27" s="3" t="s">
        <v>643</v>
      </c>
      <c r="N27" s="3" t="s">
        <v>445</v>
      </c>
      <c r="O27" s="3">
        <v>-6.8026099999999996</v>
      </c>
      <c r="P27" s="3">
        <v>37.721589999999999</v>
      </c>
      <c r="Q27" s="15">
        <v>43601</v>
      </c>
    </row>
    <row r="28" spans="1:17" ht="16" x14ac:dyDescent="0.2">
      <c r="A28" s="3" t="s">
        <v>218</v>
      </c>
      <c r="B28" s="3" t="s">
        <v>456</v>
      </c>
      <c r="C28" s="3" t="s">
        <v>634</v>
      </c>
      <c r="D28" s="3" t="s">
        <v>635</v>
      </c>
      <c r="E28" s="3" t="s">
        <v>673</v>
      </c>
      <c r="F28" s="3" t="s">
        <v>637</v>
      </c>
      <c r="G28" s="3" t="s">
        <v>638</v>
      </c>
      <c r="H28" s="3" t="s">
        <v>639</v>
      </c>
      <c r="I28" s="3" t="s">
        <v>640</v>
      </c>
      <c r="J28" s="3" t="s">
        <v>641</v>
      </c>
      <c r="K28" s="3" t="s">
        <v>670</v>
      </c>
      <c r="L28" s="3" t="s">
        <v>448</v>
      </c>
      <c r="M28" s="3" t="s">
        <v>643</v>
      </c>
      <c r="N28" s="3" t="s">
        <v>445</v>
      </c>
      <c r="O28" s="3">
        <v>-6.8026099999999996</v>
      </c>
      <c r="P28" s="3">
        <v>37.721589999999999</v>
      </c>
      <c r="Q28" s="15">
        <v>43601</v>
      </c>
    </row>
    <row r="29" spans="1:17" ht="16" x14ac:dyDescent="0.2">
      <c r="A29" s="3" t="s">
        <v>126</v>
      </c>
      <c r="B29" s="3" t="s">
        <v>464</v>
      </c>
      <c r="C29" s="3" t="s">
        <v>634</v>
      </c>
      <c r="D29" s="3" t="s">
        <v>635</v>
      </c>
      <c r="E29" s="3" t="s">
        <v>674</v>
      </c>
      <c r="F29" s="3" t="s">
        <v>637</v>
      </c>
      <c r="G29" s="3" t="s">
        <v>654</v>
      </c>
      <c r="H29" s="3" t="s">
        <v>655</v>
      </c>
      <c r="I29" s="3" t="s">
        <v>640</v>
      </c>
      <c r="J29" s="3" t="s">
        <v>675</v>
      </c>
      <c r="K29" s="3" t="s">
        <v>676</v>
      </c>
      <c r="L29" s="3" t="s">
        <v>448</v>
      </c>
      <c r="M29" s="3" t="s">
        <v>643</v>
      </c>
      <c r="N29" s="3" t="s">
        <v>445</v>
      </c>
      <c r="O29" s="3">
        <v>-6.4319899999999999</v>
      </c>
      <c r="P29" s="3">
        <v>37.533360000000002</v>
      </c>
      <c r="Q29" s="15">
        <v>43602</v>
      </c>
    </row>
    <row r="30" spans="1:17" ht="16" x14ac:dyDescent="0.2">
      <c r="A30" s="3" t="s">
        <v>128</v>
      </c>
      <c r="B30" s="3" t="s">
        <v>464</v>
      </c>
      <c r="C30" s="3" t="s">
        <v>634</v>
      </c>
      <c r="D30" s="3" t="s">
        <v>635</v>
      </c>
      <c r="E30" s="3" t="s">
        <v>677</v>
      </c>
      <c r="F30" s="3" t="s">
        <v>637</v>
      </c>
      <c r="G30" s="3" t="s">
        <v>654</v>
      </c>
      <c r="H30" s="3" t="s">
        <v>655</v>
      </c>
      <c r="I30" s="3" t="s">
        <v>640</v>
      </c>
      <c r="J30" s="3" t="s">
        <v>675</v>
      </c>
      <c r="K30" s="3" t="s">
        <v>676</v>
      </c>
      <c r="L30" s="3" t="s">
        <v>448</v>
      </c>
      <c r="M30" s="3" t="s">
        <v>643</v>
      </c>
      <c r="N30" s="3" t="s">
        <v>445</v>
      </c>
      <c r="O30" s="3">
        <v>-6.4319899999999999</v>
      </c>
      <c r="P30" s="3">
        <v>37.533360000000002</v>
      </c>
      <c r="Q30" s="15">
        <v>43602</v>
      </c>
    </row>
    <row r="31" spans="1:17" ht="16" x14ac:dyDescent="0.2">
      <c r="A31" s="3" t="s">
        <v>130</v>
      </c>
      <c r="B31" s="3" t="s">
        <v>464</v>
      </c>
      <c r="C31" s="3" t="s">
        <v>634</v>
      </c>
      <c r="D31" s="3" t="s">
        <v>635</v>
      </c>
      <c r="E31" s="3" t="s">
        <v>678</v>
      </c>
      <c r="F31" s="3" t="s">
        <v>637</v>
      </c>
      <c r="G31" s="3" t="s">
        <v>654</v>
      </c>
      <c r="H31" s="3" t="s">
        <v>655</v>
      </c>
      <c r="I31" s="3" t="s">
        <v>640</v>
      </c>
      <c r="J31" s="3" t="s">
        <v>675</v>
      </c>
      <c r="K31" s="3" t="s">
        <v>676</v>
      </c>
      <c r="L31" s="3" t="s">
        <v>448</v>
      </c>
      <c r="M31" s="3" t="s">
        <v>643</v>
      </c>
      <c r="N31" s="3" t="s">
        <v>445</v>
      </c>
      <c r="O31" s="3">
        <v>-6.4319899999999999</v>
      </c>
      <c r="P31" s="3">
        <v>37.533360000000002</v>
      </c>
      <c r="Q31" s="15">
        <v>43602</v>
      </c>
    </row>
    <row r="32" spans="1:17" ht="16" x14ac:dyDescent="0.2">
      <c r="A32" s="3" t="s">
        <v>132</v>
      </c>
      <c r="B32" s="3" t="s">
        <v>464</v>
      </c>
      <c r="C32" s="3" t="s">
        <v>634</v>
      </c>
      <c r="D32" s="3" t="s">
        <v>635</v>
      </c>
      <c r="E32" s="3" t="s">
        <v>679</v>
      </c>
      <c r="F32" s="3" t="s">
        <v>637</v>
      </c>
      <c r="G32" s="3" t="s">
        <v>654</v>
      </c>
      <c r="H32" s="3" t="s">
        <v>655</v>
      </c>
      <c r="I32" s="3" t="s">
        <v>640</v>
      </c>
      <c r="J32" s="3" t="s">
        <v>675</v>
      </c>
      <c r="K32" s="3" t="s">
        <v>676</v>
      </c>
      <c r="L32" s="3" t="s">
        <v>448</v>
      </c>
      <c r="M32" s="3" t="s">
        <v>643</v>
      </c>
      <c r="N32" s="3" t="s">
        <v>445</v>
      </c>
      <c r="O32" s="3">
        <v>-6.4319899999999999</v>
      </c>
      <c r="P32" s="3">
        <v>37.533360000000002</v>
      </c>
      <c r="Q32" s="15">
        <v>43602</v>
      </c>
    </row>
    <row r="33" spans="1:17" ht="16" x14ac:dyDescent="0.2">
      <c r="A33" s="3" t="s">
        <v>89</v>
      </c>
      <c r="B33" s="3" t="s">
        <v>468</v>
      </c>
      <c r="C33" s="3" t="s">
        <v>634</v>
      </c>
      <c r="D33" s="3" t="s">
        <v>635</v>
      </c>
      <c r="E33" s="3" t="s">
        <v>8</v>
      </c>
      <c r="F33" s="3" t="s">
        <v>637</v>
      </c>
      <c r="G33" s="3" t="s">
        <v>680</v>
      </c>
      <c r="H33" s="3" t="s">
        <v>681</v>
      </c>
      <c r="I33" s="3" t="s">
        <v>640</v>
      </c>
      <c r="J33" s="3" t="s">
        <v>675</v>
      </c>
      <c r="K33" s="3" t="s">
        <v>682</v>
      </c>
      <c r="L33" s="3" t="s">
        <v>448</v>
      </c>
      <c r="M33" s="3" t="s">
        <v>643</v>
      </c>
      <c r="N33" s="3" t="s">
        <v>445</v>
      </c>
      <c r="O33" s="3">
        <v>-6.4256500000000001</v>
      </c>
      <c r="P33" s="3">
        <v>37.533099999999997</v>
      </c>
      <c r="Q33" s="15">
        <v>43602</v>
      </c>
    </row>
    <row r="34" spans="1:17" ht="16" x14ac:dyDescent="0.2">
      <c r="A34" s="3" t="s">
        <v>92</v>
      </c>
      <c r="B34" s="3" t="s">
        <v>468</v>
      </c>
      <c r="C34" s="3" t="s">
        <v>634</v>
      </c>
      <c r="D34" s="3" t="s">
        <v>635</v>
      </c>
      <c r="E34" s="3" t="s">
        <v>683</v>
      </c>
      <c r="F34" s="3" t="s">
        <v>637</v>
      </c>
      <c r="G34" s="3" t="s">
        <v>680</v>
      </c>
      <c r="H34" s="3" t="s">
        <v>681</v>
      </c>
      <c r="I34" s="3" t="s">
        <v>640</v>
      </c>
      <c r="J34" s="3" t="s">
        <v>675</v>
      </c>
      <c r="K34" s="3" t="s">
        <v>682</v>
      </c>
      <c r="L34" s="3" t="s">
        <v>448</v>
      </c>
      <c r="M34" s="3" t="s">
        <v>643</v>
      </c>
      <c r="N34" s="3" t="s">
        <v>445</v>
      </c>
      <c r="O34" s="3">
        <v>-6.4256500000000001</v>
      </c>
      <c r="P34" s="3">
        <v>37.533099999999997</v>
      </c>
      <c r="Q34" s="15">
        <v>43602</v>
      </c>
    </row>
    <row r="35" spans="1:17" ht="16" x14ac:dyDescent="0.2">
      <c r="A35" s="3" t="s">
        <v>220</v>
      </c>
      <c r="B35" s="3" t="s">
        <v>468</v>
      </c>
      <c r="C35" s="3" t="s">
        <v>634</v>
      </c>
      <c r="D35" s="3" t="s">
        <v>635</v>
      </c>
      <c r="E35" s="3" t="s">
        <v>684</v>
      </c>
      <c r="F35" s="3" t="s">
        <v>637</v>
      </c>
      <c r="G35" s="3" t="s">
        <v>638</v>
      </c>
      <c r="H35" s="3" t="s">
        <v>639</v>
      </c>
      <c r="I35" s="3" t="s">
        <v>640</v>
      </c>
      <c r="J35" s="3" t="s">
        <v>675</v>
      </c>
      <c r="K35" s="3" t="s">
        <v>682</v>
      </c>
      <c r="L35" s="3" t="s">
        <v>448</v>
      </c>
      <c r="M35" s="3" t="s">
        <v>643</v>
      </c>
      <c r="N35" s="3" t="s">
        <v>445</v>
      </c>
      <c r="O35" s="3">
        <v>-6.4256500000000001</v>
      </c>
      <c r="P35" s="3">
        <v>37.533099999999997</v>
      </c>
      <c r="Q35" s="15">
        <v>43602</v>
      </c>
    </row>
    <row r="36" spans="1:17" ht="16" x14ac:dyDescent="0.2">
      <c r="A36" s="3" t="s">
        <v>222</v>
      </c>
      <c r="B36" s="3" t="s">
        <v>468</v>
      </c>
      <c r="C36" s="3" t="s">
        <v>634</v>
      </c>
      <c r="D36" s="3" t="s">
        <v>635</v>
      </c>
      <c r="E36" s="3" t="s">
        <v>8</v>
      </c>
      <c r="F36" s="3" t="s">
        <v>637</v>
      </c>
      <c r="G36" s="3" t="s">
        <v>638</v>
      </c>
      <c r="H36" s="3" t="s">
        <v>639</v>
      </c>
      <c r="I36" s="3" t="s">
        <v>640</v>
      </c>
      <c r="J36" s="3" t="s">
        <v>675</v>
      </c>
      <c r="K36" s="3" t="s">
        <v>682</v>
      </c>
      <c r="L36" s="3" t="s">
        <v>448</v>
      </c>
      <c r="M36" s="3" t="s">
        <v>643</v>
      </c>
      <c r="N36" s="3" t="s">
        <v>445</v>
      </c>
      <c r="O36" s="3">
        <v>-6.4256500000000001</v>
      </c>
      <c r="P36" s="3">
        <v>37.533099999999997</v>
      </c>
      <c r="Q36" s="15">
        <v>43602</v>
      </c>
    </row>
    <row r="37" spans="1:17" ht="16" x14ac:dyDescent="0.2">
      <c r="A37" s="3" t="s">
        <v>224</v>
      </c>
      <c r="B37" s="3" t="s">
        <v>468</v>
      </c>
      <c r="C37" s="3" t="s">
        <v>634</v>
      </c>
      <c r="D37" s="3" t="s">
        <v>635</v>
      </c>
      <c r="E37" s="3" t="s">
        <v>685</v>
      </c>
      <c r="F37" s="3" t="s">
        <v>637</v>
      </c>
      <c r="G37" s="3" t="s">
        <v>638</v>
      </c>
      <c r="H37" s="3" t="s">
        <v>639</v>
      </c>
      <c r="I37" s="3" t="s">
        <v>640</v>
      </c>
      <c r="J37" s="3" t="s">
        <v>675</v>
      </c>
      <c r="K37" s="3" t="s">
        <v>682</v>
      </c>
      <c r="L37" s="3" t="s">
        <v>448</v>
      </c>
      <c r="M37" s="3" t="s">
        <v>643</v>
      </c>
      <c r="N37" s="3" t="s">
        <v>445</v>
      </c>
      <c r="O37" s="3">
        <v>-6.4256500000000001</v>
      </c>
      <c r="P37" s="3">
        <v>37.533099999999997</v>
      </c>
      <c r="Q37" s="15">
        <v>43602</v>
      </c>
    </row>
    <row r="38" spans="1:17" ht="16" x14ac:dyDescent="0.2">
      <c r="A38" s="3" t="s">
        <v>226</v>
      </c>
      <c r="B38" s="3" t="s">
        <v>472</v>
      </c>
      <c r="C38" s="3" t="s">
        <v>634</v>
      </c>
      <c r="D38" s="3" t="s">
        <v>635</v>
      </c>
      <c r="E38" s="3" t="s">
        <v>8</v>
      </c>
      <c r="F38" s="3" t="s">
        <v>637</v>
      </c>
      <c r="G38" s="3" t="s">
        <v>638</v>
      </c>
      <c r="H38" s="3" t="s">
        <v>639</v>
      </c>
      <c r="I38" s="3" t="s">
        <v>640</v>
      </c>
      <c r="J38" s="3" t="s">
        <v>675</v>
      </c>
      <c r="K38" s="3" t="s">
        <v>686</v>
      </c>
      <c r="L38" s="3" t="s">
        <v>448</v>
      </c>
      <c r="M38" s="3" t="s">
        <v>643</v>
      </c>
      <c r="N38" s="3" t="s">
        <v>445</v>
      </c>
      <c r="O38" s="3">
        <v>-7.0735099999999997</v>
      </c>
      <c r="P38" s="3">
        <v>36.908909999999999</v>
      </c>
      <c r="Q38" s="15">
        <v>43603</v>
      </c>
    </row>
    <row r="39" spans="1:17" ht="16" x14ac:dyDescent="0.2">
      <c r="A39" s="3" t="s">
        <v>94</v>
      </c>
      <c r="B39" s="3" t="s">
        <v>472</v>
      </c>
      <c r="C39" s="3" t="s">
        <v>634</v>
      </c>
      <c r="D39" s="3" t="s">
        <v>635</v>
      </c>
      <c r="E39" s="3" t="s">
        <v>687</v>
      </c>
      <c r="F39" s="3" t="s">
        <v>637</v>
      </c>
      <c r="G39" s="3" t="s">
        <v>680</v>
      </c>
      <c r="H39" s="3" t="s">
        <v>681</v>
      </c>
      <c r="I39" s="3" t="s">
        <v>640</v>
      </c>
      <c r="J39" s="3" t="s">
        <v>675</v>
      </c>
      <c r="K39" s="3" t="s">
        <v>686</v>
      </c>
      <c r="L39" s="3" t="s">
        <v>448</v>
      </c>
      <c r="M39" s="3" t="s">
        <v>643</v>
      </c>
      <c r="N39" s="3" t="s">
        <v>445</v>
      </c>
      <c r="O39" s="3">
        <v>-7.0735099999999997</v>
      </c>
      <c r="P39" s="3">
        <v>36.908909999999999</v>
      </c>
      <c r="Q39" s="15">
        <v>43603</v>
      </c>
    </row>
    <row r="40" spans="1:17" ht="16" x14ac:dyDescent="0.2">
      <c r="A40" s="3" t="s">
        <v>228</v>
      </c>
      <c r="B40" s="3" t="s">
        <v>472</v>
      </c>
      <c r="C40" s="3" t="s">
        <v>634</v>
      </c>
      <c r="D40" s="3" t="s">
        <v>635</v>
      </c>
      <c r="E40" s="3" t="s">
        <v>688</v>
      </c>
      <c r="F40" s="3" t="s">
        <v>637</v>
      </c>
      <c r="G40" s="3" t="s">
        <v>638</v>
      </c>
      <c r="H40" s="3" t="s">
        <v>639</v>
      </c>
      <c r="I40" s="3" t="s">
        <v>640</v>
      </c>
      <c r="J40" s="3" t="s">
        <v>675</v>
      </c>
      <c r="K40" s="3" t="s">
        <v>686</v>
      </c>
      <c r="L40" s="3" t="s">
        <v>448</v>
      </c>
      <c r="M40" s="3" t="s">
        <v>643</v>
      </c>
      <c r="N40" s="3" t="s">
        <v>445</v>
      </c>
      <c r="O40" s="3">
        <v>-7.0735099999999997</v>
      </c>
      <c r="P40" s="3">
        <v>36.908909999999999</v>
      </c>
      <c r="Q40" s="15">
        <v>43603</v>
      </c>
    </row>
    <row r="41" spans="1:17" ht="16" x14ac:dyDescent="0.2">
      <c r="A41" s="3" t="s">
        <v>230</v>
      </c>
      <c r="B41" s="3" t="s">
        <v>472</v>
      </c>
      <c r="C41" s="3" t="s">
        <v>634</v>
      </c>
      <c r="D41" s="3" t="s">
        <v>635</v>
      </c>
      <c r="E41" s="3" t="s">
        <v>8</v>
      </c>
      <c r="F41" s="3" t="s">
        <v>637</v>
      </c>
      <c r="G41" s="3" t="s">
        <v>638</v>
      </c>
      <c r="H41" s="3" t="s">
        <v>639</v>
      </c>
      <c r="I41" s="3" t="s">
        <v>640</v>
      </c>
      <c r="J41" s="3" t="s">
        <v>675</v>
      </c>
      <c r="K41" s="3" t="s">
        <v>686</v>
      </c>
      <c r="L41" s="3" t="s">
        <v>448</v>
      </c>
      <c r="M41" s="3" t="s">
        <v>643</v>
      </c>
      <c r="N41" s="3" t="s">
        <v>445</v>
      </c>
      <c r="O41" s="3">
        <v>-7.0735099999999997</v>
      </c>
      <c r="P41" s="3">
        <v>36.908909999999999</v>
      </c>
      <c r="Q41" s="15">
        <v>43603</v>
      </c>
    </row>
    <row r="42" spans="1:17" ht="16" x14ac:dyDescent="0.2">
      <c r="A42" s="3" t="s">
        <v>232</v>
      </c>
      <c r="B42" s="3" t="s">
        <v>472</v>
      </c>
      <c r="C42" s="3" t="s">
        <v>634</v>
      </c>
      <c r="D42" s="3" t="s">
        <v>635</v>
      </c>
      <c r="E42" s="3" t="s">
        <v>689</v>
      </c>
      <c r="F42" s="3" t="s">
        <v>637</v>
      </c>
      <c r="G42" s="3" t="s">
        <v>638</v>
      </c>
      <c r="H42" s="3" t="s">
        <v>639</v>
      </c>
      <c r="I42" s="3" t="s">
        <v>640</v>
      </c>
      <c r="J42" s="3" t="s">
        <v>675</v>
      </c>
      <c r="K42" s="3" t="s">
        <v>686</v>
      </c>
      <c r="L42" s="3" t="s">
        <v>448</v>
      </c>
      <c r="M42" s="3" t="s">
        <v>643</v>
      </c>
      <c r="N42" s="3" t="s">
        <v>445</v>
      </c>
      <c r="O42" s="3">
        <v>-7.0735099999999997</v>
      </c>
      <c r="P42" s="3">
        <v>36.908909999999999</v>
      </c>
      <c r="Q42" s="15">
        <v>43603</v>
      </c>
    </row>
    <row r="43" spans="1:17" ht="16" x14ac:dyDescent="0.2">
      <c r="A43" s="3" t="s">
        <v>234</v>
      </c>
      <c r="B43" s="3" t="s">
        <v>478</v>
      </c>
      <c r="C43" s="3" t="s">
        <v>634</v>
      </c>
      <c r="D43" s="3" t="s">
        <v>635</v>
      </c>
      <c r="E43" s="3" t="s">
        <v>690</v>
      </c>
      <c r="F43" s="3" t="s">
        <v>637</v>
      </c>
      <c r="G43" s="3" t="s">
        <v>638</v>
      </c>
      <c r="H43" s="3" t="s">
        <v>639</v>
      </c>
      <c r="I43" s="3" t="s">
        <v>640</v>
      </c>
      <c r="J43" s="3" t="s">
        <v>675</v>
      </c>
      <c r="K43" s="3" t="s">
        <v>691</v>
      </c>
      <c r="L43" s="3" t="s">
        <v>448</v>
      </c>
      <c r="M43" s="3" t="s">
        <v>643</v>
      </c>
      <c r="N43" s="3" t="s">
        <v>445</v>
      </c>
      <c r="O43" s="3">
        <v>-7.0735099999999997</v>
      </c>
      <c r="P43" s="3">
        <v>36.908909999999999</v>
      </c>
      <c r="Q43" s="15">
        <v>43603</v>
      </c>
    </row>
    <row r="44" spans="1:17" ht="16" x14ac:dyDescent="0.2">
      <c r="A44" s="3" t="s">
        <v>236</v>
      </c>
      <c r="B44" s="3" t="s">
        <v>478</v>
      </c>
      <c r="C44" s="3" t="s">
        <v>634</v>
      </c>
      <c r="D44" s="3" t="s">
        <v>635</v>
      </c>
      <c r="E44" s="3" t="s">
        <v>8</v>
      </c>
      <c r="F44" s="3" t="s">
        <v>637</v>
      </c>
      <c r="G44" s="3" t="s">
        <v>638</v>
      </c>
      <c r="H44" s="3" t="s">
        <v>639</v>
      </c>
      <c r="I44" s="3" t="s">
        <v>640</v>
      </c>
      <c r="J44" s="3" t="s">
        <v>675</v>
      </c>
      <c r="K44" s="3" t="s">
        <v>691</v>
      </c>
      <c r="L44" s="3" t="s">
        <v>448</v>
      </c>
      <c r="M44" s="3" t="s">
        <v>643</v>
      </c>
      <c r="N44" s="3" t="s">
        <v>445</v>
      </c>
      <c r="O44" s="3">
        <v>-7.0735099999999997</v>
      </c>
      <c r="P44" s="3">
        <v>36.908909999999999</v>
      </c>
      <c r="Q44" s="15">
        <v>43603</v>
      </c>
    </row>
    <row r="45" spans="1:17" ht="16" x14ac:dyDescent="0.2">
      <c r="A45" s="3" t="s">
        <v>238</v>
      </c>
      <c r="B45" s="3" t="s">
        <v>478</v>
      </c>
      <c r="C45" s="3" t="s">
        <v>634</v>
      </c>
      <c r="D45" s="3" t="s">
        <v>635</v>
      </c>
      <c r="E45" s="3" t="s">
        <v>692</v>
      </c>
      <c r="F45" s="3" t="s">
        <v>637</v>
      </c>
      <c r="G45" s="3" t="s">
        <v>638</v>
      </c>
      <c r="H45" s="3" t="s">
        <v>639</v>
      </c>
      <c r="I45" s="3" t="s">
        <v>640</v>
      </c>
      <c r="J45" s="3" t="s">
        <v>675</v>
      </c>
      <c r="K45" s="3" t="s">
        <v>691</v>
      </c>
      <c r="L45" s="3" t="s">
        <v>448</v>
      </c>
      <c r="M45" s="3" t="s">
        <v>643</v>
      </c>
      <c r="N45" s="3" t="s">
        <v>445</v>
      </c>
      <c r="O45" s="3">
        <v>-7.0735099999999997</v>
      </c>
      <c r="P45" s="3">
        <v>36.908909999999999</v>
      </c>
      <c r="Q45" s="15">
        <v>43603</v>
      </c>
    </row>
    <row r="46" spans="1:17" ht="16" x14ac:dyDescent="0.2">
      <c r="A46" s="3" t="s">
        <v>240</v>
      </c>
      <c r="B46" s="3" t="s">
        <v>478</v>
      </c>
      <c r="C46" s="3" t="s">
        <v>634</v>
      </c>
      <c r="D46" s="3" t="s">
        <v>635</v>
      </c>
      <c r="E46" s="3" t="s">
        <v>8</v>
      </c>
      <c r="F46" s="3" t="s">
        <v>637</v>
      </c>
      <c r="G46" s="3" t="s">
        <v>638</v>
      </c>
      <c r="H46" s="3" t="s">
        <v>639</v>
      </c>
      <c r="I46" s="3" t="s">
        <v>640</v>
      </c>
      <c r="J46" s="3" t="s">
        <v>675</v>
      </c>
      <c r="K46" s="3" t="s">
        <v>691</v>
      </c>
      <c r="L46" s="3" t="s">
        <v>448</v>
      </c>
      <c r="M46" s="3" t="s">
        <v>643</v>
      </c>
      <c r="N46" s="3" t="s">
        <v>445</v>
      </c>
      <c r="O46" s="3">
        <v>-7.0735099999999997</v>
      </c>
      <c r="P46" s="3">
        <v>36.908909999999999</v>
      </c>
      <c r="Q46" s="15">
        <v>43603</v>
      </c>
    </row>
    <row r="47" spans="1:17" ht="16" x14ac:dyDescent="0.2">
      <c r="A47" s="3" t="s">
        <v>242</v>
      </c>
      <c r="B47" s="3" t="s">
        <v>482</v>
      </c>
      <c r="C47" s="3" t="s">
        <v>634</v>
      </c>
      <c r="D47" s="3" t="s">
        <v>635</v>
      </c>
      <c r="E47" s="3" t="s">
        <v>693</v>
      </c>
      <c r="F47" s="3" t="s">
        <v>637</v>
      </c>
      <c r="G47" s="3" t="s">
        <v>638</v>
      </c>
      <c r="H47" s="3" t="s">
        <v>639</v>
      </c>
      <c r="I47" s="3" t="s">
        <v>640</v>
      </c>
      <c r="J47" s="3" t="s">
        <v>675</v>
      </c>
      <c r="K47" s="3" t="s">
        <v>485</v>
      </c>
      <c r="L47" s="3" t="s">
        <v>448</v>
      </c>
      <c r="M47" s="3" t="s">
        <v>643</v>
      </c>
      <c r="N47" s="3" t="s">
        <v>445</v>
      </c>
      <c r="O47" s="3">
        <v>-7.0725300000000004</v>
      </c>
      <c r="P47" s="3">
        <v>36.884610000000002</v>
      </c>
      <c r="Q47" s="15">
        <v>43603</v>
      </c>
    </row>
    <row r="48" spans="1:17" ht="16" x14ac:dyDescent="0.2">
      <c r="A48" s="3" t="s">
        <v>244</v>
      </c>
      <c r="B48" s="3" t="s">
        <v>482</v>
      </c>
      <c r="C48" s="3" t="s">
        <v>634</v>
      </c>
      <c r="D48" s="3" t="s">
        <v>635</v>
      </c>
      <c r="E48" s="3" t="s">
        <v>694</v>
      </c>
      <c r="F48" s="3" t="s">
        <v>637</v>
      </c>
      <c r="G48" s="3" t="s">
        <v>638</v>
      </c>
      <c r="H48" s="3" t="s">
        <v>639</v>
      </c>
      <c r="I48" s="3" t="s">
        <v>640</v>
      </c>
      <c r="J48" s="3" t="s">
        <v>675</v>
      </c>
      <c r="K48" s="3" t="s">
        <v>485</v>
      </c>
      <c r="L48" s="3" t="s">
        <v>448</v>
      </c>
      <c r="M48" s="3" t="s">
        <v>643</v>
      </c>
      <c r="N48" s="3" t="s">
        <v>445</v>
      </c>
      <c r="O48" s="3">
        <v>-7.0725300000000004</v>
      </c>
      <c r="P48" s="3">
        <v>36.884610000000002</v>
      </c>
      <c r="Q48" s="15">
        <v>43603</v>
      </c>
    </row>
    <row r="49" spans="1:17" ht="16" x14ac:dyDescent="0.2">
      <c r="A49" s="3" t="s">
        <v>246</v>
      </c>
      <c r="B49" s="3" t="s">
        <v>482</v>
      </c>
      <c r="C49" s="3" t="s">
        <v>634</v>
      </c>
      <c r="D49" s="3" t="s">
        <v>635</v>
      </c>
      <c r="E49" s="3" t="s">
        <v>8</v>
      </c>
      <c r="F49" s="3" t="s">
        <v>637</v>
      </c>
      <c r="G49" s="3" t="s">
        <v>638</v>
      </c>
      <c r="H49" s="3" t="s">
        <v>639</v>
      </c>
      <c r="I49" s="3" t="s">
        <v>640</v>
      </c>
      <c r="J49" s="3" t="s">
        <v>675</v>
      </c>
      <c r="K49" s="3" t="s">
        <v>485</v>
      </c>
      <c r="L49" s="3" t="s">
        <v>448</v>
      </c>
      <c r="M49" s="3" t="s">
        <v>643</v>
      </c>
      <c r="N49" s="3" t="s">
        <v>445</v>
      </c>
      <c r="O49" s="3">
        <v>-7.0725300000000004</v>
      </c>
      <c r="P49" s="3">
        <v>36.884610000000002</v>
      </c>
      <c r="Q49" s="15">
        <v>43603</v>
      </c>
    </row>
    <row r="50" spans="1:17" ht="16" x14ac:dyDescent="0.2">
      <c r="A50" s="3" t="s">
        <v>248</v>
      </c>
      <c r="B50" s="3" t="s">
        <v>482</v>
      </c>
      <c r="C50" s="3" t="s">
        <v>634</v>
      </c>
      <c r="D50" s="3" t="s">
        <v>635</v>
      </c>
      <c r="E50" s="3" t="s">
        <v>8</v>
      </c>
      <c r="F50" s="3" t="s">
        <v>637</v>
      </c>
      <c r="G50" s="3" t="s">
        <v>638</v>
      </c>
      <c r="H50" s="3" t="s">
        <v>639</v>
      </c>
      <c r="I50" s="3" t="s">
        <v>640</v>
      </c>
      <c r="J50" s="3" t="s">
        <v>675</v>
      </c>
      <c r="K50" s="3" t="s">
        <v>485</v>
      </c>
      <c r="L50" s="3" t="s">
        <v>448</v>
      </c>
      <c r="M50" s="3" t="s">
        <v>643</v>
      </c>
      <c r="N50" s="3" t="s">
        <v>445</v>
      </c>
      <c r="O50" s="3">
        <v>-7.0725300000000004</v>
      </c>
      <c r="P50" s="3">
        <v>36.884610000000002</v>
      </c>
      <c r="Q50" s="15">
        <v>43603</v>
      </c>
    </row>
    <row r="51" spans="1:17" ht="16" x14ac:dyDescent="0.2">
      <c r="A51" s="3" t="s">
        <v>250</v>
      </c>
      <c r="B51" s="3" t="s">
        <v>482</v>
      </c>
      <c r="C51" s="3" t="s">
        <v>634</v>
      </c>
      <c r="D51" s="3" t="s">
        <v>635</v>
      </c>
      <c r="E51" s="3" t="s">
        <v>8</v>
      </c>
      <c r="F51" s="3" t="s">
        <v>637</v>
      </c>
      <c r="G51" s="3" t="s">
        <v>638</v>
      </c>
      <c r="H51" s="3" t="s">
        <v>639</v>
      </c>
      <c r="I51" s="3" t="s">
        <v>640</v>
      </c>
      <c r="J51" s="3" t="s">
        <v>675</v>
      </c>
      <c r="K51" s="3" t="s">
        <v>485</v>
      </c>
      <c r="L51" s="3" t="s">
        <v>448</v>
      </c>
      <c r="M51" s="3" t="s">
        <v>643</v>
      </c>
      <c r="N51" s="3" t="s">
        <v>445</v>
      </c>
      <c r="O51" s="3">
        <v>-7.0725300000000004</v>
      </c>
      <c r="P51" s="3">
        <v>36.884610000000002</v>
      </c>
      <c r="Q51" s="15">
        <v>43603</v>
      </c>
    </row>
    <row r="52" spans="1:17" ht="16" x14ac:dyDescent="0.2">
      <c r="A52" s="3" t="s">
        <v>252</v>
      </c>
      <c r="B52" s="3" t="s">
        <v>482</v>
      </c>
      <c r="C52" s="3" t="s">
        <v>634</v>
      </c>
      <c r="D52" s="3" t="s">
        <v>635</v>
      </c>
      <c r="E52" s="3" t="s">
        <v>695</v>
      </c>
      <c r="F52" s="3" t="s">
        <v>637</v>
      </c>
      <c r="G52" s="3" t="s">
        <v>638</v>
      </c>
      <c r="H52" s="3" t="s">
        <v>639</v>
      </c>
      <c r="I52" s="3" t="s">
        <v>640</v>
      </c>
      <c r="J52" s="3" t="s">
        <v>675</v>
      </c>
      <c r="K52" s="3" t="s">
        <v>485</v>
      </c>
      <c r="L52" s="3" t="s">
        <v>448</v>
      </c>
      <c r="M52" s="3" t="s">
        <v>643</v>
      </c>
      <c r="N52" s="3" t="s">
        <v>445</v>
      </c>
      <c r="O52" s="3">
        <v>-7.0725300000000004</v>
      </c>
      <c r="P52" s="3">
        <v>36.884610000000002</v>
      </c>
      <c r="Q52" s="15">
        <v>43603</v>
      </c>
    </row>
    <row r="53" spans="1:17" ht="16" x14ac:dyDescent="0.2">
      <c r="A53" s="3" t="s">
        <v>134</v>
      </c>
      <c r="B53" s="3" t="s">
        <v>486</v>
      </c>
      <c r="C53" s="3" t="s">
        <v>634</v>
      </c>
      <c r="D53" s="3" t="s">
        <v>635</v>
      </c>
      <c r="E53" s="3" t="s">
        <v>696</v>
      </c>
      <c r="F53" s="3" t="s">
        <v>637</v>
      </c>
      <c r="G53" s="3" t="s">
        <v>654</v>
      </c>
      <c r="H53" s="3" t="s">
        <v>655</v>
      </c>
      <c r="I53" s="3" t="s">
        <v>640</v>
      </c>
      <c r="J53" s="3" t="s">
        <v>675</v>
      </c>
      <c r="K53" s="3" t="s">
        <v>697</v>
      </c>
      <c r="L53" s="3" t="s">
        <v>448</v>
      </c>
      <c r="M53" s="3" t="s">
        <v>698</v>
      </c>
      <c r="N53" s="3" t="s">
        <v>445</v>
      </c>
      <c r="O53" s="3">
        <v>-7.0717800000000004</v>
      </c>
      <c r="P53" s="3">
        <v>36.904110000000003</v>
      </c>
      <c r="Q53" s="15">
        <v>43603</v>
      </c>
    </row>
    <row r="54" spans="1:17" ht="16" x14ac:dyDescent="0.2">
      <c r="A54" s="3" t="s">
        <v>136</v>
      </c>
      <c r="B54" s="3" t="s">
        <v>486</v>
      </c>
      <c r="C54" s="3" t="s">
        <v>634</v>
      </c>
      <c r="D54" s="3" t="s">
        <v>635</v>
      </c>
      <c r="E54" s="3" t="s">
        <v>8</v>
      </c>
      <c r="F54" s="3" t="s">
        <v>637</v>
      </c>
      <c r="G54" s="3" t="s">
        <v>654</v>
      </c>
      <c r="H54" s="3" t="s">
        <v>655</v>
      </c>
      <c r="I54" s="3" t="s">
        <v>640</v>
      </c>
      <c r="J54" s="3" t="s">
        <v>675</v>
      </c>
      <c r="K54" s="3" t="s">
        <v>697</v>
      </c>
      <c r="L54" s="3" t="s">
        <v>448</v>
      </c>
      <c r="M54" s="3" t="s">
        <v>698</v>
      </c>
      <c r="N54" s="3" t="s">
        <v>445</v>
      </c>
      <c r="O54" s="3">
        <v>-7.0717800000000004</v>
      </c>
      <c r="P54" s="3">
        <v>36.904110000000003</v>
      </c>
      <c r="Q54" s="15">
        <v>43603</v>
      </c>
    </row>
    <row r="55" spans="1:17" ht="16" x14ac:dyDescent="0.2">
      <c r="A55" s="3" t="s">
        <v>138</v>
      </c>
      <c r="B55" s="3" t="s">
        <v>486</v>
      </c>
      <c r="C55" s="3" t="s">
        <v>634</v>
      </c>
      <c r="D55" s="3" t="s">
        <v>635</v>
      </c>
      <c r="E55" s="3" t="s">
        <v>8</v>
      </c>
      <c r="F55" s="3" t="s">
        <v>637</v>
      </c>
      <c r="G55" s="3" t="s">
        <v>654</v>
      </c>
      <c r="H55" s="3" t="s">
        <v>655</v>
      </c>
      <c r="I55" s="3" t="s">
        <v>640</v>
      </c>
      <c r="J55" s="3" t="s">
        <v>675</v>
      </c>
      <c r="K55" s="3" t="s">
        <v>697</v>
      </c>
      <c r="L55" s="3" t="s">
        <v>448</v>
      </c>
      <c r="M55" s="3" t="s">
        <v>698</v>
      </c>
      <c r="N55" s="3" t="s">
        <v>445</v>
      </c>
      <c r="O55" s="3">
        <v>-7.0717800000000004</v>
      </c>
      <c r="P55" s="3">
        <v>36.904110000000003</v>
      </c>
      <c r="Q55" s="15">
        <v>43603</v>
      </c>
    </row>
    <row r="56" spans="1:17" ht="16" x14ac:dyDescent="0.2">
      <c r="A56" s="3" t="s">
        <v>140</v>
      </c>
      <c r="B56" s="3" t="s">
        <v>486</v>
      </c>
      <c r="C56" s="3" t="s">
        <v>634</v>
      </c>
      <c r="D56" s="3" t="s">
        <v>635</v>
      </c>
      <c r="E56" s="3" t="s">
        <v>699</v>
      </c>
      <c r="F56" s="3" t="s">
        <v>637</v>
      </c>
      <c r="G56" s="3" t="s">
        <v>654</v>
      </c>
      <c r="H56" s="3" t="s">
        <v>655</v>
      </c>
      <c r="I56" s="3" t="s">
        <v>640</v>
      </c>
      <c r="J56" s="3" t="s">
        <v>675</v>
      </c>
      <c r="K56" s="3" t="s">
        <v>697</v>
      </c>
      <c r="L56" s="3" t="s">
        <v>448</v>
      </c>
      <c r="M56" s="3" t="s">
        <v>698</v>
      </c>
      <c r="N56" s="3" t="s">
        <v>445</v>
      </c>
      <c r="O56" s="3">
        <v>-7.0717800000000004</v>
      </c>
      <c r="P56" s="3">
        <v>36.904110000000003</v>
      </c>
      <c r="Q56" s="15">
        <v>43603</v>
      </c>
    </row>
    <row r="57" spans="1:17" ht="16" x14ac:dyDescent="0.2">
      <c r="A57" s="3" t="s">
        <v>96</v>
      </c>
      <c r="B57" s="3" t="s">
        <v>491</v>
      </c>
      <c r="C57" s="3" t="s">
        <v>634</v>
      </c>
      <c r="D57" s="3" t="s">
        <v>635</v>
      </c>
      <c r="E57" s="3" t="s">
        <v>8</v>
      </c>
      <c r="F57" s="3" t="s">
        <v>637</v>
      </c>
      <c r="G57" s="3" t="s">
        <v>680</v>
      </c>
      <c r="H57" s="3" t="s">
        <v>681</v>
      </c>
      <c r="I57" s="3" t="s">
        <v>640</v>
      </c>
      <c r="J57" s="3" t="s">
        <v>675</v>
      </c>
      <c r="K57" s="3" t="s">
        <v>700</v>
      </c>
      <c r="L57" s="3" t="s">
        <v>448</v>
      </c>
      <c r="M57" s="3" t="s">
        <v>698</v>
      </c>
      <c r="N57" s="3" t="s">
        <v>445</v>
      </c>
      <c r="O57" s="3">
        <v>-6.9453100000000001</v>
      </c>
      <c r="P57" s="3">
        <v>36.936669999999999</v>
      </c>
      <c r="Q57" s="15">
        <v>43604</v>
      </c>
    </row>
    <row r="58" spans="1:17" ht="16" x14ac:dyDescent="0.2">
      <c r="A58" s="3" t="s">
        <v>98</v>
      </c>
      <c r="B58" s="3" t="s">
        <v>491</v>
      </c>
      <c r="C58" s="3" t="s">
        <v>634</v>
      </c>
      <c r="D58" s="3" t="s">
        <v>635</v>
      </c>
      <c r="E58" s="3" t="s">
        <v>8</v>
      </c>
      <c r="F58" s="3" t="s">
        <v>637</v>
      </c>
      <c r="G58" s="3" t="s">
        <v>680</v>
      </c>
      <c r="H58" s="3" t="s">
        <v>681</v>
      </c>
      <c r="I58" s="3" t="s">
        <v>640</v>
      </c>
      <c r="J58" s="3" t="s">
        <v>675</v>
      </c>
      <c r="K58" s="3" t="s">
        <v>700</v>
      </c>
      <c r="L58" s="3" t="s">
        <v>448</v>
      </c>
      <c r="M58" s="3" t="s">
        <v>698</v>
      </c>
      <c r="N58" s="3" t="s">
        <v>445</v>
      </c>
      <c r="O58" s="3">
        <v>-6.9453100000000001</v>
      </c>
      <c r="P58" s="3">
        <v>36.936669999999999</v>
      </c>
      <c r="Q58" s="15">
        <v>43604</v>
      </c>
    </row>
    <row r="59" spans="1:17" ht="16" x14ac:dyDescent="0.2">
      <c r="A59" s="3" t="s">
        <v>100</v>
      </c>
      <c r="B59" s="3" t="s">
        <v>491</v>
      </c>
      <c r="C59" s="3" t="s">
        <v>634</v>
      </c>
      <c r="D59" s="3" t="s">
        <v>635</v>
      </c>
      <c r="E59" s="3" t="s">
        <v>8</v>
      </c>
      <c r="F59" s="3" t="s">
        <v>637</v>
      </c>
      <c r="G59" s="3" t="s">
        <v>680</v>
      </c>
      <c r="H59" s="3" t="s">
        <v>681</v>
      </c>
      <c r="I59" s="3" t="s">
        <v>640</v>
      </c>
      <c r="J59" s="3" t="s">
        <v>675</v>
      </c>
      <c r="K59" s="3" t="s">
        <v>700</v>
      </c>
      <c r="L59" s="3" t="s">
        <v>448</v>
      </c>
      <c r="M59" s="3" t="s">
        <v>698</v>
      </c>
      <c r="N59" s="3" t="s">
        <v>445</v>
      </c>
      <c r="O59" s="3">
        <v>-6.9453100000000001</v>
      </c>
      <c r="P59" s="3">
        <v>36.936669999999999</v>
      </c>
      <c r="Q59" s="15">
        <v>43604</v>
      </c>
    </row>
    <row r="60" spans="1:17" ht="16" x14ac:dyDescent="0.2">
      <c r="A60" s="3" t="s">
        <v>142</v>
      </c>
      <c r="B60" s="3" t="s">
        <v>491</v>
      </c>
      <c r="C60" s="3" t="s">
        <v>634</v>
      </c>
      <c r="D60" s="3" t="s">
        <v>635</v>
      </c>
      <c r="E60" s="3" t="s">
        <v>8</v>
      </c>
      <c r="F60" s="3" t="s">
        <v>637</v>
      </c>
      <c r="G60" s="3" t="s">
        <v>654</v>
      </c>
      <c r="H60" s="3" t="s">
        <v>655</v>
      </c>
      <c r="I60" s="3" t="s">
        <v>640</v>
      </c>
      <c r="J60" s="3" t="s">
        <v>675</v>
      </c>
      <c r="K60" s="3" t="s">
        <v>700</v>
      </c>
      <c r="L60" s="3" t="s">
        <v>448</v>
      </c>
      <c r="M60" s="3" t="s">
        <v>698</v>
      </c>
      <c r="N60" s="3" t="s">
        <v>445</v>
      </c>
      <c r="O60" s="3">
        <v>-6.9453100000000001</v>
      </c>
      <c r="P60" s="3">
        <v>36.936669999999999</v>
      </c>
      <c r="Q60" s="15">
        <v>43604</v>
      </c>
    </row>
    <row r="61" spans="1:17" ht="16" x14ac:dyDescent="0.2">
      <c r="A61" s="3" t="s">
        <v>102</v>
      </c>
      <c r="B61" s="3" t="s">
        <v>491</v>
      </c>
      <c r="C61" s="3" t="s">
        <v>634</v>
      </c>
      <c r="D61" s="3" t="s">
        <v>635</v>
      </c>
      <c r="E61" s="3" t="s">
        <v>8</v>
      </c>
      <c r="F61" s="3" t="s">
        <v>637</v>
      </c>
      <c r="G61" s="3" t="s">
        <v>680</v>
      </c>
      <c r="H61" s="3" t="s">
        <v>681</v>
      </c>
      <c r="I61" s="3" t="s">
        <v>640</v>
      </c>
      <c r="J61" s="3" t="s">
        <v>675</v>
      </c>
      <c r="K61" s="3" t="s">
        <v>700</v>
      </c>
      <c r="L61" s="3" t="s">
        <v>448</v>
      </c>
      <c r="M61" s="3" t="s">
        <v>698</v>
      </c>
      <c r="N61" s="3" t="s">
        <v>445</v>
      </c>
      <c r="O61" s="3">
        <v>-6.9453100000000001</v>
      </c>
      <c r="P61" s="3">
        <v>36.936669999999999</v>
      </c>
      <c r="Q61" s="15">
        <v>43604</v>
      </c>
    </row>
    <row r="62" spans="1:17" ht="16" x14ac:dyDescent="0.2">
      <c r="A62" s="3" t="s">
        <v>144</v>
      </c>
      <c r="B62" s="3" t="s">
        <v>491</v>
      </c>
      <c r="C62" s="3" t="s">
        <v>634</v>
      </c>
      <c r="D62" s="3" t="s">
        <v>635</v>
      </c>
      <c r="E62" s="3" t="s">
        <v>8</v>
      </c>
      <c r="F62" s="3" t="s">
        <v>637</v>
      </c>
      <c r="G62" s="3" t="s">
        <v>654</v>
      </c>
      <c r="H62" s="3" t="s">
        <v>655</v>
      </c>
      <c r="I62" s="3" t="s">
        <v>640</v>
      </c>
      <c r="J62" s="3" t="s">
        <v>675</v>
      </c>
      <c r="K62" s="3" t="s">
        <v>700</v>
      </c>
      <c r="L62" s="3" t="s">
        <v>448</v>
      </c>
      <c r="M62" s="3" t="s">
        <v>698</v>
      </c>
      <c r="N62" s="3" t="s">
        <v>445</v>
      </c>
      <c r="O62" s="3">
        <v>-6.9453100000000001</v>
      </c>
      <c r="P62" s="3">
        <v>36.936669999999999</v>
      </c>
      <c r="Q62" s="15">
        <v>43604</v>
      </c>
    </row>
    <row r="63" spans="1:17" ht="16" x14ac:dyDescent="0.2">
      <c r="A63" s="3" t="s">
        <v>104</v>
      </c>
      <c r="B63" s="3" t="s">
        <v>491</v>
      </c>
      <c r="C63" s="3" t="s">
        <v>634</v>
      </c>
      <c r="D63" s="3" t="s">
        <v>635</v>
      </c>
      <c r="E63" s="3" t="s">
        <v>8</v>
      </c>
      <c r="F63" s="3" t="s">
        <v>637</v>
      </c>
      <c r="G63" s="3" t="s">
        <v>680</v>
      </c>
      <c r="H63" s="3" t="s">
        <v>681</v>
      </c>
      <c r="I63" s="3" t="s">
        <v>640</v>
      </c>
      <c r="J63" s="3" t="s">
        <v>675</v>
      </c>
      <c r="K63" s="3" t="s">
        <v>700</v>
      </c>
      <c r="L63" s="3" t="s">
        <v>448</v>
      </c>
      <c r="M63" s="3" t="s">
        <v>698</v>
      </c>
      <c r="N63" s="3" t="s">
        <v>445</v>
      </c>
      <c r="O63" s="3">
        <v>-6.9453100000000001</v>
      </c>
      <c r="P63" s="3">
        <v>36.936669999999999</v>
      </c>
      <c r="Q63" s="15">
        <v>43604</v>
      </c>
    </row>
    <row r="64" spans="1:17" ht="16" x14ac:dyDescent="0.2">
      <c r="A64" s="3" t="s">
        <v>106</v>
      </c>
      <c r="B64" s="3" t="s">
        <v>491</v>
      </c>
      <c r="C64" s="3" t="s">
        <v>634</v>
      </c>
      <c r="D64" s="3" t="s">
        <v>635</v>
      </c>
      <c r="E64" s="3" t="s">
        <v>8</v>
      </c>
      <c r="F64" s="3" t="s">
        <v>637</v>
      </c>
      <c r="G64" s="3" t="s">
        <v>680</v>
      </c>
      <c r="H64" s="3" t="s">
        <v>681</v>
      </c>
      <c r="I64" s="3" t="s">
        <v>640</v>
      </c>
      <c r="J64" s="3" t="s">
        <v>675</v>
      </c>
      <c r="K64" s="3" t="s">
        <v>700</v>
      </c>
      <c r="L64" s="3" t="s">
        <v>448</v>
      </c>
      <c r="M64" s="3" t="s">
        <v>698</v>
      </c>
      <c r="N64" s="3" t="s">
        <v>445</v>
      </c>
      <c r="O64" s="3">
        <v>-6.9453100000000001</v>
      </c>
      <c r="P64" s="3">
        <v>36.936669999999999</v>
      </c>
      <c r="Q64" s="15">
        <v>43604</v>
      </c>
    </row>
    <row r="65" spans="1:17" ht="16" x14ac:dyDescent="0.2">
      <c r="A65" s="3" t="s">
        <v>254</v>
      </c>
      <c r="B65" s="3" t="s">
        <v>491</v>
      </c>
      <c r="C65" s="3" t="s">
        <v>634</v>
      </c>
      <c r="D65" s="3" t="s">
        <v>635</v>
      </c>
      <c r="E65" s="3" t="s">
        <v>701</v>
      </c>
      <c r="F65" s="3" t="s">
        <v>637</v>
      </c>
      <c r="G65" s="3" t="s">
        <v>638</v>
      </c>
      <c r="H65" s="3" t="s">
        <v>639</v>
      </c>
      <c r="I65" s="3" t="s">
        <v>640</v>
      </c>
      <c r="J65" s="3" t="s">
        <v>675</v>
      </c>
      <c r="K65" s="3" t="s">
        <v>700</v>
      </c>
      <c r="L65" s="3" t="s">
        <v>448</v>
      </c>
      <c r="M65" s="3" t="s">
        <v>698</v>
      </c>
      <c r="N65" s="3" t="s">
        <v>445</v>
      </c>
      <c r="O65" s="3">
        <v>-6.9453100000000001</v>
      </c>
      <c r="P65" s="3">
        <v>36.936669999999999</v>
      </c>
      <c r="Q65" s="15">
        <v>43604</v>
      </c>
    </row>
    <row r="66" spans="1:17" ht="16" x14ac:dyDescent="0.2">
      <c r="A66" s="3" t="s">
        <v>256</v>
      </c>
      <c r="B66" s="3" t="s">
        <v>491</v>
      </c>
      <c r="C66" s="3" t="s">
        <v>634</v>
      </c>
      <c r="D66" s="3" t="s">
        <v>635</v>
      </c>
      <c r="E66" s="3" t="s">
        <v>8</v>
      </c>
      <c r="F66" s="3" t="s">
        <v>637</v>
      </c>
      <c r="G66" s="3" t="s">
        <v>638</v>
      </c>
      <c r="H66" s="3" t="s">
        <v>639</v>
      </c>
      <c r="I66" s="3" t="s">
        <v>640</v>
      </c>
      <c r="J66" s="3" t="s">
        <v>675</v>
      </c>
      <c r="K66" s="3" t="s">
        <v>700</v>
      </c>
      <c r="L66" s="3" t="s">
        <v>448</v>
      </c>
      <c r="M66" s="3" t="s">
        <v>698</v>
      </c>
      <c r="N66" s="3" t="s">
        <v>445</v>
      </c>
      <c r="O66" s="3">
        <v>-6.9453100000000001</v>
      </c>
      <c r="P66" s="3">
        <v>36.936669999999999</v>
      </c>
      <c r="Q66" s="15">
        <v>43604</v>
      </c>
    </row>
    <row r="67" spans="1:17" ht="16" x14ac:dyDescent="0.2">
      <c r="A67" s="3" t="s">
        <v>108</v>
      </c>
      <c r="B67" s="3" t="s">
        <v>491</v>
      </c>
      <c r="C67" s="3" t="s">
        <v>634</v>
      </c>
      <c r="D67" s="3" t="s">
        <v>635</v>
      </c>
      <c r="E67" s="3" t="s">
        <v>8</v>
      </c>
      <c r="F67" s="3" t="s">
        <v>637</v>
      </c>
      <c r="G67" s="3" t="s">
        <v>680</v>
      </c>
      <c r="H67" s="3" t="s">
        <v>681</v>
      </c>
      <c r="I67" s="3" t="s">
        <v>640</v>
      </c>
      <c r="J67" s="3" t="s">
        <v>675</v>
      </c>
      <c r="K67" s="3" t="s">
        <v>702</v>
      </c>
      <c r="L67" s="3" t="s">
        <v>448</v>
      </c>
      <c r="M67" s="3" t="s">
        <v>698</v>
      </c>
      <c r="N67" s="3" t="s">
        <v>445</v>
      </c>
      <c r="O67" s="3">
        <v>-6.9423490000000001</v>
      </c>
      <c r="P67" s="3">
        <v>36.932482</v>
      </c>
      <c r="Q67" s="15">
        <v>43604</v>
      </c>
    </row>
    <row r="68" spans="1:17" ht="16" x14ac:dyDescent="0.2">
      <c r="A68" s="3" t="s">
        <v>258</v>
      </c>
      <c r="B68" s="3" t="s">
        <v>491</v>
      </c>
      <c r="C68" s="3" t="s">
        <v>634</v>
      </c>
      <c r="D68" s="3" t="s">
        <v>635</v>
      </c>
      <c r="E68" s="3" t="s">
        <v>703</v>
      </c>
      <c r="F68" s="3" t="s">
        <v>637</v>
      </c>
      <c r="G68" s="3" t="s">
        <v>638</v>
      </c>
      <c r="H68" s="3" t="s">
        <v>639</v>
      </c>
      <c r="I68" s="3" t="s">
        <v>640</v>
      </c>
      <c r="J68" s="3" t="s">
        <v>675</v>
      </c>
      <c r="K68" s="3" t="s">
        <v>702</v>
      </c>
      <c r="L68" s="3" t="s">
        <v>448</v>
      </c>
      <c r="M68" s="3" t="s">
        <v>698</v>
      </c>
      <c r="N68" s="3" t="s">
        <v>445</v>
      </c>
      <c r="O68" s="3">
        <v>-6.9423490000000001</v>
      </c>
      <c r="P68" s="3">
        <v>36.932482</v>
      </c>
      <c r="Q68" s="15">
        <v>43604</v>
      </c>
    </row>
    <row r="69" spans="1:17" ht="16" x14ac:dyDescent="0.2">
      <c r="A69" s="3" t="s">
        <v>110</v>
      </c>
      <c r="B69" s="3" t="s">
        <v>495</v>
      </c>
      <c r="C69" s="3" t="s">
        <v>634</v>
      </c>
      <c r="D69" s="3" t="s">
        <v>635</v>
      </c>
      <c r="E69" s="3" t="s">
        <v>704</v>
      </c>
      <c r="F69" s="3" t="s">
        <v>637</v>
      </c>
      <c r="G69" s="3" t="s">
        <v>680</v>
      </c>
      <c r="H69" s="3" t="s">
        <v>681</v>
      </c>
      <c r="I69" s="3" t="s">
        <v>640</v>
      </c>
      <c r="J69" s="3" t="s">
        <v>705</v>
      </c>
      <c r="K69" s="3" t="s">
        <v>498</v>
      </c>
      <c r="L69" s="3" t="s">
        <v>448</v>
      </c>
      <c r="M69" s="3" t="s">
        <v>643</v>
      </c>
      <c r="N69" s="3" t="s">
        <v>445</v>
      </c>
      <c r="O69" s="3">
        <v>-7.8346600000000004</v>
      </c>
      <c r="P69" s="3">
        <v>36.907960000000003</v>
      </c>
      <c r="Q69" s="15">
        <v>43605</v>
      </c>
    </row>
    <row r="70" spans="1:17" ht="16" x14ac:dyDescent="0.2">
      <c r="A70" s="3" t="s">
        <v>112</v>
      </c>
      <c r="B70" s="3" t="s">
        <v>495</v>
      </c>
      <c r="C70" s="3" t="s">
        <v>634</v>
      </c>
      <c r="D70" s="3" t="s">
        <v>635</v>
      </c>
      <c r="E70" s="3" t="s">
        <v>706</v>
      </c>
      <c r="F70" s="3" t="s">
        <v>637</v>
      </c>
      <c r="G70" s="3" t="s">
        <v>680</v>
      </c>
      <c r="H70" s="3" t="s">
        <v>681</v>
      </c>
      <c r="I70" s="3" t="s">
        <v>640</v>
      </c>
      <c r="J70" s="3" t="s">
        <v>705</v>
      </c>
      <c r="K70" s="3" t="s">
        <v>498</v>
      </c>
      <c r="L70" s="3" t="s">
        <v>448</v>
      </c>
      <c r="M70" s="3" t="s">
        <v>643</v>
      </c>
      <c r="N70" s="3" t="s">
        <v>445</v>
      </c>
      <c r="O70" s="3">
        <v>-7.8346600000000004</v>
      </c>
      <c r="P70" s="3">
        <v>36.907960000000003</v>
      </c>
      <c r="Q70" s="15">
        <v>43605</v>
      </c>
    </row>
    <row r="71" spans="1:17" ht="16" x14ac:dyDescent="0.2">
      <c r="A71" s="3" t="s">
        <v>150</v>
      </c>
      <c r="B71" s="3" t="s">
        <v>499</v>
      </c>
      <c r="C71" s="3" t="s">
        <v>634</v>
      </c>
      <c r="D71" s="3" t="s">
        <v>635</v>
      </c>
      <c r="E71" s="3" t="s">
        <v>8</v>
      </c>
      <c r="F71" s="3" t="s">
        <v>637</v>
      </c>
      <c r="G71" s="3" t="s">
        <v>654</v>
      </c>
      <c r="H71" s="3" t="s">
        <v>655</v>
      </c>
      <c r="I71" s="3" t="s">
        <v>640</v>
      </c>
      <c r="J71" s="3" t="s">
        <v>705</v>
      </c>
      <c r="K71" s="3" t="s">
        <v>502</v>
      </c>
      <c r="L71" s="3" t="s">
        <v>448</v>
      </c>
      <c r="M71" s="3" t="s">
        <v>643</v>
      </c>
      <c r="N71" s="3" t="s">
        <v>445</v>
      </c>
      <c r="O71" s="3">
        <v>-7.8411799999999996</v>
      </c>
      <c r="P71" s="3">
        <v>36.892099999999999</v>
      </c>
      <c r="Q71" s="15">
        <v>43605</v>
      </c>
    </row>
    <row r="72" spans="1:17" ht="16" x14ac:dyDescent="0.2">
      <c r="A72" s="3" t="s">
        <v>152</v>
      </c>
      <c r="B72" s="3" t="s">
        <v>499</v>
      </c>
      <c r="C72" s="3" t="s">
        <v>634</v>
      </c>
      <c r="D72" s="3" t="s">
        <v>635</v>
      </c>
      <c r="E72" s="3" t="s">
        <v>8</v>
      </c>
      <c r="F72" s="3" t="s">
        <v>637</v>
      </c>
      <c r="G72" s="3" t="s">
        <v>654</v>
      </c>
      <c r="H72" s="3" t="s">
        <v>655</v>
      </c>
      <c r="I72" s="3" t="s">
        <v>640</v>
      </c>
      <c r="J72" s="3" t="s">
        <v>705</v>
      </c>
      <c r="K72" s="3" t="s">
        <v>502</v>
      </c>
      <c r="L72" s="3" t="s">
        <v>448</v>
      </c>
      <c r="M72" s="3" t="s">
        <v>643</v>
      </c>
      <c r="N72" s="3" t="s">
        <v>445</v>
      </c>
      <c r="O72" s="3">
        <v>-7.8411799999999996</v>
      </c>
      <c r="P72" s="3">
        <v>36.892099999999999</v>
      </c>
      <c r="Q72" s="15">
        <v>43605</v>
      </c>
    </row>
    <row r="73" spans="1:17" ht="16" x14ac:dyDescent="0.2">
      <c r="A73" s="3" t="s">
        <v>166</v>
      </c>
      <c r="B73" s="3" t="s">
        <v>503</v>
      </c>
      <c r="C73" s="3" t="s">
        <v>634</v>
      </c>
      <c r="D73" s="3" t="s">
        <v>635</v>
      </c>
      <c r="E73" s="3" t="s">
        <v>707</v>
      </c>
      <c r="F73" s="3" t="s">
        <v>637</v>
      </c>
      <c r="G73" s="3" t="s">
        <v>654</v>
      </c>
      <c r="H73" s="3" t="s">
        <v>655</v>
      </c>
      <c r="I73" s="3" t="s">
        <v>640</v>
      </c>
      <c r="J73" s="3" t="s">
        <v>641</v>
      </c>
      <c r="K73" s="3" t="s">
        <v>506</v>
      </c>
      <c r="L73" s="3" t="s">
        <v>448</v>
      </c>
      <c r="M73" s="3" t="s">
        <v>708</v>
      </c>
      <c r="N73" s="3" t="s">
        <v>445</v>
      </c>
      <c r="O73" s="3">
        <v>-6.8646200000000004</v>
      </c>
      <c r="P73" s="3">
        <v>37.608379999999997</v>
      </c>
      <c r="Q73" s="15">
        <v>43609</v>
      </c>
    </row>
    <row r="74" spans="1:17" ht="16" x14ac:dyDescent="0.2">
      <c r="A74" s="3" t="s">
        <v>114</v>
      </c>
      <c r="B74" s="3" t="s">
        <v>503</v>
      </c>
      <c r="C74" s="3" t="s">
        <v>634</v>
      </c>
      <c r="D74" s="3" t="s">
        <v>635</v>
      </c>
      <c r="E74" s="3" t="s">
        <v>709</v>
      </c>
      <c r="F74" s="3" t="s">
        <v>637</v>
      </c>
      <c r="G74" s="3" t="s">
        <v>680</v>
      </c>
      <c r="H74" s="3" t="s">
        <v>681</v>
      </c>
      <c r="I74" s="3" t="s">
        <v>640</v>
      </c>
      <c r="J74" s="3" t="s">
        <v>641</v>
      </c>
      <c r="K74" s="3" t="s">
        <v>506</v>
      </c>
      <c r="L74" s="3" t="s">
        <v>448</v>
      </c>
      <c r="M74" s="3" t="s">
        <v>708</v>
      </c>
      <c r="N74" s="3" t="s">
        <v>445</v>
      </c>
      <c r="O74" s="3">
        <v>-6.8646200000000004</v>
      </c>
      <c r="P74" s="3">
        <v>37.608379999999997</v>
      </c>
      <c r="Q74" s="15">
        <v>43609</v>
      </c>
    </row>
    <row r="75" spans="1:17" ht="16" x14ac:dyDescent="0.2">
      <c r="A75" s="3" t="s">
        <v>168</v>
      </c>
      <c r="B75" s="3" t="s">
        <v>503</v>
      </c>
      <c r="C75" s="3" t="s">
        <v>634</v>
      </c>
      <c r="D75" s="3" t="s">
        <v>635</v>
      </c>
      <c r="E75" s="3" t="s">
        <v>710</v>
      </c>
      <c r="F75" s="3" t="s">
        <v>637</v>
      </c>
      <c r="G75" s="3" t="s">
        <v>654</v>
      </c>
      <c r="H75" s="3" t="s">
        <v>655</v>
      </c>
      <c r="I75" s="3" t="s">
        <v>640</v>
      </c>
      <c r="J75" s="3" t="s">
        <v>641</v>
      </c>
      <c r="K75" s="3" t="s">
        <v>506</v>
      </c>
      <c r="L75" s="3" t="s">
        <v>448</v>
      </c>
      <c r="M75" s="3" t="s">
        <v>708</v>
      </c>
      <c r="N75" s="3" t="s">
        <v>445</v>
      </c>
      <c r="O75" s="3">
        <v>-6.8646200000000004</v>
      </c>
      <c r="P75" s="3">
        <v>37.608379999999997</v>
      </c>
      <c r="Q75" s="15">
        <v>43609</v>
      </c>
    </row>
    <row r="76" spans="1:17" ht="16" x14ac:dyDescent="0.2">
      <c r="A76" s="3" t="s">
        <v>260</v>
      </c>
      <c r="B76" s="3" t="s">
        <v>503</v>
      </c>
      <c r="C76" s="3" t="s">
        <v>634</v>
      </c>
      <c r="D76" s="3" t="s">
        <v>635</v>
      </c>
      <c r="E76" s="3" t="s">
        <v>711</v>
      </c>
      <c r="F76" s="3" t="s">
        <v>637</v>
      </c>
      <c r="G76" s="3" t="s">
        <v>638</v>
      </c>
      <c r="H76" s="3" t="s">
        <v>639</v>
      </c>
      <c r="I76" s="3" t="s">
        <v>640</v>
      </c>
      <c r="J76" s="3" t="s">
        <v>641</v>
      </c>
      <c r="K76" s="3" t="s">
        <v>506</v>
      </c>
      <c r="L76" s="3" t="s">
        <v>448</v>
      </c>
      <c r="M76" s="3" t="s">
        <v>708</v>
      </c>
      <c r="N76" s="3" t="s">
        <v>445</v>
      </c>
      <c r="O76" s="3">
        <v>-6.8646200000000004</v>
      </c>
      <c r="P76" s="3">
        <v>37.608379999999997</v>
      </c>
      <c r="Q76" s="15">
        <v>43609</v>
      </c>
    </row>
    <row r="77" spans="1:17" ht="16" x14ac:dyDescent="0.2">
      <c r="A77" s="3" t="s">
        <v>262</v>
      </c>
      <c r="B77" s="3" t="s">
        <v>503</v>
      </c>
      <c r="C77" s="3" t="s">
        <v>634</v>
      </c>
      <c r="D77" s="3" t="s">
        <v>635</v>
      </c>
      <c r="E77" s="3" t="s">
        <v>712</v>
      </c>
      <c r="F77" s="3" t="s">
        <v>637</v>
      </c>
      <c r="G77" s="3" t="s">
        <v>638</v>
      </c>
      <c r="H77" s="3" t="s">
        <v>639</v>
      </c>
      <c r="I77" s="3" t="s">
        <v>640</v>
      </c>
      <c r="J77" s="3" t="s">
        <v>641</v>
      </c>
      <c r="K77" s="3" t="s">
        <v>506</v>
      </c>
      <c r="L77" s="3" t="s">
        <v>448</v>
      </c>
      <c r="M77" s="3" t="s">
        <v>708</v>
      </c>
      <c r="N77" s="3" t="s">
        <v>445</v>
      </c>
      <c r="O77" s="3">
        <v>-6.8646200000000004</v>
      </c>
      <c r="P77" s="3">
        <v>37.608379999999997</v>
      </c>
      <c r="Q77" s="15">
        <v>43609</v>
      </c>
    </row>
    <row r="78" spans="1:17" ht="16" x14ac:dyDescent="0.2">
      <c r="A78" s="3" t="s">
        <v>116</v>
      </c>
      <c r="B78" s="3" t="s">
        <v>503</v>
      </c>
      <c r="C78" s="3" t="s">
        <v>634</v>
      </c>
      <c r="D78" s="3" t="s">
        <v>635</v>
      </c>
      <c r="E78" s="3" t="s">
        <v>713</v>
      </c>
      <c r="F78" s="3" t="s">
        <v>637</v>
      </c>
      <c r="G78" s="3" t="s">
        <v>680</v>
      </c>
      <c r="H78" s="3" t="s">
        <v>681</v>
      </c>
      <c r="I78" s="3" t="s">
        <v>640</v>
      </c>
      <c r="J78" s="3" t="s">
        <v>641</v>
      </c>
      <c r="K78" s="3" t="s">
        <v>506</v>
      </c>
      <c r="L78" s="3" t="s">
        <v>448</v>
      </c>
      <c r="M78" s="3" t="s">
        <v>708</v>
      </c>
      <c r="N78" s="3" t="s">
        <v>445</v>
      </c>
      <c r="O78" s="3">
        <v>-6.8646200000000004</v>
      </c>
      <c r="P78" s="3">
        <v>37.608379999999997</v>
      </c>
      <c r="Q78" s="15">
        <v>43609</v>
      </c>
    </row>
    <row r="79" spans="1:17" ht="16" x14ac:dyDescent="0.2">
      <c r="A79" s="3" t="s">
        <v>264</v>
      </c>
      <c r="B79" s="3" t="s">
        <v>503</v>
      </c>
      <c r="C79" s="3" t="s">
        <v>634</v>
      </c>
      <c r="D79" s="3" t="s">
        <v>635</v>
      </c>
      <c r="E79" s="3" t="s">
        <v>714</v>
      </c>
      <c r="F79" s="3" t="s">
        <v>637</v>
      </c>
      <c r="G79" s="3" t="s">
        <v>638</v>
      </c>
      <c r="H79" s="3" t="s">
        <v>639</v>
      </c>
      <c r="I79" s="3" t="s">
        <v>640</v>
      </c>
      <c r="J79" s="3" t="s">
        <v>641</v>
      </c>
      <c r="K79" s="3" t="s">
        <v>506</v>
      </c>
      <c r="L79" s="3" t="s">
        <v>448</v>
      </c>
      <c r="M79" s="3" t="s">
        <v>708</v>
      </c>
      <c r="N79" s="3" t="s">
        <v>445</v>
      </c>
      <c r="O79" s="3">
        <v>-6.8646200000000004</v>
      </c>
      <c r="P79" s="3">
        <v>37.608379999999997</v>
      </c>
      <c r="Q79" s="15">
        <v>43609</v>
      </c>
    </row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BCC2-AEAB-124E-9301-98206093ED2E}">
  <dimension ref="A1:DO471"/>
  <sheetViews>
    <sheetView zoomScale="80" zoomScaleNormal="80" workbookViewId="0"/>
  </sheetViews>
  <sheetFormatPr baseColWidth="10" defaultColWidth="12.83203125" defaultRowHeight="16" customHeight="1" x14ac:dyDescent="0.2"/>
  <cols>
    <col min="1" max="1" width="12.83203125" style="3"/>
    <col min="2" max="2" width="25.33203125" style="3" customWidth="1"/>
    <col min="3" max="3" width="25.6640625" style="3" customWidth="1"/>
    <col min="4" max="4" width="28.5" style="3" customWidth="1"/>
    <col min="5" max="5" width="20.83203125" style="3" customWidth="1"/>
    <col min="6" max="6" width="8.5" style="3" customWidth="1"/>
    <col min="7" max="7" width="19.6640625" style="3" customWidth="1"/>
    <col min="8" max="8" width="14.5" style="3" customWidth="1"/>
    <col min="9" max="9" width="13.83203125" style="3" customWidth="1"/>
    <col min="10" max="10" width="7.1640625" style="3" customWidth="1"/>
    <col min="11" max="11" width="13.83203125" style="3" customWidth="1"/>
    <col min="12" max="12" width="13.6640625" style="3" customWidth="1"/>
    <col min="13" max="13" width="23.5" style="3" customWidth="1"/>
    <col min="14" max="14" width="18" style="3" customWidth="1"/>
    <col min="15" max="15" width="33.33203125" style="3" customWidth="1"/>
    <col min="16" max="16384" width="12.83203125" style="3"/>
  </cols>
  <sheetData>
    <row r="1" spans="1:119" ht="16" customHeight="1" x14ac:dyDescent="0.2">
      <c r="A1" s="6" t="s">
        <v>8017</v>
      </c>
      <c r="O1" s="3" t="s">
        <v>715</v>
      </c>
    </row>
    <row r="3" spans="1:119" ht="16" customHeight="1" x14ac:dyDescent="0.2">
      <c r="A3" s="13" t="s">
        <v>716</v>
      </c>
      <c r="B3" s="13" t="s">
        <v>422</v>
      </c>
      <c r="C3" s="13" t="s">
        <v>427</v>
      </c>
      <c r="D3" s="13" t="s">
        <v>426</v>
      </c>
      <c r="E3" s="13" t="s">
        <v>428</v>
      </c>
      <c r="F3" s="13" t="s">
        <v>717</v>
      </c>
      <c r="G3" s="13" t="s">
        <v>718</v>
      </c>
      <c r="H3" s="13" t="s">
        <v>719</v>
      </c>
      <c r="I3" s="13" t="s">
        <v>720</v>
      </c>
      <c r="J3" s="13" t="s">
        <v>440</v>
      </c>
      <c r="K3" s="13" t="s">
        <v>721</v>
      </c>
      <c r="L3" s="13" t="s">
        <v>722</v>
      </c>
      <c r="M3" s="13" t="s">
        <v>723</v>
      </c>
      <c r="N3" s="1" t="s">
        <v>724</v>
      </c>
      <c r="O3" s="13" t="s">
        <v>725</v>
      </c>
    </row>
    <row r="4" spans="1:119" s="22" customFormat="1" ht="16" customHeight="1" x14ac:dyDescent="0.2">
      <c r="A4" s="16">
        <v>514</v>
      </c>
      <c r="B4" s="16" t="s">
        <v>442</v>
      </c>
      <c r="C4" s="16" t="s">
        <v>726</v>
      </c>
      <c r="D4" s="16" t="s">
        <v>727</v>
      </c>
      <c r="E4" s="16" t="s">
        <v>446</v>
      </c>
      <c r="F4" s="16" t="s">
        <v>638</v>
      </c>
      <c r="G4" s="16" t="s">
        <v>728</v>
      </c>
      <c r="H4" s="17">
        <v>43626</v>
      </c>
      <c r="I4" s="16">
        <v>5</v>
      </c>
      <c r="J4" s="16">
        <v>70</v>
      </c>
      <c r="K4" s="16">
        <v>1722.6938488568101</v>
      </c>
      <c r="L4" s="16" t="s">
        <v>451</v>
      </c>
      <c r="M4" s="16" t="s">
        <v>451</v>
      </c>
      <c r="N4" s="16">
        <f t="shared" ref="N4:N67" si="0">K4*I4*(1000/J4)</f>
        <v>123049.56063262929</v>
      </c>
      <c r="O4" s="16" t="s">
        <v>451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</row>
    <row r="5" spans="1:119" s="22" customFormat="1" ht="16" customHeight="1" x14ac:dyDescent="0.2">
      <c r="A5" s="16">
        <v>521</v>
      </c>
      <c r="B5" s="16" t="s">
        <v>442</v>
      </c>
      <c r="C5" s="16" t="s">
        <v>726</v>
      </c>
      <c r="D5" s="16" t="s">
        <v>727</v>
      </c>
      <c r="E5" s="16" t="s">
        <v>446</v>
      </c>
      <c r="F5" s="16" t="s">
        <v>638</v>
      </c>
      <c r="G5" s="16" t="s">
        <v>728</v>
      </c>
      <c r="H5" s="17">
        <v>43626</v>
      </c>
      <c r="I5" s="16">
        <v>5</v>
      </c>
      <c r="J5" s="16">
        <v>70</v>
      </c>
      <c r="K5" s="16">
        <v>2540.2893223711499</v>
      </c>
      <c r="L5" s="16" t="s">
        <v>451</v>
      </c>
      <c r="M5" s="16" t="s">
        <v>451</v>
      </c>
      <c r="N5" s="16">
        <f t="shared" si="0"/>
        <v>181449.23731222501</v>
      </c>
      <c r="O5" s="16" t="s">
        <v>451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</row>
    <row r="6" spans="1:119" s="22" customFormat="1" ht="16" customHeight="1" x14ac:dyDescent="0.2">
      <c r="A6" s="16">
        <v>528</v>
      </c>
      <c r="B6" s="16" t="s">
        <v>442</v>
      </c>
      <c r="C6" s="16" t="s">
        <v>726</v>
      </c>
      <c r="D6" s="16" t="s">
        <v>727</v>
      </c>
      <c r="E6" s="16" t="s">
        <v>446</v>
      </c>
      <c r="F6" s="16" t="s">
        <v>638</v>
      </c>
      <c r="G6" s="16" t="s">
        <v>728</v>
      </c>
      <c r="H6" s="17">
        <v>43626</v>
      </c>
      <c r="I6" s="16">
        <v>5</v>
      </c>
      <c r="J6" s="16">
        <v>70</v>
      </c>
      <c r="K6" s="16">
        <v>2287.4655513627899</v>
      </c>
      <c r="L6" s="16" t="s">
        <v>451</v>
      </c>
      <c r="M6" s="16" t="s">
        <v>451</v>
      </c>
      <c r="N6" s="16">
        <f t="shared" si="0"/>
        <v>163390.39652591356</v>
      </c>
      <c r="O6" s="16" t="s">
        <v>451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</row>
    <row r="7" spans="1:119" s="22" customFormat="1" ht="16" customHeight="1" x14ac:dyDescent="0.2">
      <c r="A7" s="16">
        <v>535</v>
      </c>
      <c r="B7" s="16" t="s">
        <v>442</v>
      </c>
      <c r="C7" s="16" t="s">
        <v>726</v>
      </c>
      <c r="D7" s="16" t="s">
        <v>727</v>
      </c>
      <c r="E7" s="16" t="s">
        <v>446</v>
      </c>
      <c r="F7" s="16" t="s">
        <v>638</v>
      </c>
      <c r="G7" s="16" t="s">
        <v>729</v>
      </c>
      <c r="H7" s="17">
        <v>43626</v>
      </c>
      <c r="I7" s="16">
        <v>5</v>
      </c>
      <c r="J7" s="16">
        <v>70</v>
      </c>
      <c r="K7" s="16">
        <v>1209.72743347658</v>
      </c>
      <c r="L7" s="16" t="s">
        <v>451</v>
      </c>
      <c r="M7" s="16" t="s">
        <v>451</v>
      </c>
      <c r="N7" s="16">
        <f t="shared" si="0"/>
        <v>86409.102391184293</v>
      </c>
      <c r="O7" s="16" t="s">
        <v>451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</row>
    <row r="8" spans="1:119" s="20" customFormat="1" ht="16" customHeight="1" x14ac:dyDescent="0.2">
      <c r="A8" s="16">
        <v>541</v>
      </c>
      <c r="B8" s="16" t="s">
        <v>442</v>
      </c>
      <c r="C8" s="16" t="s">
        <v>726</v>
      </c>
      <c r="D8" s="16" t="s">
        <v>727</v>
      </c>
      <c r="E8" s="16" t="s">
        <v>446</v>
      </c>
      <c r="F8" s="16" t="s">
        <v>638</v>
      </c>
      <c r="G8" s="16" t="s">
        <v>729</v>
      </c>
      <c r="H8" s="17">
        <v>43626</v>
      </c>
      <c r="I8" s="16">
        <v>5</v>
      </c>
      <c r="J8" s="16">
        <v>70</v>
      </c>
      <c r="K8" s="16">
        <v>1420.9507818817999</v>
      </c>
      <c r="L8" s="16" t="s">
        <v>451</v>
      </c>
      <c r="M8" s="16" t="s">
        <v>451</v>
      </c>
      <c r="N8" s="16">
        <f t="shared" si="0"/>
        <v>101496.48442012857</v>
      </c>
      <c r="O8" s="16" t="s">
        <v>451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</row>
    <row r="9" spans="1:119" s="20" customFormat="1" ht="16" customHeight="1" x14ac:dyDescent="0.2">
      <c r="A9" s="16">
        <v>547</v>
      </c>
      <c r="B9" s="16" t="s">
        <v>442</v>
      </c>
      <c r="C9" s="16" t="s">
        <v>726</v>
      </c>
      <c r="D9" s="16" t="s">
        <v>727</v>
      </c>
      <c r="E9" s="16" t="s">
        <v>446</v>
      </c>
      <c r="F9" s="16" t="s">
        <v>638</v>
      </c>
      <c r="G9" s="16" t="s">
        <v>729</v>
      </c>
      <c r="H9" s="17">
        <v>43626</v>
      </c>
      <c r="I9" s="16">
        <v>5</v>
      </c>
      <c r="J9" s="16">
        <v>70</v>
      </c>
      <c r="K9" s="16">
        <v>1544.2308085757099</v>
      </c>
      <c r="L9" s="16" t="s">
        <v>451</v>
      </c>
      <c r="M9" s="16" t="s">
        <v>451</v>
      </c>
      <c r="N9" s="16">
        <f t="shared" si="0"/>
        <v>110302.20061255072</v>
      </c>
      <c r="O9" s="16" t="s">
        <v>451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</row>
    <row r="10" spans="1:119" s="20" customFormat="1" ht="16" customHeight="1" x14ac:dyDescent="0.2">
      <c r="A10" s="16">
        <v>515</v>
      </c>
      <c r="B10" s="16" t="s">
        <v>442</v>
      </c>
      <c r="C10" s="16" t="s">
        <v>726</v>
      </c>
      <c r="D10" s="16" t="s">
        <v>727</v>
      </c>
      <c r="E10" s="16" t="s">
        <v>446</v>
      </c>
      <c r="F10" s="16" t="s">
        <v>638</v>
      </c>
      <c r="G10" s="16" t="s">
        <v>730</v>
      </c>
      <c r="H10" s="17">
        <v>43626</v>
      </c>
      <c r="I10" s="16">
        <v>5</v>
      </c>
      <c r="J10" s="16">
        <v>70</v>
      </c>
      <c r="K10" s="16">
        <v>1121.72017054958</v>
      </c>
      <c r="L10" s="16" t="s">
        <v>451</v>
      </c>
      <c r="M10" s="16" t="s">
        <v>451</v>
      </c>
      <c r="N10" s="16">
        <f t="shared" si="0"/>
        <v>80122.869324970001</v>
      </c>
      <c r="O10" s="16" t="s">
        <v>451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</row>
    <row r="11" spans="1:119" s="20" customFormat="1" ht="16" customHeight="1" x14ac:dyDescent="0.2">
      <c r="A11" s="16">
        <v>522</v>
      </c>
      <c r="B11" s="16" t="s">
        <v>442</v>
      </c>
      <c r="C11" s="16" t="s">
        <v>726</v>
      </c>
      <c r="D11" s="16" t="s">
        <v>727</v>
      </c>
      <c r="E11" s="16" t="s">
        <v>446</v>
      </c>
      <c r="F11" s="16" t="s">
        <v>638</v>
      </c>
      <c r="G11" s="16" t="s">
        <v>730</v>
      </c>
      <c r="H11" s="17">
        <v>43626</v>
      </c>
      <c r="I11" s="16">
        <v>5</v>
      </c>
      <c r="J11" s="16">
        <v>70</v>
      </c>
      <c r="K11" s="16">
        <v>1223.7566406307601</v>
      </c>
      <c r="L11" s="16" t="s">
        <v>451</v>
      </c>
      <c r="M11" s="16" t="s">
        <v>451</v>
      </c>
      <c r="N11" s="16">
        <f t="shared" si="0"/>
        <v>87411.188616482861</v>
      </c>
      <c r="O11" s="16" t="s">
        <v>451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</row>
    <row r="12" spans="1:119" s="20" customFormat="1" ht="16" customHeight="1" x14ac:dyDescent="0.2">
      <c r="A12" s="16">
        <v>529</v>
      </c>
      <c r="B12" s="16" t="s">
        <v>442</v>
      </c>
      <c r="C12" s="16" t="s">
        <v>726</v>
      </c>
      <c r="D12" s="16" t="s">
        <v>727</v>
      </c>
      <c r="E12" s="16" t="s">
        <v>446</v>
      </c>
      <c r="F12" s="16" t="s">
        <v>638</v>
      </c>
      <c r="G12" s="16" t="s">
        <v>730</v>
      </c>
      <c r="H12" s="17">
        <v>43626</v>
      </c>
      <c r="I12" s="16">
        <v>5</v>
      </c>
      <c r="J12" s="16">
        <v>70</v>
      </c>
      <c r="K12" s="16">
        <v>1268.2233129782701</v>
      </c>
      <c r="L12" s="16" t="s">
        <v>451</v>
      </c>
      <c r="M12" s="16" t="s">
        <v>451</v>
      </c>
      <c r="N12" s="16">
        <f t="shared" si="0"/>
        <v>90587.379498447859</v>
      </c>
      <c r="O12" s="16" t="s">
        <v>451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</row>
    <row r="13" spans="1:119" s="20" customFormat="1" ht="16" customHeight="1" x14ac:dyDescent="0.2">
      <c r="A13" s="18">
        <v>536</v>
      </c>
      <c r="B13" s="18" t="s">
        <v>452</v>
      </c>
      <c r="C13" s="18" t="s">
        <v>726</v>
      </c>
      <c r="D13" s="18" t="s">
        <v>731</v>
      </c>
      <c r="E13" s="18" t="s">
        <v>446</v>
      </c>
      <c r="F13" s="18" t="s">
        <v>638</v>
      </c>
      <c r="G13" s="18" t="s">
        <v>732</v>
      </c>
      <c r="H13" s="19">
        <v>43627</v>
      </c>
      <c r="I13" s="18">
        <v>5</v>
      </c>
      <c r="J13" s="18">
        <v>60</v>
      </c>
      <c r="K13" s="18">
        <v>0</v>
      </c>
      <c r="L13" s="18" t="s">
        <v>451</v>
      </c>
      <c r="M13" s="18" t="s">
        <v>451</v>
      </c>
      <c r="N13" s="18">
        <f t="shared" si="0"/>
        <v>0</v>
      </c>
      <c r="O13" s="18" t="s">
        <v>451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</row>
    <row r="14" spans="1:119" s="20" customFormat="1" ht="16" customHeight="1" x14ac:dyDescent="0.2">
      <c r="A14" s="18">
        <v>542</v>
      </c>
      <c r="B14" s="18" t="s">
        <v>452</v>
      </c>
      <c r="C14" s="18" t="s">
        <v>726</v>
      </c>
      <c r="D14" s="18" t="s">
        <v>731</v>
      </c>
      <c r="E14" s="18" t="s">
        <v>446</v>
      </c>
      <c r="F14" s="18" t="s">
        <v>638</v>
      </c>
      <c r="G14" s="18" t="s">
        <v>732</v>
      </c>
      <c r="H14" s="19">
        <v>43627</v>
      </c>
      <c r="I14" s="18">
        <v>5</v>
      </c>
      <c r="J14" s="18">
        <v>60</v>
      </c>
      <c r="K14" s="18">
        <v>0</v>
      </c>
      <c r="L14" s="18" t="s">
        <v>451</v>
      </c>
      <c r="M14" s="18" t="s">
        <v>451</v>
      </c>
      <c r="N14" s="18">
        <f t="shared" si="0"/>
        <v>0</v>
      </c>
      <c r="O14" s="18" t="s">
        <v>451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</row>
    <row r="15" spans="1:119" s="20" customFormat="1" ht="16" customHeight="1" x14ac:dyDescent="0.2">
      <c r="A15" s="18">
        <v>548</v>
      </c>
      <c r="B15" s="18" t="s">
        <v>452</v>
      </c>
      <c r="C15" s="18" t="s">
        <v>726</v>
      </c>
      <c r="D15" s="18" t="s">
        <v>731</v>
      </c>
      <c r="E15" s="18" t="s">
        <v>446</v>
      </c>
      <c r="F15" s="18" t="s">
        <v>638</v>
      </c>
      <c r="G15" s="18" t="s">
        <v>732</v>
      </c>
      <c r="H15" s="19">
        <v>43627</v>
      </c>
      <c r="I15" s="18">
        <v>5</v>
      </c>
      <c r="J15" s="18">
        <v>60</v>
      </c>
      <c r="K15" s="18">
        <v>0</v>
      </c>
      <c r="L15" s="18" t="s">
        <v>451</v>
      </c>
      <c r="M15" s="18" t="s">
        <v>451</v>
      </c>
      <c r="N15" s="18">
        <f t="shared" si="0"/>
        <v>0</v>
      </c>
      <c r="O15" s="18" t="s">
        <v>451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</row>
    <row r="16" spans="1:119" s="20" customFormat="1" ht="16" customHeight="1" x14ac:dyDescent="0.2">
      <c r="A16" s="18">
        <v>516</v>
      </c>
      <c r="B16" s="18" t="s">
        <v>452</v>
      </c>
      <c r="C16" s="18" t="s">
        <v>726</v>
      </c>
      <c r="D16" s="18" t="s">
        <v>731</v>
      </c>
      <c r="E16" s="18" t="s">
        <v>446</v>
      </c>
      <c r="F16" s="18" t="s">
        <v>638</v>
      </c>
      <c r="G16" s="18" t="s">
        <v>733</v>
      </c>
      <c r="H16" s="19">
        <v>43627</v>
      </c>
      <c r="I16" s="18">
        <v>5</v>
      </c>
      <c r="J16" s="18">
        <v>60</v>
      </c>
      <c r="K16" s="18">
        <v>0</v>
      </c>
      <c r="L16" s="18" t="s">
        <v>451</v>
      </c>
      <c r="M16" s="18" t="s">
        <v>451</v>
      </c>
      <c r="N16" s="18">
        <f t="shared" si="0"/>
        <v>0</v>
      </c>
      <c r="O16" s="18" t="s">
        <v>451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</row>
    <row r="17" spans="1:119" s="20" customFormat="1" ht="16" customHeight="1" x14ac:dyDescent="0.2">
      <c r="A17" s="18">
        <v>523</v>
      </c>
      <c r="B17" s="18" t="s">
        <v>452</v>
      </c>
      <c r="C17" s="18" t="s">
        <v>726</v>
      </c>
      <c r="D17" s="18" t="s">
        <v>731</v>
      </c>
      <c r="E17" s="18" t="s">
        <v>446</v>
      </c>
      <c r="F17" s="18" t="s">
        <v>638</v>
      </c>
      <c r="G17" s="18" t="s">
        <v>733</v>
      </c>
      <c r="H17" s="19">
        <v>43627</v>
      </c>
      <c r="I17" s="18">
        <v>5</v>
      </c>
      <c r="J17" s="18">
        <v>60</v>
      </c>
      <c r="K17" s="18">
        <v>0</v>
      </c>
      <c r="L17" s="18" t="s">
        <v>451</v>
      </c>
      <c r="M17" s="18" t="s">
        <v>451</v>
      </c>
      <c r="N17" s="18">
        <f t="shared" si="0"/>
        <v>0</v>
      </c>
      <c r="O17" s="18" t="s">
        <v>451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</row>
    <row r="18" spans="1:119" s="20" customFormat="1" ht="16" customHeight="1" x14ac:dyDescent="0.2">
      <c r="A18" s="18">
        <v>530</v>
      </c>
      <c r="B18" s="18" t="s">
        <v>452</v>
      </c>
      <c r="C18" s="18" t="s">
        <v>726</v>
      </c>
      <c r="D18" s="18" t="s">
        <v>731</v>
      </c>
      <c r="E18" s="18" t="s">
        <v>446</v>
      </c>
      <c r="F18" s="18" t="s">
        <v>638</v>
      </c>
      <c r="G18" s="18" t="s">
        <v>733</v>
      </c>
      <c r="H18" s="19">
        <v>43627</v>
      </c>
      <c r="I18" s="18">
        <v>5</v>
      </c>
      <c r="J18" s="18">
        <v>60</v>
      </c>
      <c r="K18" s="18">
        <v>0</v>
      </c>
      <c r="L18" s="18" t="s">
        <v>451</v>
      </c>
      <c r="M18" s="18" t="s">
        <v>451</v>
      </c>
      <c r="N18" s="18">
        <f t="shared" si="0"/>
        <v>0</v>
      </c>
      <c r="O18" s="18" t="s">
        <v>451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</row>
    <row r="19" spans="1:119" s="20" customFormat="1" ht="16" customHeight="1" x14ac:dyDescent="0.2">
      <c r="A19" s="18">
        <v>537</v>
      </c>
      <c r="B19" s="18" t="s">
        <v>452</v>
      </c>
      <c r="C19" s="18" t="s">
        <v>726</v>
      </c>
      <c r="D19" s="18" t="s">
        <v>731</v>
      </c>
      <c r="E19" s="18" t="s">
        <v>446</v>
      </c>
      <c r="F19" s="18" t="s">
        <v>638</v>
      </c>
      <c r="G19" s="18" t="s">
        <v>734</v>
      </c>
      <c r="H19" s="19">
        <v>43627</v>
      </c>
      <c r="I19" s="18">
        <v>5</v>
      </c>
      <c r="J19" s="18">
        <v>60</v>
      </c>
      <c r="K19" s="18">
        <v>17.599720449949601</v>
      </c>
      <c r="L19" s="18" t="s">
        <v>451</v>
      </c>
      <c r="M19" s="18" t="s">
        <v>451</v>
      </c>
      <c r="N19" s="18">
        <f t="shared" si="0"/>
        <v>1466.6433708291336</v>
      </c>
      <c r="O19" s="18" t="s">
        <v>451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</row>
    <row r="20" spans="1:119" s="20" customFormat="1" ht="16" customHeight="1" x14ac:dyDescent="0.2">
      <c r="A20" s="18">
        <v>543</v>
      </c>
      <c r="B20" s="18" t="s">
        <v>452</v>
      </c>
      <c r="C20" s="18" t="s">
        <v>726</v>
      </c>
      <c r="D20" s="18" t="s">
        <v>731</v>
      </c>
      <c r="E20" s="18" t="s">
        <v>446</v>
      </c>
      <c r="F20" s="18" t="s">
        <v>638</v>
      </c>
      <c r="G20" s="18" t="s">
        <v>734</v>
      </c>
      <c r="H20" s="19">
        <v>43627</v>
      </c>
      <c r="I20" s="18">
        <v>5</v>
      </c>
      <c r="J20" s="18">
        <v>60</v>
      </c>
      <c r="K20" s="18">
        <v>13.945057223454899</v>
      </c>
      <c r="L20" s="18" t="s">
        <v>451</v>
      </c>
      <c r="M20" s="18" t="s">
        <v>451</v>
      </c>
      <c r="N20" s="18">
        <f t="shared" si="0"/>
        <v>1162.088101954575</v>
      </c>
      <c r="O20" s="18" t="s">
        <v>451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</row>
    <row r="21" spans="1:119" s="20" customFormat="1" ht="16" customHeight="1" x14ac:dyDescent="0.2">
      <c r="A21" s="18">
        <v>549</v>
      </c>
      <c r="B21" s="18" t="s">
        <v>452</v>
      </c>
      <c r="C21" s="18" t="s">
        <v>726</v>
      </c>
      <c r="D21" s="18" t="s">
        <v>731</v>
      </c>
      <c r="E21" s="18" t="s">
        <v>446</v>
      </c>
      <c r="F21" s="18" t="s">
        <v>638</v>
      </c>
      <c r="G21" s="18" t="s">
        <v>734</v>
      </c>
      <c r="H21" s="19">
        <v>43627</v>
      </c>
      <c r="I21" s="18">
        <v>5</v>
      </c>
      <c r="J21" s="18">
        <v>60</v>
      </c>
      <c r="K21" s="18">
        <v>42.308946892491697</v>
      </c>
      <c r="L21" s="18" t="s">
        <v>451</v>
      </c>
      <c r="M21" s="18" t="s">
        <v>451</v>
      </c>
      <c r="N21" s="18">
        <f t="shared" si="0"/>
        <v>3525.745574374308</v>
      </c>
      <c r="O21" s="18" t="s">
        <v>451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</row>
    <row r="22" spans="1:119" s="20" customFormat="1" ht="16" customHeight="1" x14ac:dyDescent="0.2">
      <c r="A22" s="16">
        <v>517</v>
      </c>
      <c r="B22" s="16" t="s">
        <v>454</v>
      </c>
      <c r="C22" s="16" t="s">
        <v>726</v>
      </c>
      <c r="D22" s="16" t="s">
        <v>735</v>
      </c>
      <c r="E22" s="16" t="s">
        <v>446</v>
      </c>
      <c r="F22" s="16" t="s">
        <v>638</v>
      </c>
      <c r="G22" s="16" t="s">
        <v>736</v>
      </c>
      <c r="H22" s="17">
        <v>43627</v>
      </c>
      <c r="I22" s="16">
        <v>5</v>
      </c>
      <c r="J22" s="16">
        <v>50</v>
      </c>
      <c r="K22" s="16">
        <v>37.474729414438499</v>
      </c>
      <c r="L22" s="16" t="s">
        <v>451</v>
      </c>
      <c r="M22" s="16" t="s">
        <v>451</v>
      </c>
      <c r="N22" s="16">
        <f t="shared" si="0"/>
        <v>3747.4729414438502</v>
      </c>
      <c r="O22" s="16" t="s">
        <v>451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</row>
    <row r="23" spans="1:119" s="20" customFormat="1" ht="16" customHeight="1" x14ac:dyDescent="0.2">
      <c r="A23" s="16">
        <v>524</v>
      </c>
      <c r="B23" s="16" t="s">
        <v>454</v>
      </c>
      <c r="C23" s="16" t="s">
        <v>726</v>
      </c>
      <c r="D23" s="16" t="s">
        <v>735</v>
      </c>
      <c r="E23" s="16" t="s">
        <v>446</v>
      </c>
      <c r="F23" s="16" t="s">
        <v>638</v>
      </c>
      <c r="G23" s="16" t="s">
        <v>736</v>
      </c>
      <c r="H23" s="17">
        <v>43627</v>
      </c>
      <c r="I23" s="16">
        <v>5</v>
      </c>
      <c r="J23" s="16">
        <v>50</v>
      </c>
      <c r="K23" s="16">
        <v>40.802452842792597</v>
      </c>
      <c r="L23" s="16" t="s">
        <v>451</v>
      </c>
      <c r="M23" s="16" t="s">
        <v>451</v>
      </c>
      <c r="N23" s="16">
        <f t="shared" si="0"/>
        <v>4080.24528427926</v>
      </c>
      <c r="O23" s="16" t="s">
        <v>451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</row>
    <row r="24" spans="1:119" s="20" customFormat="1" ht="16" customHeight="1" x14ac:dyDescent="0.2">
      <c r="A24" s="16">
        <v>531</v>
      </c>
      <c r="B24" s="16" t="s">
        <v>454</v>
      </c>
      <c r="C24" s="16" t="s">
        <v>726</v>
      </c>
      <c r="D24" s="16" t="s">
        <v>735</v>
      </c>
      <c r="E24" s="16" t="s">
        <v>446</v>
      </c>
      <c r="F24" s="16" t="s">
        <v>638</v>
      </c>
      <c r="G24" s="16" t="s">
        <v>736</v>
      </c>
      <c r="H24" s="17">
        <v>43627</v>
      </c>
      <c r="I24" s="16">
        <v>5</v>
      </c>
      <c r="J24" s="16">
        <v>50</v>
      </c>
      <c r="K24" s="16">
        <v>56.230570708102903</v>
      </c>
      <c r="L24" s="16" t="s">
        <v>451</v>
      </c>
      <c r="M24" s="16" t="s">
        <v>451</v>
      </c>
      <c r="N24" s="16">
        <f t="shared" si="0"/>
        <v>5623.0570708102905</v>
      </c>
      <c r="O24" s="16" t="s">
        <v>451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</row>
    <row r="25" spans="1:119" s="20" customFormat="1" ht="16" customHeight="1" x14ac:dyDescent="0.2">
      <c r="A25" s="16">
        <v>538</v>
      </c>
      <c r="B25" s="16" t="s">
        <v>454</v>
      </c>
      <c r="C25" s="16" t="s">
        <v>726</v>
      </c>
      <c r="D25" s="16" t="s">
        <v>735</v>
      </c>
      <c r="E25" s="16" t="s">
        <v>446</v>
      </c>
      <c r="F25" s="16" t="s">
        <v>638</v>
      </c>
      <c r="G25" s="16" t="s">
        <v>737</v>
      </c>
      <c r="H25" s="17">
        <v>43627</v>
      </c>
      <c r="I25" s="16">
        <v>5</v>
      </c>
      <c r="J25" s="16">
        <v>50</v>
      </c>
      <c r="K25" s="16">
        <v>48.162591361669797</v>
      </c>
      <c r="L25" s="16" t="s">
        <v>451</v>
      </c>
      <c r="M25" s="16" t="s">
        <v>451</v>
      </c>
      <c r="N25" s="16">
        <f t="shared" si="0"/>
        <v>4816.2591361669802</v>
      </c>
      <c r="O25" s="16" t="s">
        <v>451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</row>
    <row r="26" spans="1:119" s="20" customFormat="1" ht="16" customHeight="1" x14ac:dyDescent="0.2">
      <c r="A26" s="16">
        <v>544</v>
      </c>
      <c r="B26" s="16" t="s">
        <v>454</v>
      </c>
      <c r="C26" s="16" t="s">
        <v>726</v>
      </c>
      <c r="D26" s="16" t="s">
        <v>735</v>
      </c>
      <c r="E26" s="16" t="s">
        <v>446</v>
      </c>
      <c r="F26" s="16" t="s">
        <v>638</v>
      </c>
      <c r="G26" s="16" t="s">
        <v>737</v>
      </c>
      <c r="H26" s="17">
        <v>43627</v>
      </c>
      <c r="I26" s="16">
        <v>5</v>
      </c>
      <c r="J26" s="16">
        <v>50</v>
      </c>
      <c r="K26" s="16">
        <v>0</v>
      </c>
      <c r="L26" s="16" t="s">
        <v>451</v>
      </c>
      <c r="M26" s="16" t="s">
        <v>451</v>
      </c>
      <c r="N26" s="16">
        <f t="shared" si="0"/>
        <v>0</v>
      </c>
      <c r="O26" s="16" t="s">
        <v>451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</row>
    <row r="27" spans="1:119" s="20" customFormat="1" ht="16" customHeight="1" x14ac:dyDescent="0.2">
      <c r="A27" s="16">
        <v>550</v>
      </c>
      <c r="B27" s="16" t="s">
        <v>454</v>
      </c>
      <c r="C27" s="16" t="s">
        <v>726</v>
      </c>
      <c r="D27" s="16" t="s">
        <v>735</v>
      </c>
      <c r="E27" s="16" t="s">
        <v>446</v>
      </c>
      <c r="F27" s="16" t="s">
        <v>638</v>
      </c>
      <c r="G27" s="16" t="s">
        <v>737</v>
      </c>
      <c r="H27" s="17">
        <v>43627</v>
      </c>
      <c r="I27" s="16">
        <v>5</v>
      </c>
      <c r="J27" s="16">
        <v>50</v>
      </c>
      <c r="K27" s="16">
        <v>6.7454725310718802</v>
      </c>
      <c r="L27" s="16" t="s">
        <v>451</v>
      </c>
      <c r="M27" s="16" t="s">
        <v>451</v>
      </c>
      <c r="N27" s="16">
        <f t="shared" si="0"/>
        <v>674.547253107188</v>
      </c>
      <c r="O27" s="16" t="s">
        <v>451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</row>
    <row r="28" spans="1:119" s="20" customFormat="1" ht="16" customHeight="1" x14ac:dyDescent="0.2">
      <c r="A28" s="16">
        <v>518</v>
      </c>
      <c r="B28" s="16" t="s">
        <v>454</v>
      </c>
      <c r="C28" s="16" t="s">
        <v>726</v>
      </c>
      <c r="D28" s="16" t="s">
        <v>735</v>
      </c>
      <c r="E28" s="16" t="s">
        <v>446</v>
      </c>
      <c r="F28" s="16" t="s">
        <v>638</v>
      </c>
      <c r="G28" s="16" t="s">
        <v>738</v>
      </c>
      <c r="H28" s="17">
        <v>43627</v>
      </c>
      <c r="I28" s="16">
        <v>5</v>
      </c>
      <c r="J28" s="16">
        <v>50</v>
      </c>
      <c r="K28" s="16">
        <v>36.911853935941302</v>
      </c>
      <c r="L28" s="16" t="s">
        <v>451</v>
      </c>
      <c r="M28" s="16" t="s">
        <v>451</v>
      </c>
      <c r="N28" s="16">
        <f t="shared" si="0"/>
        <v>3691.1853935941303</v>
      </c>
      <c r="O28" s="16" t="s">
        <v>451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</row>
    <row r="29" spans="1:119" s="20" customFormat="1" ht="16" customHeight="1" x14ac:dyDescent="0.2">
      <c r="A29" s="16">
        <v>525</v>
      </c>
      <c r="B29" s="16" t="s">
        <v>454</v>
      </c>
      <c r="C29" s="16" t="s">
        <v>726</v>
      </c>
      <c r="D29" s="16" t="s">
        <v>735</v>
      </c>
      <c r="E29" s="16" t="s">
        <v>446</v>
      </c>
      <c r="F29" s="16" t="s">
        <v>638</v>
      </c>
      <c r="G29" s="16" t="s">
        <v>738</v>
      </c>
      <c r="H29" s="17">
        <v>43627</v>
      </c>
      <c r="I29" s="16">
        <v>5</v>
      </c>
      <c r="J29" s="16">
        <v>50</v>
      </c>
      <c r="K29" s="16">
        <v>13.933094130169399</v>
      </c>
      <c r="L29" s="16" t="s">
        <v>451</v>
      </c>
      <c r="M29" s="16" t="s">
        <v>451</v>
      </c>
      <c r="N29" s="16">
        <f t="shared" si="0"/>
        <v>1393.30941301694</v>
      </c>
      <c r="O29" s="16" t="s">
        <v>451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</row>
    <row r="30" spans="1:119" s="20" customFormat="1" ht="16" customHeight="1" x14ac:dyDescent="0.2">
      <c r="A30" s="16">
        <v>532</v>
      </c>
      <c r="B30" s="16" t="s">
        <v>454</v>
      </c>
      <c r="C30" s="16" t="s">
        <v>726</v>
      </c>
      <c r="D30" s="16" t="s">
        <v>735</v>
      </c>
      <c r="E30" s="16" t="s">
        <v>446</v>
      </c>
      <c r="F30" s="16" t="s">
        <v>638</v>
      </c>
      <c r="G30" s="16" t="s">
        <v>738</v>
      </c>
      <c r="H30" s="17">
        <v>43627</v>
      </c>
      <c r="I30" s="16">
        <v>5</v>
      </c>
      <c r="J30" s="16">
        <v>50</v>
      </c>
      <c r="K30" s="16">
        <v>32.747966030328101</v>
      </c>
      <c r="L30" s="16" t="s">
        <v>451</v>
      </c>
      <c r="M30" s="16" t="s">
        <v>451</v>
      </c>
      <c r="N30" s="16">
        <f t="shared" si="0"/>
        <v>3274.7966030328098</v>
      </c>
      <c r="O30" s="16" t="s">
        <v>451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</row>
    <row r="31" spans="1:119" s="20" customFormat="1" ht="16" customHeight="1" x14ac:dyDescent="0.2">
      <c r="A31" s="18">
        <v>519</v>
      </c>
      <c r="B31" s="18" t="s">
        <v>456</v>
      </c>
      <c r="C31" s="18" t="s">
        <v>739</v>
      </c>
      <c r="D31" s="18" t="s">
        <v>740</v>
      </c>
      <c r="E31" s="18" t="s">
        <v>458</v>
      </c>
      <c r="F31" s="18" t="s">
        <v>638</v>
      </c>
      <c r="G31" s="18" t="s">
        <v>741</v>
      </c>
      <c r="H31" s="19">
        <v>43627</v>
      </c>
      <c r="I31" s="18">
        <v>5</v>
      </c>
      <c r="J31" s="18">
        <v>120</v>
      </c>
      <c r="K31" s="18">
        <v>94.061294351955794</v>
      </c>
      <c r="L31" s="18" t="s">
        <v>451</v>
      </c>
      <c r="M31" s="18" t="s">
        <v>451</v>
      </c>
      <c r="N31" s="18">
        <f t="shared" si="0"/>
        <v>3919.2205979981582</v>
      </c>
      <c r="O31" s="18" t="s">
        <v>451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</row>
    <row r="32" spans="1:119" s="20" customFormat="1" ht="16" customHeight="1" x14ac:dyDescent="0.2">
      <c r="A32" s="18">
        <v>526</v>
      </c>
      <c r="B32" s="18" t="s">
        <v>456</v>
      </c>
      <c r="C32" s="18" t="s">
        <v>739</v>
      </c>
      <c r="D32" s="18" t="s">
        <v>740</v>
      </c>
      <c r="E32" s="18" t="s">
        <v>458</v>
      </c>
      <c r="F32" s="18" t="s">
        <v>638</v>
      </c>
      <c r="G32" s="18" t="s">
        <v>741</v>
      </c>
      <c r="H32" s="19">
        <v>43627</v>
      </c>
      <c r="I32" s="18">
        <v>5</v>
      </c>
      <c r="J32" s="18">
        <v>120</v>
      </c>
      <c r="K32" s="18">
        <v>116.76211808676899</v>
      </c>
      <c r="L32" s="18" t="s">
        <v>451</v>
      </c>
      <c r="M32" s="18" t="s">
        <v>451</v>
      </c>
      <c r="N32" s="18">
        <f t="shared" si="0"/>
        <v>4865.0882536153749</v>
      </c>
      <c r="O32" s="18" t="s">
        <v>451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</row>
    <row r="33" spans="1:119" s="20" customFormat="1" ht="16" customHeight="1" x14ac:dyDescent="0.2">
      <c r="A33" s="18">
        <v>533</v>
      </c>
      <c r="B33" s="18" t="s">
        <v>456</v>
      </c>
      <c r="C33" s="18" t="s">
        <v>739</v>
      </c>
      <c r="D33" s="18" t="s">
        <v>740</v>
      </c>
      <c r="E33" s="18" t="s">
        <v>458</v>
      </c>
      <c r="F33" s="18" t="s">
        <v>638</v>
      </c>
      <c r="G33" s="18" t="s">
        <v>741</v>
      </c>
      <c r="H33" s="19">
        <v>43627</v>
      </c>
      <c r="I33" s="18">
        <v>5</v>
      </c>
      <c r="J33" s="18">
        <v>120</v>
      </c>
      <c r="K33" s="18">
        <v>89.677301725088398</v>
      </c>
      <c r="L33" s="18" t="s">
        <v>451</v>
      </c>
      <c r="M33" s="18" t="s">
        <v>451</v>
      </c>
      <c r="N33" s="18">
        <f t="shared" si="0"/>
        <v>3736.55423854535</v>
      </c>
      <c r="O33" s="18" t="s">
        <v>451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</row>
    <row r="34" spans="1:119" s="20" customFormat="1" ht="16" customHeight="1" x14ac:dyDescent="0.2">
      <c r="A34" s="18">
        <v>539</v>
      </c>
      <c r="B34" s="18" t="s">
        <v>456</v>
      </c>
      <c r="C34" s="18" t="s">
        <v>739</v>
      </c>
      <c r="D34" s="18" t="s">
        <v>740</v>
      </c>
      <c r="E34" s="18" t="s">
        <v>458</v>
      </c>
      <c r="F34" s="18" t="s">
        <v>638</v>
      </c>
      <c r="G34" s="18" t="s">
        <v>742</v>
      </c>
      <c r="H34" s="19">
        <v>43627</v>
      </c>
      <c r="I34" s="18">
        <v>5</v>
      </c>
      <c r="J34" s="18">
        <v>120</v>
      </c>
      <c r="K34" s="18">
        <v>92.462990926131098</v>
      </c>
      <c r="L34" s="18" t="s">
        <v>451</v>
      </c>
      <c r="M34" s="18" t="s">
        <v>451</v>
      </c>
      <c r="N34" s="18">
        <f t="shared" si="0"/>
        <v>3852.6246219221293</v>
      </c>
      <c r="O34" s="18" t="s">
        <v>451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</row>
    <row r="35" spans="1:119" s="22" customFormat="1" ht="16" customHeight="1" x14ac:dyDescent="0.2">
      <c r="A35" s="18">
        <v>545</v>
      </c>
      <c r="B35" s="18" t="s">
        <v>456</v>
      </c>
      <c r="C35" s="18" t="s">
        <v>739</v>
      </c>
      <c r="D35" s="18" t="s">
        <v>740</v>
      </c>
      <c r="E35" s="18" t="s">
        <v>458</v>
      </c>
      <c r="F35" s="18" t="s">
        <v>638</v>
      </c>
      <c r="G35" s="18" t="s">
        <v>742</v>
      </c>
      <c r="H35" s="19">
        <v>43627</v>
      </c>
      <c r="I35" s="18">
        <v>5</v>
      </c>
      <c r="J35" s="18">
        <v>120</v>
      </c>
      <c r="K35" s="18">
        <v>178.82996656272701</v>
      </c>
      <c r="L35" s="18" t="s">
        <v>451</v>
      </c>
      <c r="M35" s="18" t="s">
        <v>451</v>
      </c>
      <c r="N35" s="18">
        <f t="shared" si="0"/>
        <v>7451.2486067802929</v>
      </c>
      <c r="O35" s="18" t="s">
        <v>451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</row>
    <row r="36" spans="1:119" s="22" customFormat="1" ht="16" customHeight="1" x14ac:dyDescent="0.2">
      <c r="A36" s="18">
        <v>551</v>
      </c>
      <c r="B36" s="18" t="s">
        <v>456</v>
      </c>
      <c r="C36" s="18" t="s">
        <v>739</v>
      </c>
      <c r="D36" s="18" t="s">
        <v>740</v>
      </c>
      <c r="E36" s="18" t="s">
        <v>458</v>
      </c>
      <c r="F36" s="18" t="s">
        <v>638</v>
      </c>
      <c r="G36" s="18" t="s">
        <v>742</v>
      </c>
      <c r="H36" s="19">
        <v>43627</v>
      </c>
      <c r="I36" s="18">
        <v>5</v>
      </c>
      <c r="J36" s="18">
        <v>120</v>
      </c>
      <c r="K36" s="18">
        <v>206.229769973054</v>
      </c>
      <c r="L36" s="18" t="s">
        <v>451</v>
      </c>
      <c r="M36" s="18" t="s">
        <v>451</v>
      </c>
      <c r="N36" s="18">
        <f t="shared" si="0"/>
        <v>8592.9070822105841</v>
      </c>
      <c r="O36" s="18" t="s">
        <v>451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</row>
    <row r="37" spans="1:119" s="22" customFormat="1" ht="16" customHeight="1" x14ac:dyDescent="0.2">
      <c r="A37" s="18">
        <v>520</v>
      </c>
      <c r="B37" s="18" t="s">
        <v>456</v>
      </c>
      <c r="C37" s="18" t="s">
        <v>739</v>
      </c>
      <c r="D37" s="18" t="s">
        <v>740</v>
      </c>
      <c r="E37" s="18" t="s">
        <v>458</v>
      </c>
      <c r="F37" s="18" t="s">
        <v>638</v>
      </c>
      <c r="G37" s="18" t="s">
        <v>743</v>
      </c>
      <c r="H37" s="19">
        <v>43627</v>
      </c>
      <c r="I37" s="18">
        <v>5</v>
      </c>
      <c r="J37" s="18">
        <v>120</v>
      </c>
      <c r="K37" s="18">
        <v>83.487820542931004</v>
      </c>
      <c r="L37" s="18" t="s">
        <v>451</v>
      </c>
      <c r="M37" s="18" t="s">
        <v>451</v>
      </c>
      <c r="N37" s="18">
        <f t="shared" si="0"/>
        <v>3478.6591892887918</v>
      </c>
      <c r="O37" s="18" t="s">
        <v>451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</row>
    <row r="38" spans="1:119" s="22" customFormat="1" ht="16" customHeight="1" x14ac:dyDescent="0.2">
      <c r="A38" s="18">
        <v>527</v>
      </c>
      <c r="B38" s="18" t="s">
        <v>456</v>
      </c>
      <c r="C38" s="18" t="s">
        <v>739</v>
      </c>
      <c r="D38" s="18" t="s">
        <v>740</v>
      </c>
      <c r="E38" s="18" t="s">
        <v>458</v>
      </c>
      <c r="F38" s="18" t="s">
        <v>638</v>
      </c>
      <c r="G38" s="18" t="s">
        <v>743</v>
      </c>
      <c r="H38" s="19">
        <v>43627</v>
      </c>
      <c r="I38" s="18">
        <v>5</v>
      </c>
      <c r="J38" s="18">
        <v>120</v>
      </c>
      <c r="K38" s="18">
        <v>51.184357219199498</v>
      </c>
      <c r="L38" s="18" t="s">
        <v>451</v>
      </c>
      <c r="M38" s="18" t="s">
        <v>451</v>
      </c>
      <c r="N38" s="18">
        <f t="shared" si="0"/>
        <v>2132.6815507999795</v>
      </c>
      <c r="O38" s="18" t="s">
        <v>451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</row>
    <row r="39" spans="1:119" s="22" customFormat="1" ht="16" customHeight="1" x14ac:dyDescent="0.2">
      <c r="A39" s="18">
        <v>534</v>
      </c>
      <c r="B39" s="18" t="s">
        <v>456</v>
      </c>
      <c r="C39" s="18" t="s">
        <v>739</v>
      </c>
      <c r="D39" s="18" t="s">
        <v>740</v>
      </c>
      <c r="E39" s="18" t="s">
        <v>458</v>
      </c>
      <c r="F39" s="18" t="s">
        <v>638</v>
      </c>
      <c r="G39" s="18" t="s">
        <v>743</v>
      </c>
      <c r="H39" s="19">
        <v>43627</v>
      </c>
      <c r="I39" s="18">
        <v>5</v>
      </c>
      <c r="J39" s="18">
        <v>120</v>
      </c>
      <c r="K39" s="18">
        <v>163.384895427218</v>
      </c>
      <c r="L39" s="18" t="s">
        <v>451</v>
      </c>
      <c r="M39" s="18" t="s">
        <v>451</v>
      </c>
      <c r="N39" s="18">
        <f t="shared" si="0"/>
        <v>6807.7039761340839</v>
      </c>
      <c r="O39" s="18" t="s">
        <v>451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</row>
    <row r="40" spans="1:119" s="22" customFormat="1" ht="16" customHeight="1" x14ac:dyDescent="0.2">
      <c r="A40" s="16">
        <v>540</v>
      </c>
      <c r="B40" s="16" t="s">
        <v>460</v>
      </c>
      <c r="C40" s="16" t="s">
        <v>739</v>
      </c>
      <c r="D40" s="16" t="s">
        <v>744</v>
      </c>
      <c r="E40" s="16" t="s">
        <v>458</v>
      </c>
      <c r="F40" s="16" t="s">
        <v>638</v>
      </c>
      <c r="G40" s="16" t="s">
        <v>745</v>
      </c>
      <c r="H40" s="17">
        <v>43628</v>
      </c>
      <c r="I40" s="16">
        <v>5</v>
      </c>
      <c r="J40" s="16">
        <v>70</v>
      </c>
      <c r="K40" s="16">
        <v>56.917037557732101</v>
      </c>
      <c r="L40" s="16" t="s">
        <v>451</v>
      </c>
      <c r="M40" s="16" t="s">
        <v>451</v>
      </c>
      <c r="N40" s="16">
        <f t="shared" si="0"/>
        <v>4065.5026826951503</v>
      </c>
      <c r="O40" s="16" t="s">
        <v>746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</row>
    <row r="41" spans="1:119" s="22" customFormat="1" ht="16" customHeight="1" x14ac:dyDescent="0.2">
      <c r="A41" s="16">
        <v>546</v>
      </c>
      <c r="B41" s="16" t="s">
        <v>460</v>
      </c>
      <c r="C41" s="16" t="s">
        <v>739</v>
      </c>
      <c r="D41" s="16" t="s">
        <v>744</v>
      </c>
      <c r="E41" s="16" t="s">
        <v>458</v>
      </c>
      <c r="F41" s="16" t="s">
        <v>638</v>
      </c>
      <c r="G41" s="16" t="s">
        <v>745</v>
      </c>
      <c r="H41" s="17">
        <v>43628</v>
      </c>
      <c r="I41" s="16">
        <v>5</v>
      </c>
      <c r="J41" s="16">
        <v>70</v>
      </c>
      <c r="K41" s="16">
        <v>50.752927503528198</v>
      </c>
      <c r="L41" s="16" t="s">
        <v>451</v>
      </c>
      <c r="M41" s="16" t="s">
        <v>451</v>
      </c>
      <c r="N41" s="16">
        <f t="shared" si="0"/>
        <v>3625.2091073948718</v>
      </c>
      <c r="O41" s="16" t="s">
        <v>746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</row>
    <row r="42" spans="1:119" s="22" customFormat="1" ht="16" customHeight="1" x14ac:dyDescent="0.2">
      <c r="A42" s="16">
        <v>552</v>
      </c>
      <c r="B42" s="16" t="s">
        <v>460</v>
      </c>
      <c r="C42" s="16" t="s">
        <v>739</v>
      </c>
      <c r="D42" s="16" t="s">
        <v>744</v>
      </c>
      <c r="E42" s="16" t="s">
        <v>458</v>
      </c>
      <c r="F42" s="16" t="s">
        <v>638</v>
      </c>
      <c r="G42" s="16" t="s">
        <v>745</v>
      </c>
      <c r="H42" s="17">
        <v>43628</v>
      </c>
      <c r="I42" s="16">
        <v>5</v>
      </c>
      <c r="J42" s="16">
        <v>70</v>
      </c>
      <c r="K42" s="16">
        <v>41.866063315259801</v>
      </c>
      <c r="L42" s="16" t="s">
        <v>451</v>
      </c>
      <c r="M42" s="16" t="s">
        <v>451</v>
      </c>
      <c r="N42" s="16">
        <f t="shared" si="0"/>
        <v>2990.4330939471288</v>
      </c>
      <c r="O42" s="16" t="s">
        <v>746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</row>
    <row r="43" spans="1:119" s="22" customFormat="1" ht="16" customHeight="1" x14ac:dyDescent="0.2">
      <c r="A43" s="16">
        <v>553</v>
      </c>
      <c r="B43" s="16" t="s">
        <v>460</v>
      </c>
      <c r="C43" s="16" t="s">
        <v>739</v>
      </c>
      <c r="D43" s="16" t="s">
        <v>744</v>
      </c>
      <c r="E43" s="16" t="s">
        <v>458</v>
      </c>
      <c r="F43" s="16" t="s">
        <v>638</v>
      </c>
      <c r="G43" s="16" t="s">
        <v>747</v>
      </c>
      <c r="H43" s="17">
        <v>43628</v>
      </c>
      <c r="I43" s="16">
        <v>5</v>
      </c>
      <c r="J43" s="16">
        <v>70</v>
      </c>
      <c r="K43" s="16">
        <v>13.468855754923799</v>
      </c>
      <c r="L43" s="16" t="s">
        <v>451</v>
      </c>
      <c r="M43" s="16" t="s">
        <v>451</v>
      </c>
      <c r="N43" s="16">
        <f t="shared" si="0"/>
        <v>962.06112535170007</v>
      </c>
      <c r="O43" s="16" t="s">
        <v>746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</row>
    <row r="44" spans="1:119" s="22" customFormat="1" ht="16" customHeight="1" x14ac:dyDescent="0.2">
      <c r="A44" s="16">
        <v>560</v>
      </c>
      <c r="B44" s="16" t="s">
        <v>460</v>
      </c>
      <c r="C44" s="16" t="s">
        <v>739</v>
      </c>
      <c r="D44" s="16" t="s">
        <v>744</v>
      </c>
      <c r="E44" s="16" t="s">
        <v>458</v>
      </c>
      <c r="F44" s="16" t="s">
        <v>638</v>
      </c>
      <c r="G44" s="16" t="s">
        <v>747</v>
      </c>
      <c r="H44" s="17">
        <v>43628</v>
      </c>
      <c r="I44" s="16">
        <v>5</v>
      </c>
      <c r="J44" s="16">
        <v>70</v>
      </c>
      <c r="K44" s="16">
        <v>23.580223923774501</v>
      </c>
      <c r="L44" s="16" t="s">
        <v>451</v>
      </c>
      <c r="M44" s="16" t="s">
        <v>451</v>
      </c>
      <c r="N44" s="16">
        <f t="shared" si="0"/>
        <v>1684.3017088410359</v>
      </c>
      <c r="O44" s="16" t="s">
        <v>746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</row>
    <row r="45" spans="1:119" s="22" customFormat="1" ht="16" customHeight="1" x14ac:dyDescent="0.2">
      <c r="A45" s="16">
        <v>567</v>
      </c>
      <c r="B45" s="16" t="s">
        <v>460</v>
      </c>
      <c r="C45" s="16" t="s">
        <v>739</v>
      </c>
      <c r="D45" s="16" t="s">
        <v>744</v>
      </c>
      <c r="E45" s="16" t="s">
        <v>458</v>
      </c>
      <c r="F45" s="16" t="s">
        <v>638</v>
      </c>
      <c r="G45" s="16" t="s">
        <v>747</v>
      </c>
      <c r="H45" s="17">
        <v>43628</v>
      </c>
      <c r="I45" s="16">
        <v>5</v>
      </c>
      <c r="J45" s="16">
        <v>70</v>
      </c>
      <c r="K45" s="16">
        <v>13.3910006017942</v>
      </c>
      <c r="L45" s="16" t="s">
        <v>451</v>
      </c>
      <c r="M45" s="16" t="s">
        <v>451</v>
      </c>
      <c r="N45" s="16">
        <f t="shared" si="0"/>
        <v>956.50004298530007</v>
      </c>
      <c r="O45" s="16" t="s">
        <v>746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</row>
    <row r="46" spans="1:119" s="22" customFormat="1" ht="16" customHeight="1" x14ac:dyDescent="0.2">
      <c r="A46" s="18">
        <v>574</v>
      </c>
      <c r="B46" s="18" t="s">
        <v>462</v>
      </c>
      <c r="C46" s="18" t="s">
        <v>739</v>
      </c>
      <c r="D46" s="18" t="s">
        <v>748</v>
      </c>
      <c r="E46" s="18" t="s">
        <v>458</v>
      </c>
      <c r="F46" s="18" t="s">
        <v>638</v>
      </c>
      <c r="G46" s="18" t="s">
        <v>749</v>
      </c>
      <c r="H46" s="19">
        <v>43628</v>
      </c>
      <c r="I46" s="18">
        <v>5</v>
      </c>
      <c r="J46" s="18">
        <v>50</v>
      </c>
      <c r="K46" s="18">
        <v>7.3755538442127602</v>
      </c>
      <c r="L46" s="18" t="s">
        <v>490</v>
      </c>
      <c r="M46" s="18" t="s">
        <v>8</v>
      </c>
      <c r="N46" s="18">
        <f t="shared" si="0"/>
        <v>737.55538442127602</v>
      </c>
      <c r="O46" s="18" t="s">
        <v>750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</row>
    <row r="47" spans="1:119" s="22" customFormat="1" ht="16" customHeight="1" x14ac:dyDescent="0.2">
      <c r="A47" s="18">
        <v>581</v>
      </c>
      <c r="B47" s="18" t="s">
        <v>462</v>
      </c>
      <c r="C47" s="18" t="s">
        <v>739</v>
      </c>
      <c r="D47" s="18" t="s">
        <v>748</v>
      </c>
      <c r="E47" s="18" t="s">
        <v>458</v>
      </c>
      <c r="F47" s="18" t="s">
        <v>638</v>
      </c>
      <c r="G47" s="18" t="s">
        <v>749</v>
      </c>
      <c r="H47" s="19">
        <v>43628</v>
      </c>
      <c r="I47" s="18">
        <v>5</v>
      </c>
      <c r="J47" s="18">
        <v>50</v>
      </c>
      <c r="K47" s="18">
        <v>0</v>
      </c>
      <c r="L47" s="18" t="s">
        <v>490</v>
      </c>
      <c r="M47" s="18" t="s">
        <v>8</v>
      </c>
      <c r="N47" s="18">
        <f t="shared" si="0"/>
        <v>0</v>
      </c>
      <c r="O47" s="18" t="s">
        <v>750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</row>
    <row r="48" spans="1:119" s="22" customFormat="1" ht="16" customHeight="1" x14ac:dyDescent="0.2">
      <c r="A48" s="18">
        <v>588</v>
      </c>
      <c r="B48" s="18" t="s">
        <v>462</v>
      </c>
      <c r="C48" s="18" t="s">
        <v>739</v>
      </c>
      <c r="D48" s="18" t="s">
        <v>748</v>
      </c>
      <c r="E48" s="18" t="s">
        <v>458</v>
      </c>
      <c r="F48" s="18" t="s">
        <v>638</v>
      </c>
      <c r="G48" s="18" t="s">
        <v>749</v>
      </c>
      <c r="H48" s="19">
        <v>43628</v>
      </c>
      <c r="I48" s="18">
        <v>5</v>
      </c>
      <c r="J48" s="18">
        <v>50</v>
      </c>
      <c r="K48" s="18">
        <v>3.8653335361736199</v>
      </c>
      <c r="L48" s="18" t="s">
        <v>490</v>
      </c>
      <c r="M48" s="18" t="s">
        <v>8</v>
      </c>
      <c r="N48" s="18">
        <f t="shared" si="0"/>
        <v>386.53335361736197</v>
      </c>
      <c r="O48" s="18" t="s">
        <v>750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</row>
    <row r="49" spans="1:119" s="22" customFormat="1" ht="16" customHeight="1" x14ac:dyDescent="0.2">
      <c r="A49" s="16">
        <v>554</v>
      </c>
      <c r="B49" s="16" t="s">
        <v>464</v>
      </c>
      <c r="C49" s="16" t="s">
        <v>751</v>
      </c>
      <c r="D49" s="16" t="s">
        <v>752</v>
      </c>
      <c r="E49" s="16" t="s">
        <v>466</v>
      </c>
      <c r="F49" s="16" t="s">
        <v>638</v>
      </c>
      <c r="G49" s="16" t="s">
        <v>753</v>
      </c>
      <c r="H49" s="17">
        <v>43628</v>
      </c>
      <c r="I49" s="16">
        <v>5</v>
      </c>
      <c r="J49" s="16">
        <v>60</v>
      </c>
      <c r="K49" s="16">
        <v>0</v>
      </c>
      <c r="L49" s="16" t="s">
        <v>451</v>
      </c>
      <c r="M49" s="16" t="s">
        <v>490</v>
      </c>
      <c r="N49" s="16">
        <f t="shared" si="0"/>
        <v>0</v>
      </c>
      <c r="O49" s="16" t="s">
        <v>451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</row>
    <row r="50" spans="1:119" s="22" customFormat="1" ht="16" customHeight="1" x14ac:dyDescent="0.2">
      <c r="A50" s="16">
        <v>561</v>
      </c>
      <c r="B50" s="16" t="s">
        <v>464</v>
      </c>
      <c r="C50" s="16" t="s">
        <v>751</v>
      </c>
      <c r="D50" s="16" t="s">
        <v>752</v>
      </c>
      <c r="E50" s="16" t="s">
        <v>466</v>
      </c>
      <c r="F50" s="16" t="s">
        <v>638</v>
      </c>
      <c r="G50" s="16" t="s">
        <v>753</v>
      </c>
      <c r="H50" s="17">
        <v>43628</v>
      </c>
      <c r="I50" s="16">
        <v>5</v>
      </c>
      <c r="J50" s="16">
        <v>60</v>
      </c>
      <c r="K50" s="16">
        <v>0</v>
      </c>
      <c r="L50" s="16" t="s">
        <v>451</v>
      </c>
      <c r="M50" s="16" t="s">
        <v>490</v>
      </c>
      <c r="N50" s="16">
        <f t="shared" si="0"/>
        <v>0</v>
      </c>
      <c r="O50" s="16" t="s">
        <v>451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</row>
    <row r="51" spans="1:119" s="22" customFormat="1" ht="16" customHeight="1" x14ac:dyDescent="0.2">
      <c r="A51" s="16">
        <v>568</v>
      </c>
      <c r="B51" s="16" t="s">
        <v>464</v>
      </c>
      <c r="C51" s="16" t="s">
        <v>751</v>
      </c>
      <c r="D51" s="16" t="s">
        <v>752</v>
      </c>
      <c r="E51" s="16" t="s">
        <v>466</v>
      </c>
      <c r="F51" s="16" t="s">
        <v>638</v>
      </c>
      <c r="G51" s="16" t="s">
        <v>753</v>
      </c>
      <c r="H51" s="17">
        <v>43628</v>
      </c>
      <c r="I51" s="16">
        <v>5</v>
      </c>
      <c r="J51" s="16">
        <v>60</v>
      </c>
      <c r="K51" s="16">
        <v>0</v>
      </c>
      <c r="L51" s="16" t="s">
        <v>451</v>
      </c>
      <c r="M51" s="16" t="s">
        <v>490</v>
      </c>
      <c r="N51" s="16">
        <f t="shared" si="0"/>
        <v>0</v>
      </c>
      <c r="O51" s="16" t="s">
        <v>451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</row>
    <row r="52" spans="1:119" s="22" customFormat="1" ht="16" customHeight="1" x14ac:dyDescent="0.2">
      <c r="A52" s="16">
        <v>575</v>
      </c>
      <c r="B52" s="16" t="s">
        <v>464</v>
      </c>
      <c r="C52" s="16" t="s">
        <v>751</v>
      </c>
      <c r="D52" s="16" t="s">
        <v>752</v>
      </c>
      <c r="E52" s="16" t="s">
        <v>466</v>
      </c>
      <c r="F52" s="16" t="s">
        <v>638</v>
      </c>
      <c r="G52" s="16" t="s">
        <v>754</v>
      </c>
      <c r="H52" s="17">
        <v>43628</v>
      </c>
      <c r="I52" s="16">
        <v>5</v>
      </c>
      <c r="J52" s="16">
        <v>60</v>
      </c>
      <c r="K52" s="16">
        <v>0</v>
      </c>
      <c r="L52" s="16" t="s">
        <v>451</v>
      </c>
      <c r="M52" s="16" t="s">
        <v>490</v>
      </c>
      <c r="N52" s="16">
        <f t="shared" si="0"/>
        <v>0</v>
      </c>
      <c r="O52" s="16" t="s">
        <v>451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</row>
    <row r="53" spans="1:119" s="22" customFormat="1" ht="16" customHeight="1" x14ac:dyDescent="0.2">
      <c r="A53" s="16">
        <v>582</v>
      </c>
      <c r="B53" s="16" t="s">
        <v>464</v>
      </c>
      <c r="C53" s="16" t="s">
        <v>751</v>
      </c>
      <c r="D53" s="16" t="s">
        <v>752</v>
      </c>
      <c r="E53" s="16" t="s">
        <v>466</v>
      </c>
      <c r="F53" s="16" t="s">
        <v>638</v>
      </c>
      <c r="G53" s="16" t="s">
        <v>754</v>
      </c>
      <c r="H53" s="17">
        <v>43628</v>
      </c>
      <c r="I53" s="16">
        <v>5</v>
      </c>
      <c r="J53" s="16">
        <v>60</v>
      </c>
      <c r="K53" s="16">
        <v>0</v>
      </c>
      <c r="L53" s="16" t="s">
        <v>451</v>
      </c>
      <c r="M53" s="16" t="s">
        <v>490</v>
      </c>
      <c r="N53" s="16">
        <f t="shared" si="0"/>
        <v>0</v>
      </c>
      <c r="O53" s="16" t="s">
        <v>451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</row>
    <row r="54" spans="1:119" s="22" customFormat="1" ht="16" customHeight="1" x14ac:dyDescent="0.2">
      <c r="A54" s="16">
        <v>589</v>
      </c>
      <c r="B54" s="16" t="s">
        <v>464</v>
      </c>
      <c r="C54" s="16" t="s">
        <v>751</v>
      </c>
      <c r="D54" s="16" t="s">
        <v>752</v>
      </c>
      <c r="E54" s="16" t="s">
        <v>466</v>
      </c>
      <c r="F54" s="16" t="s">
        <v>638</v>
      </c>
      <c r="G54" s="16" t="s">
        <v>754</v>
      </c>
      <c r="H54" s="17">
        <v>43628</v>
      </c>
      <c r="I54" s="16">
        <v>5</v>
      </c>
      <c r="J54" s="16">
        <v>60</v>
      </c>
      <c r="K54" s="16">
        <v>0</v>
      </c>
      <c r="L54" s="16" t="s">
        <v>451</v>
      </c>
      <c r="M54" s="16" t="s">
        <v>490</v>
      </c>
      <c r="N54" s="16">
        <f t="shared" si="0"/>
        <v>0</v>
      </c>
      <c r="O54" s="16" t="s">
        <v>451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</row>
    <row r="55" spans="1:119" s="22" customFormat="1" ht="16" customHeight="1" x14ac:dyDescent="0.2">
      <c r="A55" s="16">
        <v>555</v>
      </c>
      <c r="B55" s="16" t="s">
        <v>464</v>
      </c>
      <c r="C55" s="16" t="s">
        <v>751</v>
      </c>
      <c r="D55" s="16" t="s">
        <v>752</v>
      </c>
      <c r="E55" s="16" t="s">
        <v>466</v>
      </c>
      <c r="F55" s="16" t="s">
        <v>638</v>
      </c>
      <c r="G55" s="16" t="s">
        <v>755</v>
      </c>
      <c r="H55" s="17">
        <v>43628</v>
      </c>
      <c r="I55" s="16">
        <v>5</v>
      </c>
      <c r="J55" s="16">
        <v>60</v>
      </c>
      <c r="K55" s="16">
        <v>0</v>
      </c>
      <c r="L55" s="16" t="s">
        <v>451</v>
      </c>
      <c r="M55" s="16" t="s">
        <v>490</v>
      </c>
      <c r="N55" s="16">
        <f t="shared" si="0"/>
        <v>0</v>
      </c>
      <c r="O55" s="16" t="s">
        <v>451</v>
      </c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</row>
    <row r="56" spans="1:119" s="22" customFormat="1" ht="16" customHeight="1" x14ac:dyDescent="0.2">
      <c r="A56" s="16">
        <v>562</v>
      </c>
      <c r="B56" s="16" t="s">
        <v>464</v>
      </c>
      <c r="C56" s="16" t="s">
        <v>751</v>
      </c>
      <c r="D56" s="16" t="s">
        <v>752</v>
      </c>
      <c r="E56" s="16" t="s">
        <v>466</v>
      </c>
      <c r="F56" s="16" t="s">
        <v>638</v>
      </c>
      <c r="G56" s="16" t="s">
        <v>755</v>
      </c>
      <c r="H56" s="17">
        <v>43628</v>
      </c>
      <c r="I56" s="16">
        <v>5</v>
      </c>
      <c r="J56" s="16">
        <v>60</v>
      </c>
      <c r="K56" s="16">
        <v>0</v>
      </c>
      <c r="L56" s="16" t="s">
        <v>451</v>
      </c>
      <c r="M56" s="16" t="s">
        <v>490</v>
      </c>
      <c r="N56" s="16">
        <f t="shared" si="0"/>
        <v>0</v>
      </c>
      <c r="O56" s="16" t="s">
        <v>451</v>
      </c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</row>
    <row r="57" spans="1:119" s="22" customFormat="1" ht="16" customHeight="1" x14ac:dyDescent="0.2">
      <c r="A57" s="16">
        <v>569</v>
      </c>
      <c r="B57" s="16" t="s">
        <v>464</v>
      </c>
      <c r="C57" s="16" t="s">
        <v>751</v>
      </c>
      <c r="D57" s="16" t="s">
        <v>752</v>
      </c>
      <c r="E57" s="16" t="s">
        <v>466</v>
      </c>
      <c r="F57" s="16" t="s">
        <v>638</v>
      </c>
      <c r="G57" s="16" t="s">
        <v>755</v>
      </c>
      <c r="H57" s="17">
        <v>43628</v>
      </c>
      <c r="I57" s="16">
        <v>5</v>
      </c>
      <c r="J57" s="16">
        <v>60</v>
      </c>
      <c r="K57" s="16">
        <v>0</v>
      </c>
      <c r="L57" s="16" t="s">
        <v>451</v>
      </c>
      <c r="M57" s="16" t="s">
        <v>490</v>
      </c>
      <c r="N57" s="16">
        <f t="shared" si="0"/>
        <v>0</v>
      </c>
      <c r="O57" s="16" t="s">
        <v>451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</row>
    <row r="58" spans="1:119" s="22" customFormat="1" ht="16" customHeight="1" x14ac:dyDescent="0.2">
      <c r="A58" s="18">
        <v>576</v>
      </c>
      <c r="B58" s="18" t="s">
        <v>468</v>
      </c>
      <c r="C58" s="18" t="s">
        <v>756</v>
      </c>
      <c r="D58" s="18" t="s">
        <v>757</v>
      </c>
      <c r="E58" s="18" t="s">
        <v>470</v>
      </c>
      <c r="F58" s="18" t="s">
        <v>638</v>
      </c>
      <c r="G58" s="18" t="s">
        <v>758</v>
      </c>
      <c r="H58" s="19">
        <v>43628</v>
      </c>
      <c r="I58" s="18">
        <v>5</v>
      </c>
      <c r="J58" s="18">
        <v>70</v>
      </c>
      <c r="K58" s="18">
        <v>43.096059768978797</v>
      </c>
      <c r="L58" s="18" t="s">
        <v>451</v>
      </c>
      <c r="M58" s="18" t="s">
        <v>451</v>
      </c>
      <c r="N58" s="18">
        <f t="shared" si="0"/>
        <v>3078.2899834984855</v>
      </c>
      <c r="O58" s="18" t="s">
        <v>451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</row>
    <row r="59" spans="1:119" s="22" customFormat="1" ht="16" customHeight="1" x14ac:dyDescent="0.2">
      <c r="A59" s="18">
        <v>583</v>
      </c>
      <c r="B59" s="18" t="s">
        <v>468</v>
      </c>
      <c r="C59" s="18" t="s">
        <v>756</v>
      </c>
      <c r="D59" s="18" t="s">
        <v>757</v>
      </c>
      <c r="E59" s="18" t="s">
        <v>470</v>
      </c>
      <c r="F59" s="18" t="s">
        <v>638</v>
      </c>
      <c r="G59" s="18" t="s">
        <v>758</v>
      </c>
      <c r="H59" s="19">
        <v>43628</v>
      </c>
      <c r="I59" s="18">
        <v>5</v>
      </c>
      <c r="J59" s="18">
        <v>70</v>
      </c>
      <c r="K59" s="18">
        <v>21.811048480956899</v>
      </c>
      <c r="L59" s="18" t="s">
        <v>451</v>
      </c>
      <c r="M59" s="18" t="s">
        <v>451</v>
      </c>
      <c r="N59" s="18">
        <f t="shared" si="0"/>
        <v>1557.9320343540642</v>
      </c>
      <c r="O59" s="18" t="s">
        <v>451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</row>
    <row r="60" spans="1:119" s="22" customFormat="1" ht="16" customHeight="1" x14ac:dyDescent="0.2">
      <c r="A60" s="18">
        <v>590</v>
      </c>
      <c r="B60" s="18" t="s">
        <v>468</v>
      </c>
      <c r="C60" s="18" t="s">
        <v>756</v>
      </c>
      <c r="D60" s="18" t="s">
        <v>757</v>
      </c>
      <c r="E60" s="18" t="s">
        <v>470</v>
      </c>
      <c r="F60" s="18" t="s">
        <v>638</v>
      </c>
      <c r="G60" s="18" t="s">
        <v>758</v>
      </c>
      <c r="H60" s="19">
        <v>43628</v>
      </c>
      <c r="I60" s="18">
        <v>5</v>
      </c>
      <c r="J60" s="18">
        <v>70</v>
      </c>
      <c r="K60" s="18">
        <v>21.185785727093201</v>
      </c>
      <c r="L60" s="18" t="s">
        <v>451</v>
      </c>
      <c r="M60" s="18" t="s">
        <v>451</v>
      </c>
      <c r="N60" s="18">
        <f t="shared" si="0"/>
        <v>1513.270409078086</v>
      </c>
      <c r="O60" s="18" t="s">
        <v>451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</row>
    <row r="61" spans="1:119" s="22" customFormat="1" ht="16" customHeight="1" x14ac:dyDescent="0.2">
      <c r="A61" s="18">
        <v>556</v>
      </c>
      <c r="B61" s="18" t="s">
        <v>468</v>
      </c>
      <c r="C61" s="18" t="s">
        <v>756</v>
      </c>
      <c r="D61" s="18" t="s">
        <v>757</v>
      </c>
      <c r="E61" s="18" t="s">
        <v>470</v>
      </c>
      <c r="F61" s="18" t="s">
        <v>638</v>
      </c>
      <c r="G61" s="18" t="s">
        <v>759</v>
      </c>
      <c r="H61" s="19">
        <v>43628</v>
      </c>
      <c r="I61" s="18">
        <v>5</v>
      </c>
      <c r="J61" s="18">
        <v>70</v>
      </c>
      <c r="K61" s="18">
        <v>25.520705214538602</v>
      </c>
      <c r="L61" s="18" t="s">
        <v>451</v>
      </c>
      <c r="M61" s="18" t="s">
        <v>451</v>
      </c>
      <c r="N61" s="18">
        <f t="shared" si="0"/>
        <v>1822.9075153241859</v>
      </c>
      <c r="O61" s="18" t="s">
        <v>451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</row>
    <row r="62" spans="1:119" s="22" customFormat="1" ht="16" customHeight="1" x14ac:dyDescent="0.2">
      <c r="A62" s="18">
        <v>563</v>
      </c>
      <c r="B62" s="18" t="s">
        <v>468</v>
      </c>
      <c r="C62" s="18" t="s">
        <v>756</v>
      </c>
      <c r="D62" s="18" t="s">
        <v>757</v>
      </c>
      <c r="E62" s="18" t="s">
        <v>470</v>
      </c>
      <c r="F62" s="18" t="s">
        <v>638</v>
      </c>
      <c r="G62" s="18" t="s">
        <v>759</v>
      </c>
      <c r="H62" s="19">
        <v>43628</v>
      </c>
      <c r="I62" s="18">
        <v>5</v>
      </c>
      <c r="J62" s="18">
        <v>70</v>
      </c>
      <c r="K62" s="18">
        <v>42.486099419682603</v>
      </c>
      <c r="L62" s="18" t="s">
        <v>451</v>
      </c>
      <c r="M62" s="18" t="s">
        <v>451</v>
      </c>
      <c r="N62" s="18">
        <f t="shared" si="0"/>
        <v>3034.7213871201861</v>
      </c>
      <c r="O62" s="18" t="s">
        <v>451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</row>
    <row r="63" spans="1:119" s="22" customFormat="1" ht="16" customHeight="1" x14ac:dyDescent="0.2">
      <c r="A63" s="18">
        <v>570</v>
      </c>
      <c r="B63" s="18" t="s">
        <v>468</v>
      </c>
      <c r="C63" s="18" t="s">
        <v>756</v>
      </c>
      <c r="D63" s="18" t="s">
        <v>757</v>
      </c>
      <c r="E63" s="18" t="s">
        <v>470</v>
      </c>
      <c r="F63" s="18" t="s">
        <v>638</v>
      </c>
      <c r="G63" s="18" t="s">
        <v>759</v>
      </c>
      <c r="H63" s="19">
        <v>43628</v>
      </c>
      <c r="I63" s="18">
        <v>5</v>
      </c>
      <c r="J63" s="18">
        <v>70</v>
      </c>
      <c r="K63" s="18">
        <v>30.1906369582167</v>
      </c>
      <c r="L63" s="18" t="s">
        <v>451</v>
      </c>
      <c r="M63" s="18" t="s">
        <v>451</v>
      </c>
      <c r="N63" s="18">
        <f t="shared" si="0"/>
        <v>2156.4740684440503</v>
      </c>
      <c r="O63" s="18" t="s">
        <v>451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</row>
    <row r="64" spans="1:119" s="22" customFormat="1" ht="16" customHeight="1" x14ac:dyDescent="0.2">
      <c r="A64" s="18">
        <v>577</v>
      </c>
      <c r="B64" s="18" t="s">
        <v>468</v>
      </c>
      <c r="C64" s="18" t="s">
        <v>756</v>
      </c>
      <c r="D64" s="18" t="s">
        <v>757</v>
      </c>
      <c r="E64" s="18" t="s">
        <v>470</v>
      </c>
      <c r="F64" s="18" t="s">
        <v>638</v>
      </c>
      <c r="G64" s="18" t="s">
        <v>760</v>
      </c>
      <c r="H64" s="19">
        <v>43628</v>
      </c>
      <c r="I64" s="18">
        <v>5</v>
      </c>
      <c r="J64" s="18">
        <v>70</v>
      </c>
      <c r="K64" s="18">
        <v>27.4268072494866</v>
      </c>
      <c r="L64" s="18" t="s">
        <v>451</v>
      </c>
      <c r="M64" s="18" t="s">
        <v>451</v>
      </c>
      <c r="N64" s="18">
        <f t="shared" si="0"/>
        <v>1959.0576606776146</v>
      </c>
      <c r="O64" s="18" t="s">
        <v>451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</row>
    <row r="65" spans="1:119" s="22" customFormat="1" ht="16" customHeight="1" x14ac:dyDescent="0.2">
      <c r="A65" s="18">
        <v>584</v>
      </c>
      <c r="B65" s="18" t="s">
        <v>468</v>
      </c>
      <c r="C65" s="18" t="s">
        <v>756</v>
      </c>
      <c r="D65" s="18" t="s">
        <v>757</v>
      </c>
      <c r="E65" s="18" t="s">
        <v>470</v>
      </c>
      <c r="F65" s="18" t="s">
        <v>638</v>
      </c>
      <c r="G65" s="18" t="s">
        <v>760</v>
      </c>
      <c r="H65" s="19">
        <v>43628</v>
      </c>
      <c r="I65" s="18">
        <v>5</v>
      </c>
      <c r="J65" s="18">
        <v>70</v>
      </c>
      <c r="K65" s="18">
        <v>24.142883906218199</v>
      </c>
      <c r="L65" s="18" t="s">
        <v>451</v>
      </c>
      <c r="M65" s="18" t="s">
        <v>451</v>
      </c>
      <c r="N65" s="18">
        <f t="shared" si="0"/>
        <v>1724.4917075870144</v>
      </c>
      <c r="O65" s="18" t="s">
        <v>451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</row>
    <row r="66" spans="1:119" s="22" customFormat="1" ht="16" customHeight="1" x14ac:dyDescent="0.2">
      <c r="A66" s="18">
        <v>591</v>
      </c>
      <c r="B66" s="18" t="s">
        <v>468</v>
      </c>
      <c r="C66" s="18" t="s">
        <v>756</v>
      </c>
      <c r="D66" s="18" t="s">
        <v>757</v>
      </c>
      <c r="E66" s="18" t="s">
        <v>470</v>
      </c>
      <c r="F66" s="18" t="s">
        <v>638</v>
      </c>
      <c r="G66" s="18" t="s">
        <v>760</v>
      </c>
      <c r="H66" s="19">
        <v>43628</v>
      </c>
      <c r="I66" s="18">
        <v>5</v>
      </c>
      <c r="J66" s="18">
        <v>70</v>
      </c>
      <c r="K66" s="18">
        <v>44.193714595712102</v>
      </c>
      <c r="L66" s="18" t="s">
        <v>451</v>
      </c>
      <c r="M66" s="18" t="s">
        <v>451</v>
      </c>
      <c r="N66" s="18">
        <f t="shared" si="0"/>
        <v>3156.6938996937215</v>
      </c>
      <c r="O66" s="18" t="s">
        <v>451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</row>
    <row r="67" spans="1:119" s="22" customFormat="1" ht="16" customHeight="1" x14ac:dyDescent="0.2">
      <c r="A67" s="16">
        <v>557</v>
      </c>
      <c r="B67" s="16" t="s">
        <v>472</v>
      </c>
      <c r="C67" s="16" t="s">
        <v>761</v>
      </c>
      <c r="D67" s="16" t="s">
        <v>762</v>
      </c>
      <c r="E67" s="16" t="s">
        <v>474</v>
      </c>
      <c r="F67" s="16" t="s">
        <v>638</v>
      </c>
      <c r="G67" s="16" t="s">
        <v>763</v>
      </c>
      <c r="H67" s="17">
        <v>43628</v>
      </c>
      <c r="I67" s="16">
        <v>5</v>
      </c>
      <c r="J67" s="16">
        <v>70</v>
      </c>
      <c r="K67" s="16">
        <v>32.143060530642003</v>
      </c>
      <c r="L67" s="16" t="s">
        <v>451</v>
      </c>
      <c r="M67" s="16" t="s">
        <v>451</v>
      </c>
      <c r="N67" s="16">
        <f t="shared" si="0"/>
        <v>2295.9328950458575</v>
      </c>
      <c r="O67" s="16" t="s">
        <v>451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</row>
    <row r="68" spans="1:119" s="22" customFormat="1" ht="16" customHeight="1" x14ac:dyDescent="0.2">
      <c r="A68" s="16">
        <v>564</v>
      </c>
      <c r="B68" s="16" t="s">
        <v>472</v>
      </c>
      <c r="C68" s="16" t="s">
        <v>761</v>
      </c>
      <c r="D68" s="16" t="s">
        <v>762</v>
      </c>
      <c r="E68" s="16" t="s">
        <v>474</v>
      </c>
      <c r="F68" s="16" t="s">
        <v>638</v>
      </c>
      <c r="G68" s="16" t="s">
        <v>763</v>
      </c>
      <c r="H68" s="17">
        <v>43628</v>
      </c>
      <c r="I68" s="16">
        <v>5</v>
      </c>
      <c r="J68" s="16">
        <v>70</v>
      </c>
      <c r="K68" s="16">
        <v>19.944740918084499</v>
      </c>
      <c r="L68" s="16" t="s">
        <v>451</v>
      </c>
      <c r="M68" s="16" t="s">
        <v>451</v>
      </c>
      <c r="N68" s="16">
        <f t="shared" ref="N68:N131" si="1">K68*I68*(1000/J68)</f>
        <v>1424.6243512917501</v>
      </c>
      <c r="O68" s="16" t="s">
        <v>451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</row>
    <row r="69" spans="1:119" s="22" customFormat="1" ht="16" customHeight="1" x14ac:dyDescent="0.2">
      <c r="A69" s="16">
        <v>571</v>
      </c>
      <c r="B69" s="16" t="s">
        <v>472</v>
      </c>
      <c r="C69" s="16" t="s">
        <v>761</v>
      </c>
      <c r="D69" s="16" t="s">
        <v>762</v>
      </c>
      <c r="E69" s="16" t="s">
        <v>474</v>
      </c>
      <c r="F69" s="16" t="s">
        <v>638</v>
      </c>
      <c r="G69" s="16" t="s">
        <v>763</v>
      </c>
      <c r="H69" s="17">
        <v>43628</v>
      </c>
      <c r="I69" s="16">
        <v>5</v>
      </c>
      <c r="J69" s="16">
        <v>70</v>
      </c>
      <c r="K69" s="16">
        <v>30.8624319359506</v>
      </c>
      <c r="L69" s="16" t="s">
        <v>451</v>
      </c>
      <c r="M69" s="16" t="s">
        <v>451</v>
      </c>
      <c r="N69" s="16">
        <f t="shared" si="1"/>
        <v>2204.4594239964713</v>
      </c>
      <c r="O69" s="16" t="s">
        <v>451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</row>
    <row r="70" spans="1:119" s="22" customFormat="1" ht="16" customHeight="1" x14ac:dyDescent="0.2">
      <c r="A70" s="16">
        <v>578</v>
      </c>
      <c r="B70" s="16" t="s">
        <v>472</v>
      </c>
      <c r="C70" s="16" t="s">
        <v>761</v>
      </c>
      <c r="D70" s="16" t="s">
        <v>762</v>
      </c>
      <c r="E70" s="16" t="s">
        <v>474</v>
      </c>
      <c r="F70" s="16" t="s">
        <v>638</v>
      </c>
      <c r="G70" s="16" t="s">
        <v>764</v>
      </c>
      <c r="H70" s="17">
        <v>43628</v>
      </c>
      <c r="I70" s="16">
        <v>5</v>
      </c>
      <c r="J70" s="16">
        <v>70</v>
      </c>
      <c r="K70" s="16">
        <v>42.082490514735397</v>
      </c>
      <c r="L70" s="16" t="s">
        <v>451</v>
      </c>
      <c r="M70" s="16" t="s">
        <v>451</v>
      </c>
      <c r="N70" s="16">
        <f t="shared" si="1"/>
        <v>3005.8921796239574</v>
      </c>
      <c r="O70" s="16" t="s">
        <v>451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</row>
    <row r="71" spans="1:119" s="20" customFormat="1" ht="16" customHeight="1" x14ac:dyDescent="0.2">
      <c r="A71" s="16">
        <v>585</v>
      </c>
      <c r="B71" s="16" t="s">
        <v>472</v>
      </c>
      <c r="C71" s="16" t="s">
        <v>761</v>
      </c>
      <c r="D71" s="16" t="s">
        <v>762</v>
      </c>
      <c r="E71" s="16" t="s">
        <v>474</v>
      </c>
      <c r="F71" s="16" t="s">
        <v>638</v>
      </c>
      <c r="G71" s="16" t="s">
        <v>764</v>
      </c>
      <c r="H71" s="17">
        <v>43628</v>
      </c>
      <c r="I71" s="16">
        <v>5</v>
      </c>
      <c r="J71" s="16">
        <v>70</v>
      </c>
      <c r="K71" s="16">
        <v>36.978539605978</v>
      </c>
      <c r="L71" s="16" t="s">
        <v>451</v>
      </c>
      <c r="M71" s="16" t="s">
        <v>451</v>
      </c>
      <c r="N71" s="16">
        <f t="shared" si="1"/>
        <v>2641.3242575698573</v>
      </c>
      <c r="O71" s="16" t="s">
        <v>451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</row>
    <row r="72" spans="1:119" s="20" customFormat="1" ht="16" customHeight="1" x14ac:dyDescent="0.2">
      <c r="A72" s="16">
        <v>592</v>
      </c>
      <c r="B72" s="16" t="s">
        <v>472</v>
      </c>
      <c r="C72" s="16" t="s">
        <v>761</v>
      </c>
      <c r="D72" s="16" t="s">
        <v>762</v>
      </c>
      <c r="E72" s="16" t="s">
        <v>474</v>
      </c>
      <c r="F72" s="16" t="s">
        <v>638</v>
      </c>
      <c r="G72" s="16" t="s">
        <v>764</v>
      </c>
      <c r="H72" s="17">
        <v>43628</v>
      </c>
      <c r="I72" s="16">
        <v>5</v>
      </c>
      <c r="J72" s="16">
        <v>70</v>
      </c>
      <c r="K72" s="16">
        <v>46.780907003625302</v>
      </c>
      <c r="L72" s="16" t="s">
        <v>451</v>
      </c>
      <c r="M72" s="16" t="s">
        <v>451</v>
      </c>
      <c r="N72" s="16">
        <f t="shared" si="1"/>
        <v>3341.4933574018078</v>
      </c>
      <c r="O72" s="16" t="s">
        <v>451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</row>
    <row r="73" spans="1:119" s="20" customFormat="1" ht="16" customHeight="1" x14ac:dyDescent="0.2">
      <c r="A73" s="16">
        <v>558</v>
      </c>
      <c r="B73" s="16" t="s">
        <v>472</v>
      </c>
      <c r="C73" s="16" t="s">
        <v>761</v>
      </c>
      <c r="D73" s="16" t="s">
        <v>762</v>
      </c>
      <c r="E73" s="16" t="s">
        <v>474</v>
      </c>
      <c r="F73" s="16" t="s">
        <v>638</v>
      </c>
      <c r="G73" s="16" t="s">
        <v>765</v>
      </c>
      <c r="H73" s="17">
        <v>43628</v>
      </c>
      <c r="I73" s="16">
        <v>5</v>
      </c>
      <c r="J73" s="16">
        <v>70</v>
      </c>
      <c r="K73" s="16">
        <v>56.142625134240198</v>
      </c>
      <c r="L73" s="16" t="s">
        <v>451</v>
      </c>
      <c r="M73" s="16" t="s">
        <v>451</v>
      </c>
      <c r="N73" s="16">
        <f t="shared" si="1"/>
        <v>4010.1875095885857</v>
      </c>
      <c r="O73" s="16" t="s">
        <v>451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</row>
    <row r="74" spans="1:119" s="20" customFormat="1" ht="16" customHeight="1" x14ac:dyDescent="0.2">
      <c r="A74" s="16">
        <v>565</v>
      </c>
      <c r="B74" s="16" t="s">
        <v>472</v>
      </c>
      <c r="C74" s="16" t="s">
        <v>761</v>
      </c>
      <c r="D74" s="16" t="s">
        <v>762</v>
      </c>
      <c r="E74" s="16" t="s">
        <v>474</v>
      </c>
      <c r="F74" s="16" t="s">
        <v>638</v>
      </c>
      <c r="G74" s="16" t="s">
        <v>765</v>
      </c>
      <c r="H74" s="17">
        <v>43628</v>
      </c>
      <c r="I74" s="16">
        <v>5</v>
      </c>
      <c r="J74" s="16">
        <v>70</v>
      </c>
      <c r="K74" s="16">
        <v>66.259053770844403</v>
      </c>
      <c r="L74" s="16" t="s">
        <v>451</v>
      </c>
      <c r="M74" s="16" t="s">
        <v>451</v>
      </c>
      <c r="N74" s="16">
        <f t="shared" si="1"/>
        <v>4732.7895550603143</v>
      </c>
      <c r="O74" s="16" t="s">
        <v>451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</row>
    <row r="75" spans="1:119" s="20" customFormat="1" ht="16" customHeight="1" x14ac:dyDescent="0.2">
      <c r="A75" s="16">
        <v>572</v>
      </c>
      <c r="B75" s="16" t="s">
        <v>472</v>
      </c>
      <c r="C75" s="16" t="s">
        <v>761</v>
      </c>
      <c r="D75" s="16" t="s">
        <v>762</v>
      </c>
      <c r="E75" s="16" t="s">
        <v>474</v>
      </c>
      <c r="F75" s="16" t="s">
        <v>638</v>
      </c>
      <c r="G75" s="16" t="s">
        <v>765</v>
      </c>
      <c r="H75" s="17">
        <v>43628</v>
      </c>
      <c r="I75" s="16">
        <v>5</v>
      </c>
      <c r="J75" s="16">
        <v>70</v>
      </c>
      <c r="K75" s="16">
        <v>30.536456622906801</v>
      </c>
      <c r="L75" s="16" t="s">
        <v>451</v>
      </c>
      <c r="M75" s="16" t="s">
        <v>451</v>
      </c>
      <c r="N75" s="16">
        <f t="shared" si="1"/>
        <v>2181.1754730647717</v>
      </c>
      <c r="O75" s="16" t="s">
        <v>451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</row>
    <row r="76" spans="1:119" s="20" customFormat="1" ht="16" customHeight="1" x14ac:dyDescent="0.2">
      <c r="A76" s="20">
        <v>579</v>
      </c>
      <c r="B76" s="20" t="s">
        <v>476</v>
      </c>
      <c r="C76" s="20" t="s">
        <v>761</v>
      </c>
      <c r="D76" s="20" t="s">
        <v>766</v>
      </c>
      <c r="E76" s="20" t="s">
        <v>474</v>
      </c>
      <c r="F76" s="20" t="s">
        <v>638</v>
      </c>
      <c r="G76" s="20" t="s">
        <v>767</v>
      </c>
      <c r="H76" s="21">
        <v>43628</v>
      </c>
      <c r="I76" s="20">
        <v>5</v>
      </c>
      <c r="J76" s="20">
        <v>50</v>
      </c>
      <c r="K76" s="20">
        <v>2.1747479363532398</v>
      </c>
      <c r="L76" s="20" t="s">
        <v>490</v>
      </c>
      <c r="M76" s="20" t="s">
        <v>8</v>
      </c>
      <c r="N76" s="20">
        <f t="shared" si="1"/>
        <v>217.47479363532398</v>
      </c>
      <c r="O76" s="20" t="s">
        <v>451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</row>
    <row r="77" spans="1:119" s="20" customFormat="1" ht="16" customHeight="1" x14ac:dyDescent="0.2">
      <c r="A77" s="20">
        <v>586</v>
      </c>
      <c r="B77" s="20" t="s">
        <v>476</v>
      </c>
      <c r="C77" s="20" t="s">
        <v>761</v>
      </c>
      <c r="D77" s="20" t="s">
        <v>766</v>
      </c>
      <c r="E77" s="20" t="s">
        <v>474</v>
      </c>
      <c r="F77" s="20" t="s">
        <v>638</v>
      </c>
      <c r="G77" s="20" t="s">
        <v>767</v>
      </c>
      <c r="H77" s="21">
        <v>43628</v>
      </c>
      <c r="I77" s="20">
        <v>5</v>
      </c>
      <c r="J77" s="20">
        <v>50</v>
      </c>
      <c r="K77" s="20">
        <v>1.7097459862420601</v>
      </c>
      <c r="L77" s="20" t="s">
        <v>490</v>
      </c>
      <c r="M77" s="20" t="s">
        <v>8</v>
      </c>
      <c r="N77" s="20">
        <f t="shared" si="1"/>
        <v>170.97459862420601</v>
      </c>
      <c r="O77" s="20" t="s">
        <v>451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</row>
    <row r="78" spans="1:119" s="20" customFormat="1" ht="16" customHeight="1" x14ac:dyDescent="0.2">
      <c r="A78" s="20">
        <v>593</v>
      </c>
      <c r="B78" s="20" t="s">
        <v>476</v>
      </c>
      <c r="C78" s="20" t="s">
        <v>761</v>
      </c>
      <c r="D78" s="20" t="s">
        <v>766</v>
      </c>
      <c r="E78" s="20" t="s">
        <v>474</v>
      </c>
      <c r="F78" s="20" t="s">
        <v>638</v>
      </c>
      <c r="G78" s="20" t="s">
        <v>767</v>
      </c>
      <c r="H78" s="21">
        <v>43628</v>
      </c>
      <c r="I78" s="20">
        <v>5</v>
      </c>
      <c r="J78" s="20">
        <v>50</v>
      </c>
      <c r="K78" s="20">
        <v>11.503160670338501</v>
      </c>
      <c r="L78" s="20" t="s">
        <v>490</v>
      </c>
      <c r="M78" s="20" t="s">
        <v>8</v>
      </c>
      <c r="N78" s="20">
        <f t="shared" si="1"/>
        <v>1150.31606703385</v>
      </c>
      <c r="O78" s="20" t="s">
        <v>451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</row>
    <row r="79" spans="1:119" s="20" customFormat="1" ht="16" customHeight="1" x14ac:dyDescent="0.2">
      <c r="A79" s="20">
        <v>559</v>
      </c>
      <c r="B79" s="20" t="s">
        <v>476</v>
      </c>
      <c r="C79" s="20" t="s">
        <v>761</v>
      </c>
      <c r="D79" s="20" t="s">
        <v>766</v>
      </c>
      <c r="E79" s="20" t="s">
        <v>474</v>
      </c>
      <c r="F79" s="20" t="s">
        <v>638</v>
      </c>
      <c r="G79" s="20" t="s">
        <v>768</v>
      </c>
      <c r="H79" s="21">
        <v>43628</v>
      </c>
      <c r="I79" s="20">
        <v>5</v>
      </c>
      <c r="J79" s="20">
        <v>50</v>
      </c>
      <c r="K79" s="20">
        <v>4.8708228352810803</v>
      </c>
      <c r="L79" s="20" t="s">
        <v>490</v>
      </c>
      <c r="M79" s="20" t="s">
        <v>8</v>
      </c>
      <c r="N79" s="20">
        <f t="shared" si="1"/>
        <v>487.08228352810806</v>
      </c>
      <c r="O79" s="20" t="s">
        <v>451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</row>
    <row r="80" spans="1:119" s="20" customFormat="1" ht="16" customHeight="1" x14ac:dyDescent="0.2">
      <c r="A80" s="20">
        <v>566</v>
      </c>
      <c r="B80" s="20" t="s">
        <v>476</v>
      </c>
      <c r="C80" s="20" t="s">
        <v>761</v>
      </c>
      <c r="D80" s="20" t="s">
        <v>766</v>
      </c>
      <c r="E80" s="20" t="s">
        <v>474</v>
      </c>
      <c r="F80" s="20" t="s">
        <v>638</v>
      </c>
      <c r="G80" s="20" t="s">
        <v>768</v>
      </c>
      <c r="H80" s="21">
        <v>43628</v>
      </c>
      <c r="I80" s="20">
        <v>5</v>
      </c>
      <c r="J80" s="20">
        <v>50</v>
      </c>
      <c r="K80" s="20">
        <v>12.4444784776279</v>
      </c>
      <c r="L80" s="20" t="s">
        <v>490</v>
      </c>
      <c r="M80" s="20" t="s">
        <v>8</v>
      </c>
      <c r="N80" s="20">
        <f t="shared" si="1"/>
        <v>1244.4478477627899</v>
      </c>
      <c r="O80" s="20" t="s">
        <v>451</v>
      </c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</row>
    <row r="81" spans="1:119" s="20" customFormat="1" ht="16" customHeight="1" x14ac:dyDescent="0.2">
      <c r="A81" s="20">
        <v>573</v>
      </c>
      <c r="B81" s="20" t="s">
        <v>476</v>
      </c>
      <c r="C81" s="20" t="s">
        <v>761</v>
      </c>
      <c r="D81" s="20" t="s">
        <v>766</v>
      </c>
      <c r="E81" s="20" t="s">
        <v>474</v>
      </c>
      <c r="F81" s="20" t="s">
        <v>638</v>
      </c>
      <c r="G81" s="20" t="s">
        <v>768</v>
      </c>
      <c r="H81" s="21">
        <v>43628</v>
      </c>
      <c r="I81" s="20">
        <v>5</v>
      </c>
      <c r="J81" s="20">
        <v>50</v>
      </c>
      <c r="K81" s="20">
        <v>21.038077866236801</v>
      </c>
      <c r="L81" s="20" t="s">
        <v>490</v>
      </c>
      <c r="M81" s="20" t="s">
        <v>8</v>
      </c>
      <c r="N81" s="20">
        <f t="shared" si="1"/>
        <v>2103.8077866236799</v>
      </c>
      <c r="O81" s="20" t="s">
        <v>451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</row>
    <row r="82" spans="1:119" s="20" customFormat="1" ht="16" customHeight="1" x14ac:dyDescent="0.2">
      <c r="A82" s="20">
        <v>580</v>
      </c>
      <c r="B82" s="20" t="s">
        <v>476</v>
      </c>
      <c r="C82" s="20" t="s">
        <v>761</v>
      </c>
      <c r="D82" s="20" t="s">
        <v>766</v>
      </c>
      <c r="E82" s="20" t="s">
        <v>474</v>
      </c>
      <c r="F82" s="20" t="s">
        <v>638</v>
      </c>
      <c r="G82" s="20" t="s">
        <v>769</v>
      </c>
      <c r="H82" s="21">
        <v>43628</v>
      </c>
      <c r="I82" s="20">
        <v>5</v>
      </c>
      <c r="J82" s="20">
        <v>50</v>
      </c>
      <c r="K82" s="20">
        <v>9.4945241616474103</v>
      </c>
      <c r="L82" s="20" t="s">
        <v>490</v>
      </c>
      <c r="M82" s="20" t="s">
        <v>8</v>
      </c>
      <c r="N82" s="20">
        <f t="shared" si="1"/>
        <v>949.45241616474107</v>
      </c>
      <c r="O82" s="20" t="s">
        <v>451</v>
      </c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</row>
    <row r="83" spans="1:119" s="20" customFormat="1" ht="16" customHeight="1" x14ac:dyDescent="0.2">
      <c r="A83" s="20">
        <v>587</v>
      </c>
      <c r="B83" s="20" t="s">
        <v>476</v>
      </c>
      <c r="C83" s="20" t="s">
        <v>761</v>
      </c>
      <c r="D83" s="20" t="s">
        <v>766</v>
      </c>
      <c r="E83" s="20" t="s">
        <v>474</v>
      </c>
      <c r="F83" s="20" t="s">
        <v>638</v>
      </c>
      <c r="G83" s="20" t="s">
        <v>769</v>
      </c>
      <c r="H83" s="21">
        <v>43628</v>
      </c>
      <c r="I83" s="20">
        <v>5</v>
      </c>
      <c r="J83" s="20">
        <v>50</v>
      </c>
      <c r="K83" s="20">
        <v>2.8805575743851399</v>
      </c>
      <c r="L83" s="20" t="s">
        <v>490</v>
      </c>
      <c r="M83" s="20" t="s">
        <v>8</v>
      </c>
      <c r="N83" s="20">
        <f t="shared" si="1"/>
        <v>288.05575743851398</v>
      </c>
      <c r="O83" s="20" t="s">
        <v>451</v>
      </c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</row>
    <row r="84" spans="1:119" s="20" customFormat="1" ht="16" customHeight="1" x14ac:dyDescent="0.2">
      <c r="A84" s="20">
        <v>594</v>
      </c>
      <c r="B84" s="20" t="s">
        <v>476</v>
      </c>
      <c r="C84" s="20" t="s">
        <v>761</v>
      </c>
      <c r="D84" s="20" t="s">
        <v>766</v>
      </c>
      <c r="E84" s="20" t="s">
        <v>474</v>
      </c>
      <c r="F84" s="20" t="s">
        <v>638</v>
      </c>
      <c r="G84" s="20" t="s">
        <v>769</v>
      </c>
      <c r="H84" s="21">
        <v>43628</v>
      </c>
      <c r="I84" s="20">
        <v>5</v>
      </c>
      <c r="J84" s="20">
        <v>50</v>
      </c>
      <c r="K84" s="20">
        <v>7.5742030963870102</v>
      </c>
      <c r="L84" s="20" t="s">
        <v>490</v>
      </c>
      <c r="M84" s="20" t="s">
        <v>8</v>
      </c>
      <c r="N84" s="20">
        <f t="shared" si="1"/>
        <v>757.42030963870104</v>
      </c>
      <c r="O84" s="20" t="s">
        <v>451</v>
      </c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</row>
    <row r="85" spans="1:119" s="20" customFormat="1" ht="16" customHeight="1" x14ac:dyDescent="0.2">
      <c r="A85" s="16">
        <v>595</v>
      </c>
      <c r="B85" s="16" t="s">
        <v>478</v>
      </c>
      <c r="C85" s="16" t="s">
        <v>770</v>
      </c>
      <c r="D85" s="16" t="s">
        <v>771</v>
      </c>
      <c r="E85" s="16" t="s">
        <v>480</v>
      </c>
      <c r="F85" s="16" t="s">
        <v>638</v>
      </c>
      <c r="G85" s="16" t="s">
        <v>772</v>
      </c>
      <c r="H85" s="17">
        <v>43628</v>
      </c>
      <c r="I85" s="16">
        <v>5</v>
      </c>
      <c r="J85" s="16">
        <v>60</v>
      </c>
      <c r="K85" s="16">
        <v>3.4038712596616598</v>
      </c>
      <c r="L85" s="16" t="s">
        <v>451</v>
      </c>
      <c r="M85" s="16" t="s">
        <v>451</v>
      </c>
      <c r="N85" s="16">
        <f t="shared" si="1"/>
        <v>283.65593830513836</v>
      </c>
      <c r="O85" s="16" t="s">
        <v>451</v>
      </c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</row>
    <row r="86" spans="1:119" s="20" customFormat="1" ht="16" customHeight="1" x14ac:dyDescent="0.2">
      <c r="A86" s="16">
        <v>602</v>
      </c>
      <c r="B86" s="16" t="s">
        <v>478</v>
      </c>
      <c r="C86" s="16" t="s">
        <v>770</v>
      </c>
      <c r="D86" s="16" t="s">
        <v>771</v>
      </c>
      <c r="E86" s="16" t="s">
        <v>480</v>
      </c>
      <c r="F86" s="16" t="s">
        <v>638</v>
      </c>
      <c r="G86" s="16" t="s">
        <v>772</v>
      </c>
      <c r="H86" s="17">
        <v>43628</v>
      </c>
      <c r="I86" s="16">
        <v>5</v>
      </c>
      <c r="J86" s="16">
        <v>60</v>
      </c>
      <c r="K86" s="16">
        <v>6.7432504139591298</v>
      </c>
      <c r="L86" s="16" t="s">
        <v>451</v>
      </c>
      <c r="M86" s="16" t="s">
        <v>451</v>
      </c>
      <c r="N86" s="16">
        <f t="shared" si="1"/>
        <v>561.93753449659425</v>
      </c>
      <c r="O86" s="16" t="s">
        <v>451</v>
      </c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</row>
    <row r="87" spans="1:119" s="20" customFormat="1" ht="16" customHeight="1" x14ac:dyDescent="0.2">
      <c r="A87" s="16">
        <v>609</v>
      </c>
      <c r="B87" s="16" t="s">
        <v>478</v>
      </c>
      <c r="C87" s="16" t="s">
        <v>770</v>
      </c>
      <c r="D87" s="16" t="s">
        <v>771</v>
      </c>
      <c r="E87" s="16" t="s">
        <v>480</v>
      </c>
      <c r="F87" s="16" t="s">
        <v>638</v>
      </c>
      <c r="G87" s="16" t="s">
        <v>772</v>
      </c>
      <c r="H87" s="17">
        <v>43628</v>
      </c>
      <c r="I87" s="16">
        <v>5</v>
      </c>
      <c r="J87" s="16">
        <v>60</v>
      </c>
      <c r="K87" s="16">
        <v>0</v>
      </c>
      <c r="L87" s="16" t="s">
        <v>451</v>
      </c>
      <c r="M87" s="16" t="s">
        <v>451</v>
      </c>
      <c r="N87" s="16">
        <f t="shared" si="1"/>
        <v>0</v>
      </c>
      <c r="O87" s="16" t="s">
        <v>451</v>
      </c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</row>
    <row r="88" spans="1:119" s="20" customFormat="1" ht="16" customHeight="1" x14ac:dyDescent="0.2">
      <c r="A88" s="16">
        <v>616</v>
      </c>
      <c r="B88" s="16" t="s">
        <v>478</v>
      </c>
      <c r="C88" s="16" t="s">
        <v>770</v>
      </c>
      <c r="D88" s="16" t="s">
        <v>771</v>
      </c>
      <c r="E88" s="16" t="s">
        <v>480</v>
      </c>
      <c r="F88" s="16" t="s">
        <v>638</v>
      </c>
      <c r="G88" s="16" t="s">
        <v>773</v>
      </c>
      <c r="H88" s="17">
        <v>43628</v>
      </c>
      <c r="I88" s="16">
        <v>5</v>
      </c>
      <c r="J88" s="16">
        <v>60</v>
      </c>
      <c r="K88" s="16">
        <v>6.1130167404869704</v>
      </c>
      <c r="L88" s="16" t="s">
        <v>451</v>
      </c>
      <c r="M88" s="16" t="s">
        <v>451</v>
      </c>
      <c r="N88" s="16">
        <f t="shared" si="1"/>
        <v>509.41806170724755</v>
      </c>
      <c r="O88" s="16" t="s">
        <v>451</v>
      </c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</row>
    <row r="89" spans="1:119" s="22" customFormat="1" ht="16" customHeight="1" x14ac:dyDescent="0.2">
      <c r="A89" s="16">
        <v>621</v>
      </c>
      <c r="B89" s="16" t="s">
        <v>478</v>
      </c>
      <c r="C89" s="16" t="s">
        <v>770</v>
      </c>
      <c r="D89" s="16" t="s">
        <v>771</v>
      </c>
      <c r="E89" s="16" t="s">
        <v>480</v>
      </c>
      <c r="F89" s="16" t="s">
        <v>638</v>
      </c>
      <c r="G89" s="16" t="s">
        <v>773</v>
      </c>
      <c r="H89" s="17">
        <v>43628</v>
      </c>
      <c r="I89" s="16">
        <v>5</v>
      </c>
      <c r="J89" s="16">
        <v>60</v>
      </c>
      <c r="K89" s="16">
        <v>5.9197177845994604</v>
      </c>
      <c r="L89" s="16" t="s">
        <v>451</v>
      </c>
      <c r="M89" s="16" t="s">
        <v>451</v>
      </c>
      <c r="N89" s="16">
        <f t="shared" si="1"/>
        <v>493.30981538328837</v>
      </c>
      <c r="O89" s="16" t="s">
        <v>451</v>
      </c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</row>
    <row r="90" spans="1:119" s="22" customFormat="1" ht="16" customHeight="1" x14ac:dyDescent="0.2">
      <c r="A90" s="16">
        <v>626</v>
      </c>
      <c r="B90" s="16" t="s">
        <v>478</v>
      </c>
      <c r="C90" s="16" t="s">
        <v>770</v>
      </c>
      <c r="D90" s="16" t="s">
        <v>771</v>
      </c>
      <c r="E90" s="16" t="s">
        <v>480</v>
      </c>
      <c r="F90" s="16" t="s">
        <v>638</v>
      </c>
      <c r="G90" s="16" t="s">
        <v>773</v>
      </c>
      <c r="H90" s="17">
        <v>43628</v>
      </c>
      <c r="I90" s="16">
        <v>5</v>
      </c>
      <c r="J90" s="16">
        <v>60</v>
      </c>
      <c r="K90" s="16">
        <v>2.1670316530517901</v>
      </c>
      <c r="L90" s="16" t="s">
        <v>451</v>
      </c>
      <c r="M90" s="16" t="s">
        <v>451</v>
      </c>
      <c r="N90" s="16">
        <f t="shared" si="1"/>
        <v>180.5859710876492</v>
      </c>
      <c r="O90" s="16" t="s">
        <v>451</v>
      </c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</row>
    <row r="91" spans="1:119" s="22" customFormat="1" ht="16" customHeight="1" x14ac:dyDescent="0.2">
      <c r="A91" s="16">
        <v>596</v>
      </c>
      <c r="B91" s="16" t="s">
        <v>478</v>
      </c>
      <c r="C91" s="16" t="s">
        <v>770</v>
      </c>
      <c r="D91" s="16" t="s">
        <v>771</v>
      </c>
      <c r="E91" s="16" t="s">
        <v>480</v>
      </c>
      <c r="F91" s="16" t="s">
        <v>638</v>
      </c>
      <c r="G91" s="16" t="s">
        <v>774</v>
      </c>
      <c r="H91" s="17">
        <v>43628</v>
      </c>
      <c r="I91" s="16">
        <v>5</v>
      </c>
      <c r="J91" s="16">
        <v>60</v>
      </c>
      <c r="K91" s="16">
        <v>12.694756781953201</v>
      </c>
      <c r="L91" s="16" t="s">
        <v>451</v>
      </c>
      <c r="M91" s="16" t="s">
        <v>451</v>
      </c>
      <c r="N91" s="16">
        <f t="shared" si="1"/>
        <v>1057.8963984961001</v>
      </c>
      <c r="O91" s="16" t="s">
        <v>451</v>
      </c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</row>
    <row r="92" spans="1:119" s="22" customFormat="1" ht="16" customHeight="1" x14ac:dyDescent="0.2">
      <c r="A92" s="16">
        <v>603</v>
      </c>
      <c r="B92" s="16" t="s">
        <v>478</v>
      </c>
      <c r="C92" s="16" t="s">
        <v>770</v>
      </c>
      <c r="D92" s="16" t="s">
        <v>771</v>
      </c>
      <c r="E92" s="16" t="s">
        <v>480</v>
      </c>
      <c r="F92" s="16" t="s">
        <v>638</v>
      </c>
      <c r="G92" s="16" t="s">
        <v>774</v>
      </c>
      <c r="H92" s="17">
        <v>43628</v>
      </c>
      <c r="I92" s="16">
        <v>5</v>
      </c>
      <c r="J92" s="16">
        <v>60</v>
      </c>
      <c r="K92" s="16">
        <v>13.610054128269001</v>
      </c>
      <c r="L92" s="16" t="s">
        <v>451</v>
      </c>
      <c r="M92" s="16" t="s">
        <v>451</v>
      </c>
      <c r="N92" s="16">
        <f t="shared" si="1"/>
        <v>1134.1711773557502</v>
      </c>
      <c r="O92" s="16" t="s">
        <v>451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</row>
    <row r="93" spans="1:119" s="22" customFormat="1" ht="16" customHeight="1" x14ac:dyDescent="0.2">
      <c r="A93" s="16">
        <v>610</v>
      </c>
      <c r="B93" s="16" t="s">
        <v>478</v>
      </c>
      <c r="C93" s="16" t="s">
        <v>770</v>
      </c>
      <c r="D93" s="16" t="s">
        <v>771</v>
      </c>
      <c r="E93" s="16" t="s">
        <v>480</v>
      </c>
      <c r="F93" s="16" t="s">
        <v>638</v>
      </c>
      <c r="G93" s="16" t="s">
        <v>774</v>
      </c>
      <c r="H93" s="17">
        <v>43628</v>
      </c>
      <c r="I93" s="16">
        <v>5</v>
      </c>
      <c r="J93" s="16">
        <v>60</v>
      </c>
      <c r="K93" s="16">
        <v>6.6978996942497098</v>
      </c>
      <c r="L93" s="16" t="s">
        <v>451</v>
      </c>
      <c r="M93" s="16" t="s">
        <v>451</v>
      </c>
      <c r="N93" s="16">
        <f t="shared" si="1"/>
        <v>558.15830785414255</v>
      </c>
      <c r="O93" s="16" t="s">
        <v>451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</row>
    <row r="94" spans="1:119" s="22" customFormat="1" ht="16" customHeight="1" x14ac:dyDescent="0.2">
      <c r="A94" s="18">
        <v>597</v>
      </c>
      <c r="B94" s="18" t="s">
        <v>482</v>
      </c>
      <c r="C94" s="18" t="s">
        <v>775</v>
      </c>
      <c r="D94" s="18" t="s">
        <v>776</v>
      </c>
      <c r="E94" s="18" t="s">
        <v>484</v>
      </c>
      <c r="F94" s="18" t="s">
        <v>638</v>
      </c>
      <c r="G94" s="18" t="s">
        <v>777</v>
      </c>
      <c r="H94" s="19">
        <v>43629</v>
      </c>
      <c r="I94" s="18">
        <v>5</v>
      </c>
      <c r="J94" s="18">
        <v>120</v>
      </c>
      <c r="K94" s="18">
        <v>70.548772579786302</v>
      </c>
      <c r="L94" s="18" t="s">
        <v>451</v>
      </c>
      <c r="M94" s="18" t="s">
        <v>451</v>
      </c>
      <c r="N94" s="18">
        <f t="shared" si="1"/>
        <v>2939.5321908244296</v>
      </c>
      <c r="O94" s="18" t="s">
        <v>451</v>
      </c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</row>
    <row r="95" spans="1:119" s="22" customFormat="1" ht="16" customHeight="1" x14ac:dyDescent="0.2">
      <c r="A95" s="18">
        <v>604</v>
      </c>
      <c r="B95" s="18" t="s">
        <v>482</v>
      </c>
      <c r="C95" s="18" t="s">
        <v>775</v>
      </c>
      <c r="D95" s="18" t="s">
        <v>776</v>
      </c>
      <c r="E95" s="18" t="s">
        <v>484</v>
      </c>
      <c r="F95" s="18" t="s">
        <v>638</v>
      </c>
      <c r="G95" s="18" t="s">
        <v>777</v>
      </c>
      <c r="H95" s="19">
        <v>43629</v>
      </c>
      <c r="I95" s="18">
        <v>5</v>
      </c>
      <c r="J95" s="18">
        <v>120</v>
      </c>
      <c r="K95" s="18">
        <v>29.0055916275148</v>
      </c>
      <c r="L95" s="18" t="s">
        <v>451</v>
      </c>
      <c r="M95" s="18" t="s">
        <v>451</v>
      </c>
      <c r="N95" s="18">
        <f t="shared" si="1"/>
        <v>1208.5663178131167</v>
      </c>
      <c r="O95" s="18" t="s">
        <v>451</v>
      </c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</row>
    <row r="96" spans="1:119" s="22" customFormat="1" ht="16" customHeight="1" x14ac:dyDescent="0.2">
      <c r="A96" s="18">
        <v>611</v>
      </c>
      <c r="B96" s="18" t="s">
        <v>482</v>
      </c>
      <c r="C96" s="18" t="s">
        <v>775</v>
      </c>
      <c r="D96" s="18" t="s">
        <v>776</v>
      </c>
      <c r="E96" s="18" t="s">
        <v>484</v>
      </c>
      <c r="F96" s="18" t="s">
        <v>638</v>
      </c>
      <c r="G96" s="18" t="s">
        <v>777</v>
      </c>
      <c r="H96" s="19">
        <v>43629</v>
      </c>
      <c r="I96" s="18">
        <v>5</v>
      </c>
      <c r="J96" s="18">
        <v>120</v>
      </c>
      <c r="K96" s="18">
        <v>82.556601489402496</v>
      </c>
      <c r="L96" s="18" t="s">
        <v>451</v>
      </c>
      <c r="M96" s="18" t="s">
        <v>451</v>
      </c>
      <c r="N96" s="18">
        <f t="shared" si="1"/>
        <v>3439.858395391771</v>
      </c>
      <c r="O96" s="18" t="s">
        <v>451</v>
      </c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</row>
    <row r="97" spans="1:119" s="22" customFormat="1" ht="16" customHeight="1" x14ac:dyDescent="0.2">
      <c r="A97" s="18">
        <v>617</v>
      </c>
      <c r="B97" s="18" t="s">
        <v>482</v>
      </c>
      <c r="C97" s="18" t="s">
        <v>775</v>
      </c>
      <c r="D97" s="18" t="s">
        <v>776</v>
      </c>
      <c r="E97" s="18" t="s">
        <v>484</v>
      </c>
      <c r="F97" s="18" t="s">
        <v>638</v>
      </c>
      <c r="G97" s="18" t="s">
        <v>778</v>
      </c>
      <c r="H97" s="19">
        <v>43629</v>
      </c>
      <c r="I97" s="18">
        <v>5</v>
      </c>
      <c r="J97" s="18">
        <v>120</v>
      </c>
      <c r="K97" s="18">
        <v>41.554604009819201</v>
      </c>
      <c r="L97" s="18" t="s">
        <v>451</v>
      </c>
      <c r="M97" s="18" t="s">
        <v>451</v>
      </c>
      <c r="N97" s="18">
        <f t="shared" si="1"/>
        <v>1731.4418337424668</v>
      </c>
      <c r="O97" s="18" t="s">
        <v>451</v>
      </c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</row>
    <row r="98" spans="1:119" s="20" customFormat="1" ht="16" customHeight="1" x14ac:dyDescent="0.2">
      <c r="A98" s="18">
        <v>622</v>
      </c>
      <c r="B98" s="18" t="s">
        <v>482</v>
      </c>
      <c r="C98" s="18" t="s">
        <v>775</v>
      </c>
      <c r="D98" s="18" t="s">
        <v>776</v>
      </c>
      <c r="E98" s="18" t="s">
        <v>484</v>
      </c>
      <c r="F98" s="18" t="s">
        <v>638</v>
      </c>
      <c r="G98" s="18" t="s">
        <v>778</v>
      </c>
      <c r="H98" s="19">
        <v>43629</v>
      </c>
      <c r="I98" s="18">
        <v>5</v>
      </c>
      <c r="J98" s="18">
        <v>120</v>
      </c>
      <c r="K98" s="18">
        <v>29.473621332023601</v>
      </c>
      <c r="L98" s="18" t="s">
        <v>451</v>
      </c>
      <c r="M98" s="18" t="s">
        <v>451</v>
      </c>
      <c r="N98" s="18">
        <f t="shared" si="1"/>
        <v>1228.0675555009834</v>
      </c>
      <c r="O98" s="18" t="s">
        <v>451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</row>
    <row r="99" spans="1:119" s="20" customFormat="1" ht="16" customHeight="1" x14ac:dyDescent="0.2">
      <c r="A99" s="18">
        <v>627</v>
      </c>
      <c r="B99" s="18" t="s">
        <v>482</v>
      </c>
      <c r="C99" s="18" t="s">
        <v>775</v>
      </c>
      <c r="D99" s="18" t="s">
        <v>776</v>
      </c>
      <c r="E99" s="18" t="s">
        <v>484</v>
      </c>
      <c r="F99" s="18" t="s">
        <v>638</v>
      </c>
      <c r="G99" s="18" t="s">
        <v>778</v>
      </c>
      <c r="H99" s="19">
        <v>43629</v>
      </c>
      <c r="I99" s="18">
        <v>5</v>
      </c>
      <c r="J99" s="18">
        <v>120</v>
      </c>
      <c r="K99" s="18">
        <v>44.389701368499502</v>
      </c>
      <c r="L99" s="18" t="s">
        <v>451</v>
      </c>
      <c r="M99" s="18" t="s">
        <v>451</v>
      </c>
      <c r="N99" s="18">
        <f t="shared" si="1"/>
        <v>1849.5708903541461</v>
      </c>
      <c r="O99" s="18" t="s">
        <v>451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</row>
    <row r="100" spans="1:119" s="20" customFormat="1" ht="16" customHeight="1" x14ac:dyDescent="0.2">
      <c r="A100" s="18">
        <v>598</v>
      </c>
      <c r="B100" s="18" t="s">
        <v>482</v>
      </c>
      <c r="C100" s="18" t="s">
        <v>775</v>
      </c>
      <c r="D100" s="18" t="s">
        <v>776</v>
      </c>
      <c r="E100" s="18" t="s">
        <v>484</v>
      </c>
      <c r="F100" s="18" t="s">
        <v>638</v>
      </c>
      <c r="G100" s="18" t="s">
        <v>779</v>
      </c>
      <c r="H100" s="19">
        <v>43629</v>
      </c>
      <c r="I100" s="18">
        <v>5</v>
      </c>
      <c r="J100" s="18">
        <v>120</v>
      </c>
      <c r="K100" s="18">
        <v>97.199053295160098</v>
      </c>
      <c r="L100" s="18" t="s">
        <v>451</v>
      </c>
      <c r="M100" s="18" t="s">
        <v>451</v>
      </c>
      <c r="N100" s="18">
        <f t="shared" si="1"/>
        <v>4049.9605539650042</v>
      </c>
      <c r="O100" s="18" t="s">
        <v>451</v>
      </c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</row>
    <row r="101" spans="1:119" s="20" customFormat="1" ht="16" customHeight="1" x14ac:dyDescent="0.2">
      <c r="A101" s="18">
        <v>605</v>
      </c>
      <c r="B101" s="18" t="s">
        <v>482</v>
      </c>
      <c r="C101" s="18" t="s">
        <v>775</v>
      </c>
      <c r="D101" s="18" t="s">
        <v>776</v>
      </c>
      <c r="E101" s="18" t="s">
        <v>484</v>
      </c>
      <c r="F101" s="18" t="s">
        <v>638</v>
      </c>
      <c r="G101" s="18" t="s">
        <v>779</v>
      </c>
      <c r="H101" s="19">
        <v>43629</v>
      </c>
      <c r="I101" s="18">
        <v>5</v>
      </c>
      <c r="J101" s="18">
        <v>120</v>
      </c>
      <c r="K101" s="18">
        <v>80.8699440077947</v>
      </c>
      <c r="L101" s="18" t="s">
        <v>451</v>
      </c>
      <c r="M101" s="18" t="s">
        <v>451</v>
      </c>
      <c r="N101" s="18">
        <f t="shared" si="1"/>
        <v>3369.5810003247793</v>
      </c>
      <c r="O101" s="18" t="s">
        <v>451</v>
      </c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</row>
    <row r="102" spans="1:119" s="20" customFormat="1" ht="16" customHeight="1" x14ac:dyDescent="0.2">
      <c r="A102" s="18">
        <v>612</v>
      </c>
      <c r="B102" s="18" t="s">
        <v>482</v>
      </c>
      <c r="C102" s="18" t="s">
        <v>775</v>
      </c>
      <c r="D102" s="18" t="s">
        <v>776</v>
      </c>
      <c r="E102" s="18" t="s">
        <v>484</v>
      </c>
      <c r="F102" s="18" t="s">
        <v>638</v>
      </c>
      <c r="G102" s="18" t="s">
        <v>779</v>
      </c>
      <c r="H102" s="19">
        <v>43629</v>
      </c>
      <c r="I102" s="18">
        <v>5</v>
      </c>
      <c r="J102" s="18">
        <v>120</v>
      </c>
      <c r="K102" s="18">
        <v>96.799119752136605</v>
      </c>
      <c r="L102" s="18" t="s">
        <v>451</v>
      </c>
      <c r="M102" s="18" t="s">
        <v>451</v>
      </c>
      <c r="N102" s="18">
        <f t="shared" si="1"/>
        <v>4033.2966563390255</v>
      </c>
      <c r="O102" s="18" t="s">
        <v>451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</row>
    <row r="103" spans="1:119" s="20" customFormat="1" ht="16" customHeight="1" x14ac:dyDescent="0.2">
      <c r="A103" s="22">
        <v>599</v>
      </c>
      <c r="B103" s="22" t="s">
        <v>486</v>
      </c>
      <c r="C103" s="22" t="s">
        <v>780</v>
      </c>
      <c r="D103" s="22" t="s">
        <v>781</v>
      </c>
      <c r="E103" s="22" t="s">
        <v>488</v>
      </c>
      <c r="F103" s="22" t="s">
        <v>638</v>
      </c>
      <c r="G103" s="22" t="s">
        <v>782</v>
      </c>
      <c r="H103" s="23">
        <v>43629</v>
      </c>
      <c r="I103" s="22">
        <v>5</v>
      </c>
      <c r="J103" s="22">
        <v>210</v>
      </c>
      <c r="K103" s="22">
        <v>0</v>
      </c>
      <c r="L103" s="22" t="s">
        <v>451</v>
      </c>
      <c r="M103" s="22" t="s">
        <v>490</v>
      </c>
      <c r="N103" s="22">
        <f t="shared" si="1"/>
        <v>0</v>
      </c>
      <c r="O103" s="22" t="s">
        <v>451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</row>
    <row r="104" spans="1:119" s="20" customFormat="1" ht="16" customHeight="1" x14ac:dyDescent="0.2">
      <c r="A104" s="22">
        <v>606</v>
      </c>
      <c r="B104" s="22" t="s">
        <v>486</v>
      </c>
      <c r="C104" s="22" t="s">
        <v>780</v>
      </c>
      <c r="D104" s="22" t="s">
        <v>781</v>
      </c>
      <c r="E104" s="22" t="s">
        <v>488</v>
      </c>
      <c r="F104" s="22" t="s">
        <v>638</v>
      </c>
      <c r="G104" s="22" t="s">
        <v>782</v>
      </c>
      <c r="H104" s="23">
        <v>43629</v>
      </c>
      <c r="I104" s="22">
        <v>5</v>
      </c>
      <c r="J104" s="22">
        <v>210</v>
      </c>
      <c r="K104" s="22">
        <v>0</v>
      </c>
      <c r="L104" s="22" t="s">
        <v>451</v>
      </c>
      <c r="M104" s="22" t="s">
        <v>490</v>
      </c>
      <c r="N104" s="22">
        <f t="shared" si="1"/>
        <v>0</v>
      </c>
      <c r="O104" s="22" t="s">
        <v>451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</row>
    <row r="105" spans="1:119" s="20" customFormat="1" ht="16" customHeight="1" x14ac:dyDescent="0.2">
      <c r="A105" s="22">
        <v>613</v>
      </c>
      <c r="B105" s="22" t="s">
        <v>486</v>
      </c>
      <c r="C105" s="22" t="s">
        <v>780</v>
      </c>
      <c r="D105" s="22" t="s">
        <v>781</v>
      </c>
      <c r="E105" s="22" t="s">
        <v>488</v>
      </c>
      <c r="F105" s="22" t="s">
        <v>638</v>
      </c>
      <c r="G105" s="22" t="s">
        <v>782</v>
      </c>
      <c r="H105" s="23">
        <v>43629</v>
      </c>
      <c r="I105" s="22">
        <v>5</v>
      </c>
      <c r="J105" s="22">
        <v>210</v>
      </c>
      <c r="K105" s="22">
        <v>0</v>
      </c>
      <c r="L105" s="22" t="s">
        <v>451</v>
      </c>
      <c r="M105" s="22" t="s">
        <v>490</v>
      </c>
      <c r="N105" s="22">
        <f t="shared" si="1"/>
        <v>0</v>
      </c>
      <c r="O105" s="22" t="s">
        <v>451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</row>
    <row r="106" spans="1:119" s="20" customFormat="1" ht="16" customHeight="1" x14ac:dyDescent="0.2">
      <c r="A106" s="22">
        <v>618</v>
      </c>
      <c r="B106" s="22" t="s">
        <v>486</v>
      </c>
      <c r="C106" s="22" t="s">
        <v>780</v>
      </c>
      <c r="D106" s="22" t="s">
        <v>781</v>
      </c>
      <c r="E106" s="22" t="s">
        <v>488</v>
      </c>
      <c r="F106" s="22" t="s">
        <v>638</v>
      </c>
      <c r="G106" s="22" t="s">
        <v>783</v>
      </c>
      <c r="H106" s="23">
        <v>43629</v>
      </c>
      <c r="I106" s="22">
        <v>5</v>
      </c>
      <c r="J106" s="22">
        <v>210</v>
      </c>
      <c r="K106" s="22">
        <v>0</v>
      </c>
      <c r="L106" s="22" t="s">
        <v>451</v>
      </c>
      <c r="M106" s="22" t="s">
        <v>490</v>
      </c>
      <c r="N106" s="22">
        <f t="shared" si="1"/>
        <v>0</v>
      </c>
      <c r="O106" s="22" t="s">
        <v>451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</row>
    <row r="107" spans="1:119" s="20" customFormat="1" ht="16" customHeight="1" x14ac:dyDescent="0.2">
      <c r="A107" s="22">
        <v>623</v>
      </c>
      <c r="B107" s="22" t="s">
        <v>486</v>
      </c>
      <c r="C107" s="22" t="s">
        <v>780</v>
      </c>
      <c r="D107" s="22" t="s">
        <v>781</v>
      </c>
      <c r="E107" s="22" t="s">
        <v>488</v>
      </c>
      <c r="F107" s="22" t="s">
        <v>638</v>
      </c>
      <c r="G107" s="22" t="s">
        <v>783</v>
      </c>
      <c r="H107" s="23">
        <v>43629</v>
      </c>
      <c r="I107" s="22">
        <v>5</v>
      </c>
      <c r="J107" s="22">
        <v>210</v>
      </c>
      <c r="K107" s="22">
        <v>0</v>
      </c>
      <c r="L107" s="22" t="s">
        <v>451</v>
      </c>
      <c r="M107" s="22" t="s">
        <v>490</v>
      </c>
      <c r="N107" s="22">
        <f t="shared" si="1"/>
        <v>0</v>
      </c>
      <c r="O107" s="22" t="s">
        <v>451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</row>
    <row r="108" spans="1:119" s="20" customFormat="1" ht="16" customHeight="1" x14ac:dyDescent="0.2">
      <c r="A108" s="22">
        <v>628</v>
      </c>
      <c r="B108" s="22" t="s">
        <v>486</v>
      </c>
      <c r="C108" s="22" t="s">
        <v>780</v>
      </c>
      <c r="D108" s="22" t="s">
        <v>781</v>
      </c>
      <c r="E108" s="22" t="s">
        <v>488</v>
      </c>
      <c r="F108" s="22" t="s">
        <v>638</v>
      </c>
      <c r="G108" s="22" t="s">
        <v>783</v>
      </c>
      <c r="H108" s="23">
        <v>43629</v>
      </c>
      <c r="I108" s="22">
        <v>5</v>
      </c>
      <c r="J108" s="22">
        <v>210</v>
      </c>
      <c r="K108" s="22">
        <v>0</v>
      </c>
      <c r="L108" s="22" t="s">
        <v>451</v>
      </c>
      <c r="M108" s="22" t="s">
        <v>490</v>
      </c>
      <c r="N108" s="22">
        <f t="shared" si="1"/>
        <v>0</v>
      </c>
      <c r="O108" s="22" t="s">
        <v>451</v>
      </c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</row>
    <row r="109" spans="1:119" s="20" customFormat="1" ht="16" customHeight="1" x14ac:dyDescent="0.2">
      <c r="A109" s="22">
        <v>600</v>
      </c>
      <c r="B109" s="22" t="s">
        <v>486</v>
      </c>
      <c r="C109" s="22" t="s">
        <v>780</v>
      </c>
      <c r="D109" s="22" t="s">
        <v>781</v>
      </c>
      <c r="E109" s="22" t="s">
        <v>488</v>
      </c>
      <c r="F109" s="22" t="s">
        <v>638</v>
      </c>
      <c r="G109" s="22" t="s">
        <v>784</v>
      </c>
      <c r="H109" s="23">
        <v>43629</v>
      </c>
      <c r="I109" s="22">
        <v>5</v>
      </c>
      <c r="J109" s="22">
        <v>210</v>
      </c>
      <c r="K109" s="22">
        <v>0</v>
      </c>
      <c r="L109" s="22" t="s">
        <v>451</v>
      </c>
      <c r="M109" s="22" t="s">
        <v>490</v>
      </c>
      <c r="N109" s="22">
        <f t="shared" si="1"/>
        <v>0</v>
      </c>
      <c r="O109" s="22" t="s">
        <v>451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</row>
    <row r="110" spans="1:119" s="20" customFormat="1" ht="16" customHeight="1" x14ac:dyDescent="0.2">
      <c r="A110" s="22">
        <v>607</v>
      </c>
      <c r="B110" s="22" t="s">
        <v>486</v>
      </c>
      <c r="C110" s="22" t="s">
        <v>780</v>
      </c>
      <c r="D110" s="22" t="s">
        <v>781</v>
      </c>
      <c r="E110" s="22" t="s">
        <v>488</v>
      </c>
      <c r="F110" s="22" t="s">
        <v>638</v>
      </c>
      <c r="G110" s="22" t="s">
        <v>784</v>
      </c>
      <c r="H110" s="23">
        <v>43629</v>
      </c>
      <c r="I110" s="22">
        <v>5</v>
      </c>
      <c r="J110" s="22">
        <v>210</v>
      </c>
      <c r="K110" s="22">
        <v>0</v>
      </c>
      <c r="L110" s="22" t="s">
        <v>451</v>
      </c>
      <c r="M110" s="22" t="s">
        <v>490</v>
      </c>
      <c r="N110" s="22">
        <f t="shared" si="1"/>
        <v>0</v>
      </c>
      <c r="O110" s="22" t="s">
        <v>451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</row>
    <row r="111" spans="1:119" s="20" customFormat="1" ht="16" customHeight="1" x14ac:dyDescent="0.2">
      <c r="A111" s="22">
        <v>614</v>
      </c>
      <c r="B111" s="22" t="s">
        <v>486</v>
      </c>
      <c r="C111" s="22" t="s">
        <v>780</v>
      </c>
      <c r="D111" s="22" t="s">
        <v>781</v>
      </c>
      <c r="E111" s="22" t="s">
        <v>488</v>
      </c>
      <c r="F111" s="22" t="s">
        <v>638</v>
      </c>
      <c r="G111" s="22" t="s">
        <v>784</v>
      </c>
      <c r="H111" s="23">
        <v>43629</v>
      </c>
      <c r="I111" s="22">
        <v>5</v>
      </c>
      <c r="J111" s="22">
        <v>210</v>
      </c>
      <c r="K111" s="22">
        <v>0</v>
      </c>
      <c r="L111" s="22" t="s">
        <v>451</v>
      </c>
      <c r="M111" s="22" t="s">
        <v>490</v>
      </c>
      <c r="N111" s="22">
        <f t="shared" si="1"/>
        <v>0</v>
      </c>
      <c r="O111" s="22" t="s">
        <v>451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</row>
    <row r="112" spans="1:119" s="20" customFormat="1" ht="16" customHeight="1" x14ac:dyDescent="0.2">
      <c r="A112" s="22">
        <v>619</v>
      </c>
      <c r="B112" s="22" t="s">
        <v>486</v>
      </c>
      <c r="C112" s="22" t="s">
        <v>780</v>
      </c>
      <c r="D112" s="22" t="s">
        <v>781</v>
      </c>
      <c r="E112" s="22" t="s">
        <v>488</v>
      </c>
      <c r="F112" s="22" t="s">
        <v>638</v>
      </c>
      <c r="G112" s="22" t="s">
        <v>785</v>
      </c>
      <c r="H112" s="23">
        <v>43629</v>
      </c>
      <c r="I112" s="22">
        <v>5</v>
      </c>
      <c r="J112" s="22">
        <v>210</v>
      </c>
      <c r="K112" s="22">
        <v>0</v>
      </c>
      <c r="L112" s="22" t="s">
        <v>451</v>
      </c>
      <c r="M112" s="22" t="s">
        <v>490</v>
      </c>
      <c r="N112" s="22">
        <f t="shared" si="1"/>
        <v>0</v>
      </c>
      <c r="O112" s="16" t="s">
        <v>786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</row>
    <row r="113" spans="1:119" s="20" customFormat="1" ht="16" customHeight="1" x14ac:dyDescent="0.2">
      <c r="A113" s="22">
        <v>624</v>
      </c>
      <c r="B113" s="22" t="s">
        <v>486</v>
      </c>
      <c r="C113" s="22" t="s">
        <v>780</v>
      </c>
      <c r="D113" s="22" t="s">
        <v>781</v>
      </c>
      <c r="E113" s="22" t="s">
        <v>488</v>
      </c>
      <c r="F113" s="22" t="s">
        <v>638</v>
      </c>
      <c r="G113" s="22" t="s">
        <v>785</v>
      </c>
      <c r="H113" s="23">
        <v>43629</v>
      </c>
      <c r="I113" s="22">
        <v>5</v>
      </c>
      <c r="J113" s="22">
        <v>210</v>
      </c>
      <c r="K113" s="22">
        <v>0</v>
      </c>
      <c r="L113" s="22" t="s">
        <v>451</v>
      </c>
      <c r="M113" s="22" t="s">
        <v>490</v>
      </c>
      <c r="N113" s="22">
        <f t="shared" si="1"/>
        <v>0</v>
      </c>
      <c r="O113" s="16" t="s">
        <v>786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</row>
    <row r="114" spans="1:119" s="20" customFormat="1" ht="16" customHeight="1" x14ac:dyDescent="0.2">
      <c r="A114" s="22">
        <v>629</v>
      </c>
      <c r="B114" s="22" t="s">
        <v>486</v>
      </c>
      <c r="C114" s="22" t="s">
        <v>780</v>
      </c>
      <c r="D114" s="22" t="s">
        <v>781</v>
      </c>
      <c r="E114" s="22" t="s">
        <v>488</v>
      </c>
      <c r="F114" s="22" t="s">
        <v>638</v>
      </c>
      <c r="G114" s="22" t="s">
        <v>785</v>
      </c>
      <c r="H114" s="23">
        <v>43629</v>
      </c>
      <c r="I114" s="22">
        <v>5</v>
      </c>
      <c r="J114" s="22">
        <v>210</v>
      </c>
      <c r="K114" s="22">
        <v>0</v>
      </c>
      <c r="L114" s="22" t="s">
        <v>451</v>
      </c>
      <c r="M114" s="22" t="s">
        <v>490</v>
      </c>
      <c r="N114" s="22">
        <f t="shared" si="1"/>
        <v>0</v>
      </c>
      <c r="O114" s="16" t="s">
        <v>786</v>
      </c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</row>
    <row r="115" spans="1:119" s="20" customFormat="1" ht="16" customHeight="1" x14ac:dyDescent="0.2">
      <c r="A115" s="20">
        <v>601</v>
      </c>
      <c r="B115" s="20" t="s">
        <v>491</v>
      </c>
      <c r="C115" s="20" t="s">
        <v>787</v>
      </c>
      <c r="D115" s="20" t="s">
        <v>788</v>
      </c>
      <c r="E115" s="20" t="s">
        <v>493</v>
      </c>
      <c r="F115" s="20" t="s">
        <v>638</v>
      </c>
      <c r="G115" s="20" t="s">
        <v>789</v>
      </c>
      <c r="H115" s="21">
        <v>43629</v>
      </c>
      <c r="I115" s="20">
        <v>5</v>
      </c>
      <c r="J115" s="20">
        <v>200</v>
      </c>
      <c r="K115" s="20">
        <v>172.538116989206</v>
      </c>
      <c r="L115" s="20" t="s">
        <v>451</v>
      </c>
      <c r="M115" s="20" t="s">
        <v>451</v>
      </c>
      <c r="N115" s="20">
        <f t="shared" si="1"/>
        <v>4313.4529247301498</v>
      </c>
      <c r="O115" s="20" t="s">
        <v>451</v>
      </c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</row>
    <row r="116" spans="1:119" s="20" customFormat="1" ht="16" customHeight="1" x14ac:dyDescent="0.2">
      <c r="A116" s="20">
        <v>608</v>
      </c>
      <c r="B116" s="20" t="s">
        <v>491</v>
      </c>
      <c r="C116" s="20" t="s">
        <v>787</v>
      </c>
      <c r="D116" s="20" t="s">
        <v>788</v>
      </c>
      <c r="E116" s="20" t="s">
        <v>493</v>
      </c>
      <c r="F116" s="20" t="s">
        <v>638</v>
      </c>
      <c r="G116" s="20" t="s">
        <v>789</v>
      </c>
      <c r="H116" s="21">
        <v>43629</v>
      </c>
      <c r="I116" s="20">
        <v>5</v>
      </c>
      <c r="J116" s="20">
        <v>200</v>
      </c>
      <c r="K116" s="20">
        <v>131.316151599427</v>
      </c>
      <c r="L116" s="20" t="s">
        <v>451</v>
      </c>
      <c r="M116" s="20" t="s">
        <v>451</v>
      </c>
      <c r="N116" s="20">
        <f t="shared" si="1"/>
        <v>3282.9037899856753</v>
      </c>
      <c r="O116" s="20" t="s">
        <v>451</v>
      </c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</row>
    <row r="117" spans="1:119" s="20" customFormat="1" ht="16" customHeight="1" x14ac:dyDescent="0.2">
      <c r="A117" s="20">
        <v>615</v>
      </c>
      <c r="B117" s="20" t="s">
        <v>491</v>
      </c>
      <c r="C117" s="20" t="s">
        <v>787</v>
      </c>
      <c r="D117" s="20" t="s">
        <v>788</v>
      </c>
      <c r="E117" s="20" t="s">
        <v>493</v>
      </c>
      <c r="F117" s="20" t="s">
        <v>638</v>
      </c>
      <c r="G117" s="20" t="s">
        <v>789</v>
      </c>
      <c r="H117" s="21">
        <v>43629</v>
      </c>
      <c r="I117" s="20">
        <v>5</v>
      </c>
      <c r="J117" s="20">
        <v>200</v>
      </c>
      <c r="K117" s="20">
        <v>178.17371066724399</v>
      </c>
      <c r="L117" s="20" t="s">
        <v>451</v>
      </c>
      <c r="M117" s="20" t="s">
        <v>451</v>
      </c>
      <c r="N117" s="20">
        <f t="shared" si="1"/>
        <v>4454.3427666811003</v>
      </c>
      <c r="O117" s="20" t="s">
        <v>451</v>
      </c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</row>
    <row r="118" spans="1:119" s="20" customFormat="1" ht="16" customHeight="1" x14ac:dyDescent="0.2">
      <c r="A118" s="20">
        <v>620</v>
      </c>
      <c r="B118" s="20" t="s">
        <v>491</v>
      </c>
      <c r="C118" s="20" t="s">
        <v>787</v>
      </c>
      <c r="D118" s="20" t="s">
        <v>788</v>
      </c>
      <c r="E118" s="20" t="s">
        <v>493</v>
      </c>
      <c r="F118" s="20" t="s">
        <v>638</v>
      </c>
      <c r="G118" s="20" t="s">
        <v>790</v>
      </c>
      <c r="H118" s="21">
        <v>43629</v>
      </c>
      <c r="I118" s="20">
        <v>5</v>
      </c>
      <c r="J118" s="20">
        <v>200</v>
      </c>
      <c r="K118" s="20">
        <v>85.821716216081001</v>
      </c>
      <c r="L118" s="20" t="s">
        <v>451</v>
      </c>
      <c r="M118" s="20" t="s">
        <v>451</v>
      </c>
      <c r="N118" s="20">
        <f t="shared" si="1"/>
        <v>2145.5429054020251</v>
      </c>
      <c r="O118" s="20" t="s">
        <v>451</v>
      </c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</row>
    <row r="119" spans="1:119" s="22" customFormat="1" ht="16" customHeight="1" x14ac:dyDescent="0.2">
      <c r="A119" s="20">
        <v>625</v>
      </c>
      <c r="B119" s="20" t="s">
        <v>491</v>
      </c>
      <c r="C119" s="20" t="s">
        <v>787</v>
      </c>
      <c r="D119" s="20" t="s">
        <v>788</v>
      </c>
      <c r="E119" s="20" t="s">
        <v>493</v>
      </c>
      <c r="F119" s="20" t="s">
        <v>638</v>
      </c>
      <c r="G119" s="20" t="s">
        <v>790</v>
      </c>
      <c r="H119" s="21">
        <v>43629</v>
      </c>
      <c r="I119" s="20">
        <v>5</v>
      </c>
      <c r="J119" s="20">
        <v>200</v>
      </c>
      <c r="K119" s="20">
        <v>24.521025251532802</v>
      </c>
      <c r="L119" s="20" t="s">
        <v>451</v>
      </c>
      <c r="M119" s="20" t="s">
        <v>451</v>
      </c>
      <c r="N119" s="20">
        <f t="shared" si="1"/>
        <v>613.02563128832003</v>
      </c>
      <c r="O119" s="20" t="s">
        <v>451</v>
      </c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</row>
    <row r="120" spans="1:119" s="22" customFormat="1" ht="16" customHeight="1" x14ac:dyDescent="0.2">
      <c r="A120" s="20">
        <v>630</v>
      </c>
      <c r="B120" s="20" t="s">
        <v>491</v>
      </c>
      <c r="C120" s="20" t="s">
        <v>787</v>
      </c>
      <c r="D120" s="20" t="s">
        <v>788</v>
      </c>
      <c r="E120" s="20" t="s">
        <v>493</v>
      </c>
      <c r="F120" s="20" t="s">
        <v>638</v>
      </c>
      <c r="G120" s="20" t="s">
        <v>790</v>
      </c>
      <c r="H120" s="21">
        <v>43629</v>
      </c>
      <c r="I120" s="20">
        <v>5</v>
      </c>
      <c r="J120" s="20">
        <v>200</v>
      </c>
      <c r="K120" s="20">
        <v>168.09429974908301</v>
      </c>
      <c r="L120" s="20" t="s">
        <v>451</v>
      </c>
      <c r="M120" s="20" t="s">
        <v>451</v>
      </c>
      <c r="N120" s="20">
        <f t="shared" si="1"/>
        <v>4202.3574937270751</v>
      </c>
      <c r="O120" s="20" t="s">
        <v>451</v>
      </c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</row>
    <row r="121" spans="1:119" s="22" customFormat="1" ht="16" customHeight="1" x14ac:dyDescent="0.2">
      <c r="A121" s="20">
        <v>1</v>
      </c>
      <c r="B121" s="20" t="s">
        <v>491</v>
      </c>
      <c r="C121" s="20" t="s">
        <v>787</v>
      </c>
      <c r="D121" s="20" t="s">
        <v>788</v>
      </c>
      <c r="E121" s="20" t="s">
        <v>493</v>
      </c>
      <c r="F121" s="20" t="s">
        <v>638</v>
      </c>
      <c r="G121" s="20" t="s">
        <v>791</v>
      </c>
      <c r="H121" s="21">
        <v>43629</v>
      </c>
      <c r="I121" s="20">
        <v>5</v>
      </c>
      <c r="J121" s="20">
        <v>200</v>
      </c>
      <c r="K121" s="20">
        <v>127.611263040187</v>
      </c>
      <c r="L121" s="20" t="s">
        <v>451</v>
      </c>
      <c r="M121" s="20" t="s">
        <v>451</v>
      </c>
      <c r="N121" s="20">
        <f t="shared" si="1"/>
        <v>3190.2815760046747</v>
      </c>
      <c r="O121" s="20" t="s">
        <v>451</v>
      </c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</row>
    <row r="122" spans="1:119" s="22" customFormat="1" ht="16" customHeight="1" x14ac:dyDescent="0.2">
      <c r="A122" s="20">
        <v>8</v>
      </c>
      <c r="B122" s="20" t="s">
        <v>491</v>
      </c>
      <c r="C122" s="20" t="s">
        <v>787</v>
      </c>
      <c r="D122" s="20" t="s">
        <v>788</v>
      </c>
      <c r="E122" s="20" t="s">
        <v>493</v>
      </c>
      <c r="F122" s="20" t="s">
        <v>638</v>
      </c>
      <c r="G122" s="20" t="s">
        <v>791</v>
      </c>
      <c r="H122" s="21">
        <v>43629</v>
      </c>
      <c r="I122" s="20">
        <v>5</v>
      </c>
      <c r="J122" s="20">
        <v>200</v>
      </c>
      <c r="K122" s="20">
        <v>186.42303956465699</v>
      </c>
      <c r="L122" s="20" t="s">
        <v>451</v>
      </c>
      <c r="M122" s="20" t="s">
        <v>451</v>
      </c>
      <c r="N122" s="20">
        <f t="shared" si="1"/>
        <v>4660.5759891164244</v>
      </c>
      <c r="O122" s="20" t="s">
        <v>451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</row>
    <row r="123" spans="1:119" s="22" customFormat="1" ht="16" customHeight="1" x14ac:dyDescent="0.2">
      <c r="A123" s="20">
        <v>15</v>
      </c>
      <c r="B123" s="20" t="s">
        <v>491</v>
      </c>
      <c r="C123" s="20" t="s">
        <v>787</v>
      </c>
      <c r="D123" s="20" t="s">
        <v>788</v>
      </c>
      <c r="E123" s="20" t="s">
        <v>493</v>
      </c>
      <c r="F123" s="20" t="s">
        <v>638</v>
      </c>
      <c r="G123" s="20" t="s">
        <v>791</v>
      </c>
      <c r="H123" s="21">
        <v>43629</v>
      </c>
      <c r="I123" s="20">
        <v>5</v>
      </c>
      <c r="J123" s="20">
        <v>200</v>
      </c>
      <c r="K123" s="20">
        <v>122.463884173587</v>
      </c>
      <c r="L123" s="20" t="s">
        <v>451</v>
      </c>
      <c r="M123" s="20" t="s">
        <v>451</v>
      </c>
      <c r="N123" s="20">
        <f t="shared" si="1"/>
        <v>3061.5971043396753</v>
      </c>
      <c r="O123" s="20" t="s">
        <v>451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</row>
    <row r="124" spans="1:119" s="22" customFormat="1" ht="16" customHeight="1" x14ac:dyDescent="0.2">
      <c r="A124" s="20">
        <v>22</v>
      </c>
      <c r="B124" s="20" t="s">
        <v>491</v>
      </c>
      <c r="C124" s="20" t="s">
        <v>787</v>
      </c>
      <c r="D124" s="20" t="s">
        <v>788</v>
      </c>
      <c r="E124" s="20" t="s">
        <v>493</v>
      </c>
      <c r="F124" s="20" t="s">
        <v>638</v>
      </c>
      <c r="G124" s="20" t="s">
        <v>792</v>
      </c>
      <c r="H124" s="21">
        <v>43629</v>
      </c>
      <c r="I124" s="20">
        <v>5</v>
      </c>
      <c r="J124" s="20">
        <v>200</v>
      </c>
      <c r="K124" s="20">
        <v>169.530727317855</v>
      </c>
      <c r="L124" s="20" t="s">
        <v>451</v>
      </c>
      <c r="M124" s="20" t="s">
        <v>451</v>
      </c>
      <c r="N124" s="20">
        <f t="shared" si="1"/>
        <v>4238.2681829463754</v>
      </c>
      <c r="O124" s="20" t="s">
        <v>786</v>
      </c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</row>
    <row r="125" spans="1:119" s="22" customFormat="1" ht="16" customHeight="1" x14ac:dyDescent="0.2">
      <c r="A125" s="20">
        <v>28</v>
      </c>
      <c r="B125" s="20" t="s">
        <v>491</v>
      </c>
      <c r="C125" s="20" t="s">
        <v>787</v>
      </c>
      <c r="D125" s="20" t="s">
        <v>788</v>
      </c>
      <c r="E125" s="20" t="s">
        <v>493</v>
      </c>
      <c r="F125" s="20" t="s">
        <v>638</v>
      </c>
      <c r="G125" s="20" t="s">
        <v>792</v>
      </c>
      <c r="H125" s="21">
        <v>43629</v>
      </c>
      <c r="I125" s="20">
        <v>5</v>
      </c>
      <c r="J125" s="20">
        <v>200</v>
      </c>
      <c r="K125" s="20">
        <v>143.73495873273399</v>
      </c>
      <c r="L125" s="20" t="s">
        <v>451</v>
      </c>
      <c r="M125" s="20" t="s">
        <v>451</v>
      </c>
      <c r="N125" s="20">
        <f t="shared" si="1"/>
        <v>3593.3739683183494</v>
      </c>
      <c r="O125" s="20" t="s">
        <v>786</v>
      </c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</row>
    <row r="126" spans="1:119" s="22" customFormat="1" ht="16" customHeight="1" x14ac:dyDescent="0.2">
      <c r="A126" s="20">
        <v>34</v>
      </c>
      <c r="B126" s="20" t="s">
        <v>491</v>
      </c>
      <c r="C126" s="20" t="s">
        <v>787</v>
      </c>
      <c r="D126" s="20" t="s">
        <v>788</v>
      </c>
      <c r="E126" s="20" t="s">
        <v>493</v>
      </c>
      <c r="F126" s="20" t="s">
        <v>638</v>
      </c>
      <c r="G126" s="20" t="s">
        <v>792</v>
      </c>
      <c r="H126" s="21">
        <v>43629</v>
      </c>
      <c r="I126" s="20">
        <v>5</v>
      </c>
      <c r="J126" s="20">
        <v>200</v>
      </c>
      <c r="K126" s="20">
        <v>92.140299748760299</v>
      </c>
      <c r="L126" s="20" t="s">
        <v>451</v>
      </c>
      <c r="M126" s="20" t="s">
        <v>451</v>
      </c>
      <c r="N126" s="20">
        <f t="shared" si="1"/>
        <v>2303.5074937190075</v>
      </c>
      <c r="O126" s="20" t="s">
        <v>786</v>
      </c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</row>
    <row r="127" spans="1:119" s="22" customFormat="1" ht="16" customHeight="1" x14ac:dyDescent="0.2">
      <c r="A127" s="24">
        <v>2</v>
      </c>
      <c r="B127" s="24" t="s">
        <v>495</v>
      </c>
      <c r="C127" s="24" t="s">
        <v>793</v>
      </c>
      <c r="D127" s="24" t="s">
        <v>794</v>
      </c>
      <c r="E127" s="24" t="s">
        <v>497</v>
      </c>
      <c r="F127" s="24" t="s">
        <v>638</v>
      </c>
      <c r="G127" s="24" t="s">
        <v>795</v>
      </c>
      <c r="H127" s="25">
        <v>43629</v>
      </c>
      <c r="I127" s="24">
        <v>5</v>
      </c>
      <c r="J127" s="24">
        <v>250</v>
      </c>
      <c r="K127" s="24">
        <v>0</v>
      </c>
      <c r="L127" s="24" t="s">
        <v>451</v>
      </c>
      <c r="M127" s="24" t="s">
        <v>490</v>
      </c>
      <c r="N127" s="24">
        <f t="shared" si="1"/>
        <v>0</v>
      </c>
      <c r="O127" s="24" t="s">
        <v>451</v>
      </c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</row>
    <row r="128" spans="1:119" s="20" customFormat="1" ht="16" customHeight="1" x14ac:dyDescent="0.2">
      <c r="A128" s="24">
        <v>9</v>
      </c>
      <c r="B128" s="24" t="s">
        <v>495</v>
      </c>
      <c r="C128" s="24" t="s">
        <v>793</v>
      </c>
      <c r="D128" s="24" t="s">
        <v>794</v>
      </c>
      <c r="E128" s="24" t="s">
        <v>497</v>
      </c>
      <c r="F128" s="24" t="s">
        <v>638</v>
      </c>
      <c r="G128" s="24" t="s">
        <v>795</v>
      </c>
      <c r="H128" s="25">
        <v>43629</v>
      </c>
      <c r="I128" s="24">
        <v>5</v>
      </c>
      <c r="J128" s="24">
        <v>250</v>
      </c>
      <c r="K128" s="24">
        <v>0</v>
      </c>
      <c r="L128" s="24" t="s">
        <v>451</v>
      </c>
      <c r="M128" s="24" t="s">
        <v>490</v>
      </c>
      <c r="N128" s="24">
        <f t="shared" si="1"/>
        <v>0</v>
      </c>
      <c r="O128" s="24" t="s">
        <v>451</v>
      </c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</row>
    <row r="129" spans="1:119" s="20" customFormat="1" ht="16" customHeight="1" x14ac:dyDescent="0.2">
      <c r="A129" s="24">
        <v>16</v>
      </c>
      <c r="B129" s="24" t="s">
        <v>495</v>
      </c>
      <c r="C129" s="24" t="s">
        <v>793</v>
      </c>
      <c r="D129" s="24" t="s">
        <v>794</v>
      </c>
      <c r="E129" s="24" t="s">
        <v>497</v>
      </c>
      <c r="F129" s="24" t="s">
        <v>638</v>
      </c>
      <c r="G129" s="24" t="s">
        <v>795</v>
      </c>
      <c r="H129" s="25">
        <v>43629</v>
      </c>
      <c r="I129" s="24">
        <v>5</v>
      </c>
      <c r="J129" s="24">
        <v>250</v>
      </c>
      <c r="K129" s="24">
        <v>0</v>
      </c>
      <c r="L129" s="24" t="s">
        <v>451</v>
      </c>
      <c r="M129" s="24" t="s">
        <v>490</v>
      </c>
      <c r="N129" s="24">
        <f t="shared" si="1"/>
        <v>0</v>
      </c>
      <c r="O129" s="24" t="s">
        <v>451</v>
      </c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</row>
    <row r="130" spans="1:119" s="20" customFormat="1" ht="16" customHeight="1" x14ac:dyDescent="0.2">
      <c r="A130" s="24">
        <v>23</v>
      </c>
      <c r="B130" s="24" t="s">
        <v>495</v>
      </c>
      <c r="C130" s="24" t="s">
        <v>793</v>
      </c>
      <c r="D130" s="24" t="s">
        <v>794</v>
      </c>
      <c r="E130" s="24" t="s">
        <v>497</v>
      </c>
      <c r="F130" s="24" t="s">
        <v>638</v>
      </c>
      <c r="G130" s="24" t="s">
        <v>796</v>
      </c>
      <c r="H130" s="25">
        <v>43629</v>
      </c>
      <c r="I130" s="24">
        <v>5</v>
      </c>
      <c r="J130" s="24">
        <v>250</v>
      </c>
      <c r="K130" s="24">
        <v>0</v>
      </c>
      <c r="L130" s="24" t="s">
        <v>451</v>
      </c>
      <c r="M130" s="24" t="s">
        <v>490</v>
      </c>
      <c r="N130" s="24">
        <f t="shared" si="1"/>
        <v>0</v>
      </c>
      <c r="O130" s="24" t="s">
        <v>451</v>
      </c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</row>
    <row r="131" spans="1:119" s="20" customFormat="1" ht="16" customHeight="1" x14ac:dyDescent="0.2">
      <c r="A131" s="24">
        <v>29</v>
      </c>
      <c r="B131" s="24" t="s">
        <v>495</v>
      </c>
      <c r="C131" s="24" t="s">
        <v>793</v>
      </c>
      <c r="D131" s="24" t="s">
        <v>794</v>
      </c>
      <c r="E131" s="24" t="s">
        <v>497</v>
      </c>
      <c r="F131" s="24" t="s">
        <v>638</v>
      </c>
      <c r="G131" s="24" t="s">
        <v>796</v>
      </c>
      <c r="H131" s="25">
        <v>43629</v>
      </c>
      <c r="I131" s="24">
        <v>5</v>
      </c>
      <c r="J131" s="24">
        <v>250</v>
      </c>
      <c r="K131" s="24">
        <v>0</v>
      </c>
      <c r="L131" s="24" t="s">
        <v>451</v>
      </c>
      <c r="M131" s="24" t="s">
        <v>490</v>
      </c>
      <c r="N131" s="24">
        <f t="shared" si="1"/>
        <v>0</v>
      </c>
      <c r="O131" s="24" t="s">
        <v>451</v>
      </c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</row>
    <row r="132" spans="1:119" s="20" customFormat="1" ht="16" customHeight="1" x14ac:dyDescent="0.2">
      <c r="A132" s="24">
        <v>35</v>
      </c>
      <c r="B132" s="24" t="s">
        <v>495</v>
      </c>
      <c r="C132" s="24" t="s">
        <v>793</v>
      </c>
      <c r="D132" s="24" t="s">
        <v>794</v>
      </c>
      <c r="E132" s="24" t="s">
        <v>497</v>
      </c>
      <c r="F132" s="24" t="s">
        <v>638</v>
      </c>
      <c r="G132" s="24" t="s">
        <v>796</v>
      </c>
      <c r="H132" s="25">
        <v>43629</v>
      </c>
      <c r="I132" s="24">
        <v>5</v>
      </c>
      <c r="J132" s="24">
        <v>250</v>
      </c>
      <c r="K132" s="24">
        <v>0</v>
      </c>
      <c r="L132" s="24" t="s">
        <v>451</v>
      </c>
      <c r="M132" s="24" t="s">
        <v>490</v>
      </c>
      <c r="N132" s="24">
        <f t="shared" ref="N132:N195" si="2">K132*I132*(1000/J132)</f>
        <v>0</v>
      </c>
      <c r="O132" s="24" t="s">
        <v>451</v>
      </c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</row>
    <row r="133" spans="1:119" s="20" customFormat="1" ht="16" customHeight="1" x14ac:dyDescent="0.2">
      <c r="A133" s="24">
        <v>3</v>
      </c>
      <c r="B133" s="24" t="s">
        <v>495</v>
      </c>
      <c r="C133" s="24" t="s">
        <v>793</v>
      </c>
      <c r="D133" s="24" t="s">
        <v>794</v>
      </c>
      <c r="E133" s="24" t="s">
        <v>497</v>
      </c>
      <c r="F133" s="24" t="s">
        <v>638</v>
      </c>
      <c r="G133" s="24" t="s">
        <v>797</v>
      </c>
      <c r="H133" s="25">
        <v>43629</v>
      </c>
      <c r="I133" s="24">
        <v>5</v>
      </c>
      <c r="J133" s="24">
        <v>250</v>
      </c>
      <c r="K133" s="24">
        <v>0</v>
      </c>
      <c r="L133" s="24" t="s">
        <v>451</v>
      </c>
      <c r="M133" s="24" t="s">
        <v>490</v>
      </c>
      <c r="N133" s="24">
        <f t="shared" si="2"/>
        <v>0</v>
      </c>
      <c r="O133" s="24" t="s">
        <v>451</v>
      </c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</row>
    <row r="134" spans="1:119" s="20" customFormat="1" ht="16" customHeight="1" x14ac:dyDescent="0.2">
      <c r="A134" s="24">
        <v>10</v>
      </c>
      <c r="B134" s="24" t="s">
        <v>495</v>
      </c>
      <c r="C134" s="24" t="s">
        <v>793</v>
      </c>
      <c r="D134" s="24" t="s">
        <v>794</v>
      </c>
      <c r="E134" s="24" t="s">
        <v>497</v>
      </c>
      <c r="F134" s="24" t="s">
        <v>638</v>
      </c>
      <c r="G134" s="24" t="s">
        <v>797</v>
      </c>
      <c r="H134" s="25">
        <v>43629</v>
      </c>
      <c r="I134" s="24">
        <v>5</v>
      </c>
      <c r="J134" s="24">
        <v>250</v>
      </c>
      <c r="K134" s="24">
        <v>0</v>
      </c>
      <c r="L134" s="24" t="s">
        <v>451</v>
      </c>
      <c r="M134" s="24" t="s">
        <v>490</v>
      </c>
      <c r="N134" s="24">
        <f t="shared" si="2"/>
        <v>0</v>
      </c>
      <c r="O134" s="24" t="s">
        <v>451</v>
      </c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</row>
    <row r="135" spans="1:119" s="20" customFormat="1" ht="16" customHeight="1" x14ac:dyDescent="0.2">
      <c r="A135" s="24">
        <v>17</v>
      </c>
      <c r="B135" s="24" t="s">
        <v>495</v>
      </c>
      <c r="C135" s="24" t="s">
        <v>793</v>
      </c>
      <c r="D135" s="24" t="s">
        <v>794</v>
      </c>
      <c r="E135" s="24" t="s">
        <v>497</v>
      </c>
      <c r="F135" s="24" t="s">
        <v>638</v>
      </c>
      <c r="G135" s="24" t="s">
        <v>797</v>
      </c>
      <c r="H135" s="25">
        <v>43629</v>
      </c>
      <c r="I135" s="24">
        <v>5</v>
      </c>
      <c r="J135" s="24">
        <v>250</v>
      </c>
      <c r="K135" s="24">
        <v>0</v>
      </c>
      <c r="L135" s="24" t="s">
        <v>451</v>
      </c>
      <c r="M135" s="24" t="s">
        <v>490</v>
      </c>
      <c r="N135" s="24">
        <f t="shared" si="2"/>
        <v>0</v>
      </c>
      <c r="O135" s="24" t="s">
        <v>451</v>
      </c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</row>
    <row r="136" spans="1:119" s="20" customFormat="1" ht="16" customHeight="1" x14ac:dyDescent="0.2">
      <c r="A136" s="20">
        <v>24</v>
      </c>
      <c r="B136" s="20" t="s">
        <v>499</v>
      </c>
      <c r="C136" s="20" t="s">
        <v>798</v>
      </c>
      <c r="D136" s="20" t="s">
        <v>799</v>
      </c>
      <c r="E136" s="20" t="s">
        <v>501</v>
      </c>
      <c r="F136" s="20" t="s">
        <v>638</v>
      </c>
      <c r="G136" s="20" t="s">
        <v>800</v>
      </c>
      <c r="H136" s="21">
        <v>43629</v>
      </c>
      <c r="I136" s="20">
        <v>5</v>
      </c>
      <c r="J136" s="20">
        <v>150</v>
      </c>
      <c r="K136" s="20">
        <v>0</v>
      </c>
      <c r="L136" s="20" t="s">
        <v>451</v>
      </c>
      <c r="M136" s="20" t="s">
        <v>490</v>
      </c>
      <c r="N136" s="20">
        <f t="shared" si="2"/>
        <v>0</v>
      </c>
      <c r="O136" s="20" t="s">
        <v>451</v>
      </c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</row>
    <row r="137" spans="1:119" s="20" customFormat="1" ht="16" customHeight="1" x14ac:dyDescent="0.2">
      <c r="A137" s="20">
        <v>30</v>
      </c>
      <c r="B137" s="20" t="s">
        <v>499</v>
      </c>
      <c r="C137" s="20" t="s">
        <v>798</v>
      </c>
      <c r="D137" s="20" t="s">
        <v>799</v>
      </c>
      <c r="E137" s="20" t="s">
        <v>501</v>
      </c>
      <c r="F137" s="20" t="s">
        <v>638</v>
      </c>
      <c r="G137" s="20" t="s">
        <v>800</v>
      </c>
      <c r="H137" s="21">
        <v>43629</v>
      </c>
      <c r="I137" s="20">
        <v>5</v>
      </c>
      <c r="J137" s="20">
        <v>150</v>
      </c>
      <c r="K137" s="20">
        <v>0</v>
      </c>
      <c r="L137" s="20" t="s">
        <v>451</v>
      </c>
      <c r="M137" s="20" t="s">
        <v>490</v>
      </c>
      <c r="N137" s="20">
        <f t="shared" si="2"/>
        <v>0</v>
      </c>
      <c r="O137" s="20" t="s">
        <v>451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</row>
    <row r="138" spans="1:119" s="20" customFormat="1" ht="16" customHeight="1" x14ac:dyDescent="0.2">
      <c r="A138" s="20">
        <v>36</v>
      </c>
      <c r="B138" s="20" t="s">
        <v>499</v>
      </c>
      <c r="C138" s="20" t="s">
        <v>798</v>
      </c>
      <c r="D138" s="20" t="s">
        <v>799</v>
      </c>
      <c r="E138" s="20" t="s">
        <v>501</v>
      </c>
      <c r="F138" s="20" t="s">
        <v>638</v>
      </c>
      <c r="G138" s="20" t="s">
        <v>800</v>
      </c>
      <c r="H138" s="21">
        <v>43629</v>
      </c>
      <c r="I138" s="20">
        <v>5</v>
      </c>
      <c r="J138" s="20">
        <v>150</v>
      </c>
      <c r="K138" s="20">
        <v>0</v>
      </c>
      <c r="L138" s="20" t="s">
        <v>451</v>
      </c>
      <c r="M138" s="20" t="s">
        <v>490</v>
      </c>
      <c r="N138" s="20">
        <f t="shared" si="2"/>
        <v>0</v>
      </c>
      <c r="O138" s="20" t="s">
        <v>451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</row>
    <row r="139" spans="1:119" s="20" customFormat="1" ht="16" customHeight="1" x14ac:dyDescent="0.2">
      <c r="A139" s="20">
        <v>43</v>
      </c>
      <c r="B139" s="20" t="s">
        <v>499</v>
      </c>
      <c r="C139" s="20" t="s">
        <v>798</v>
      </c>
      <c r="D139" s="20" t="s">
        <v>799</v>
      </c>
      <c r="E139" s="20" t="s">
        <v>501</v>
      </c>
      <c r="F139" s="20" t="s">
        <v>638</v>
      </c>
      <c r="G139" s="20" t="s">
        <v>801</v>
      </c>
      <c r="H139" s="21">
        <v>43629</v>
      </c>
      <c r="I139" s="20">
        <v>5</v>
      </c>
      <c r="J139" s="20">
        <v>150</v>
      </c>
      <c r="K139" s="20">
        <v>0</v>
      </c>
      <c r="L139" s="20" t="s">
        <v>451</v>
      </c>
      <c r="M139" s="20" t="s">
        <v>490</v>
      </c>
      <c r="N139" s="20">
        <f t="shared" si="2"/>
        <v>0</v>
      </c>
      <c r="O139" s="20" t="s">
        <v>451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</row>
    <row r="140" spans="1:119" s="20" customFormat="1" ht="16" customHeight="1" x14ac:dyDescent="0.2">
      <c r="A140" s="20">
        <v>50</v>
      </c>
      <c r="B140" s="20" t="s">
        <v>499</v>
      </c>
      <c r="C140" s="20" t="s">
        <v>798</v>
      </c>
      <c r="D140" s="20" t="s">
        <v>799</v>
      </c>
      <c r="E140" s="20" t="s">
        <v>501</v>
      </c>
      <c r="F140" s="20" t="s">
        <v>638</v>
      </c>
      <c r="G140" s="20" t="s">
        <v>801</v>
      </c>
      <c r="H140" s="21">
        <v>43629</v>
      </c>
      <c r="I140" s="20">
        <v>5</v>
      </c>
      <c r="J140" s="20">
        <v>150</v>
      </c>
      <c r="K140" s="20">
        <v>0</v>
      </c>
      <c r="L140" s="20" t="s">
        <v>451</v>
      </c>
      <c r="M140" s="20" t="s">
        <v>490</v>
      </c>
      <c r="N140" s="20">
        <f t="shared" si="2"/>
        <v>0</v>
      </c>
      <c r="O140" s="20" t="s">
        <v>451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</row>
    <row r="141" spans="1:119" s="20" customFormat="1" ht="16" customHeight="1" x14ac:dyDescent="0.2">
      <c r="A141" s="20">
        <v>57</v>
      </c>
      <c r="B141" s="20" t="s">
        <v>499</v>
      </c>
      <c r="C141" s="20" t="s">
        <v>798</v>
      </c>
      <c r="D141" s="20" t="s">
        <v>799</v>
      </c>
      <c r="E141" s="20" t="s">
        <v>501</v>
      </c>
      <c r="F141" s="20" t="s">
        <v>638</v>
      </c>
      <c r="G141" s="20" t="s">
        <v>801</v>
      </c>
      <c r="H141" s="21">
        <v>43629</v>
      </c>
      <c r="I141" s="20">
        <v>5</v>
      </c>
      <c r="J141" s="20">
        <v>150</v>
      </c>
      <c r="K141" s="20">
        <v>0</v>
      </c>
      <c r="L141" s="20" t="s">
        <v>451</v>
      </c>
      <c r="M141" s="20" t="s">
        <v>490</v>
      </c>
      <c r="N141" s="20">
        <f t="shared" si="2"/>
        <v>0</v>
      </c>
      <c r="O141" s="20" t="s">
        <v>451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</row>
    <row r="142" spans="1:119" s="20" customFormat="1" ht="16" customHeight="1" x14ac:dyDescent="0.2">
      <c r="A142" s="20">
        <v>4</v>
      </c>
      <c r="B142" s="20" t="s">
        <v>499</v>
      </c>
      <c r="C142" s="20" t="s">
        <v>798</v>
      </c>
      <c r="D142" s="20" t="s">
        <v>799</v>
      </c>
      <c r="E142" s="20" t="s">
        <v>501</v>
      </c>
      <c r="F142" s="20" t="s">
        <v>638</v>
      </c>
      <c r="G142" s="20" t="s">
        <v>802</v>
      </c>
      <c r="H142" s="21">
        <v>43629</v>
      </c>
      <c r="I142" s="20">
        <v>5</v>
      </c>
      <c r="J142" s="20">
        <v>150</v>
      </c>
      <c r="K142" s="20">
        <v>0</v>
      </c>
      <c r="L142" s="20" t="s">
        <v>451</v>
      </c>
      <c r="M142" s="20" t="s">
        <v>490</v>
      </c>
      <c r="N142" s="20">
        <f t="shared" si="2"/>
        <v>0</v>
      </c>
      <c r="O142" s="20" t="s">
        <v>451</v>
      </c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</row>
    <row r="143" spans="1:119" s="20" customFormat="1" ht="16" customHeight="1" x14ac:dyDescent="0.2">
      <c r="A143" s="20">
        <v>11</v>
      </c>
      <c r="B143" s="20" t="s">
        <v>499</v>
      </c>
      <c r="C143" s="20" t="s">
        <v>798</v>
      </c>
      <c r="D143" s="20" t="s">
        <v>799</v>
      </c>
      <c r="E143" s="20" t="s">
        <v>501</v>
      </c>
      <c r="F143" s="20" t="s">
        <v>638</v>
      </c>
      <c r="G143" s="20" t="s">
        <v>802</v>
      </c>
      <c r="H143" s="21">
        <v>43629</v>
      </c>
      <c r="I143" s="20">
        <v>5</v>
      </c>
      <c r="J143" s="20">
        <v>150</v>
      </c>
      <c r="K143" s="20">
        <v>0</v>
      </c>
      <c r="L143" s="20" t="s">
        <v>451</v>
      </c>
      <c r="M143" s="20" t="s">
        <v>490</v>
      </c>
      <c r="N143" s="20">
        <f t="shared" si="2"/>
        <v>0</v>
      </c>
      <c r="O143" s="20" t="s">
        <v>451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</row>
    <row r="144" spans="1:119" s="20" customFormat="1" ht="16" customHeight="1" x14ac:dyDescent="0.2">
      <c r="A144" s="20">
        <v>18</v>
      </c>
      <c r="B144" s="20" t="s">
        <v>499</v>
      </c>
      <c r="C144" s="20" t="s">
        <v>798</v>
      </c>
      <c r="D144" s="20" t="s">
        <v>799</v>
      </c>
      <c r="E144" s="20" t="s">
        <v>501</v>
      </c>
      <c r="F144" s="20" t="s">
        <v>638</v>
      </c>
      <c r="G144" s="20" t="s">
        <v>802</v>
      </c>
      <c r="H144" s="21">
        <v>43629</v>
      </c>
      <c r="I144" s="20">
        <v>5</v>
      </c>
      <c r="J144" s="20">
        <v>150</v>
      </c>
      <c r="K144" s="20">
        <v>0</v>
      </c>
      <c r="L144" s="20" t="s">
        <v>451</v>
      </c>
      <c r="M144" s="20" t="s">
        <v>490</v>
      </c>
      <c r="N144" s="20">
        <f t="shared" si="2"/>
        <v>0</v>
      </c>
      <c r="O144" s="20" t="s">
        <v>451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</row>
    <row r="145" spans="1:119" s="20" customFormat="1" ht="16" customHeight="1" x14ac:dyDescent="0.2">
      <c r="A145" s="22">
        <v>25</v>
      </c>
      <c r="B145" s="22" t="s">
        <v>503</v>
      </c>
      <c r="C145" s="22" t="s">
        <v>803</v>
      </c>
      <c r="D145" s="22" t="s">
        <v>804</v>
      </c>
      <c r="E145" s="22" t="s">
        <v>505</v>
      </c>
      <c r="F145" s="22" t="s">
        <v>638</v>
      </c>
      <c r="G145" s="22" t="s">
        <v>805</v>
      </c>
      <c r="H145" s="23">
        <v>43629</v>
      </c>
      <c r="I145" s="22">
        <v>5</v>
      </c>
      <c r="J145" s="22">
        <v>210</v>
      </c>
      <c r="K145" s="22">
        <v>3.1588877429652902</v>
      </c>
      <c r="L145" s="22" t="s">
        <v>451</v>
      </c>
      <c r="M145" s="22" t="s">
        <v>451</v>
      </c>
      <c r="N145" s="22">
        <f t="shared" si="2"/>
        <v>75.211612927745009</v>
      </c>
      <c r="O145" s="22" t="s">
        <v>451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</row>
    <row r="146" spans="1:119" s="22" customFormat="1" ht="16" customHeight="1" x14ac:dyDescent="0.2">
      <c r="A146" s="22">
        <v>31</v>
      </c>
      <c r="B146" s="22" t="s">
        <v>503</v>
      </c>
      <c r="C146" s="22" t="s">
        <v>803</v>
      </c>
      <c r="D146" s="22" t="s">
        <v>804</v>
      </c>
      <c r="E146" s="22" t="s">
        <v>505</v>
      </c>
      <c r="F146" s="22" t="s">
        <v>638</v>
      </c>
      <c r="G146" s="22" t="s">
        <v>805</v>
      </c>
      <c r="H146" s="23">
        <v>43629</v>
      </c>
      <c r="I146" s="22">
        <v>5</v>
      </c>
      <c r="J146" s="22">
        <v>210</v>
      </c>
      <c r="K146" s="22">
        <v>0</v>
      </c>
      <c r="L146" s="22" t="s">
        <v>451</v>
      </c>
      <c r="M146" s="22" t="s">
        <v>451</v>
      </c>
      <c r="N146" s="22">
        <f t="shared" si="2"/>
        <v>0</v>
      </c>
      <c r="O146" s="22" t="s">
        <v>451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</row>
    <row r="147" spans="1:119" s="22" customFormat="1" ht="16" customHeight="1" x14ac:dyDescent="0.2">
      <c r="A147" s="22">
        <v>37</v>
      </c>
      <c r="B147" s="22" t="s">
        <v>503</v>
      </c>
      <c r="C147" s="22" t="s">
        <v>803</v>
      </c>
      <c r="D147" s="22" t="s">
        <v>804</v>
      </c>
      <c r="E147" s="22" t="s">
        <v>505</v>
      </c>
      <c r="F147" s="22" t="s">
        <v>638</v>
      </c>
      <c r="G147" s="22" t="s">
        <v>805</v>
      </c>
      <c r="H147" s="23">
        <v>43629</v>
      </c>
      <c r="I147" s="22">
        <v>5</v>
      </c>
      <c r="J147" s="22">
        <v>210</v>
      </c>
      <c r="K147" s="22">
        <v>0</v>
      </c>
      <c r="L147" s="22" t="s">
        <v>451</v>
      </c>
      <c r="M147" s="22" t="s">
        <v>451</v>
      </c>
      <c r="N147" s="22">
        <f t="shared" si="2"/>
        <v>0</v>
      </c>
      <c r="O147" s="22" t="s">
        <v>451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</row>
    <row r="148" spans="1:119" s="22" customFormat="1" ht="16" customHeight="1" x14ac:dyDescent="0.2">
      <c r="A148" s="22">
        <v>5</v>
      </c>
      <c r="B148" s="22" t="s">
        <v>503</v>
      </c>
      <c r="C148" s="22" t="s">
        <v>803</v>
      </c>
      <c r="D148" s="22" t="s">
        <v>804</v>
      </c>
      <c r="E148" s="22" t="s">
        <v>505</v>
      </c>
      <c r="F148" s="22" t="s">
        <v>638</v>
      </c>
      <c r="G148" s="22" t="s">
        <v>806</v>
      </c>
      <c r="H148" s="23">
        <v>43629</v>
      </c>
      <c r="I148" s="22">
        <v>5</v>
      </c>
      <c r="J148" s="22">
        <v>210</v>
      </c>
      <c r="K148" s="22">
        <v>0</v>
      </c>
      <c r="L148" s="22" t="s">
        <v>451</v>
      </c>
      <c r="M148" s="22" t="s">
        <v>451</v>
      </c>
      <c r="N148" s="22">
        <f t="shared" si="2"/>
        <v>0</v>
      </c>
      <c r="O148" s="22" t="s">
        <v>451</v>
      </c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</row>
    <row r="149" spans="1:119" s="22" customFormat="1" ht="16" customHeight="1" x14ac:dyDescent="0.2">
      <c r="A149" s="22">
        <v>12</v>
      </c>
      <c r="B149" s="22" t="s">
        <v>503</v>
      </c>
      <c r="C149" s="22" t="s">
        <v>803</v>
      </c>
      <c r="D149" s="22" t="s">
        <v>804</v>
      </c>
      <c r="E149" s="22" t="s">
        <v>505</v>
      </c>
      <c r="F149" s="22" t="s">
        <v>638</v>
      </c>
      <c r="G149" s="22" t="s">
        <v>806</v>
      </c>
      <c r="H149" s="23">
        <v>43629</v>
      </c>
      <c r="I149" s="22">
        <v>5</v>
      </c>
      <c r="J149" s="22">
        <v>210</v>
      </c>
      <c r="K149" s="22">
        <v>0</v>
      </c>
      <c r="L149" s="22" t="s">
        <v>451</v>
      </c>
      <c r="M149" s="22" t="s">
        <v>451</v>
      </c>
      <c r="N149" s="22">
        <f t="shared" si="2"/>
        <v>0</v>
      </c>
      <c r="O149" s="22" t="s">
        <v>451</v>
      </c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</row>
    <row r="150" spans="1:119" s="22" customFormat="1" ht="16" customHeight="1" x14ac:dyDescent="0.2">
      <c r="A150" s="22">
        <v>19</v>
      </c>
      <c r="B150" s="22" t="s">
        <v>503</v>
      </c>
      <c r="C150" s="22" t="s">
        <v>803</v>
      </c>
      <c r="D150" s="22" t="s">
        <v>804</v>
      </c>
      <c r="E150" s="22" t="s">
        <v>505</v>
      </c>
      <c r="F150" s="22" t="s">
        <v>638</v>
      </c>
      <c r="G150" s="22" t="s">
        <v>806</v>
      </c>
      <c r="H150" s="23">
        <v>43629</v>
      </c>
      <c r="I150" s="22">
        <v>5</v>
      </c>
      <c r="J150" s="22">
        <v>210</v>
      </c>
      <c r="K150" s="22">
        <v>1.99308514129574</v>
      </c>
      <c r="L150" s="22" t="s">
        <v>451</v>
      </c>
      <c r="M150" s="22" t="s">
        <v>451</v>
      </c>
      <c r="N150" s="22">
        <f t="shared" si="2"/>
        <v>47.454408126089042</v>
      </c>
      <c r="O150" s="22" t="s">
        <v>451</v>
      </c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</row>
    <row r="151" spans="1:119" s="22" customFormat="1" ht="16" customHeight="1" x14ac:dyDescent="0.2">
      <c r="A151" s="22">
        <v>26</v>
      </c>
      <c r="B151" s="22" t="s">
        <v>503</v>
      </c>
      <c r="C151" s="22" t="s">
        <v>803</v>
      </c>
      <c r="D151" s="22" t="s">
        <v>804</v>
      </c>
      <c r="E151" s="22" t="s">
        <v>505</v>
      </c>
      <c r="F151" s="22" t="s">
        <v>638</v>
      </c>
      <c r="G151" s="22" t="s">
        <v>807</v>
      </c>
      <c r="H151" s="23">
        <v>43629</v>
      </c>
      <c r="I151" s="22">
        <v>5</v>
      </c>
      <c r="J151" s="22">
        <v>210</v>
      </c>
      <c r="K151" s="22">
        <v>0</v>
      </c>
      <c r="L151" s="22" t="s">
        <v>451</v>
      </c>
      <c r="M151" s="22" t="s">
        <v>451</v>
      </c>
      <c r="N151" s="22">
        <f t="shared" si="2"/>
        <v>0</v>
      </c>
      <c r="O151" s="22" t="s">
        <v>451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</row>
    <row r="152" spans="1:119" s="22" customFormat="1" ht="16" customHeight="1" x14ac:dyDescent="0.2">
      <c r="A152" s="22">
        <v>32</v>
      </c>
      <c r="B152" s="22" t="s">
        <v>503</v>
      </c>
      <c r="C152" s="22" t="s">
        <v>803</v>
      </c>
      <c r="D152" s="22" t="s">
        <v>804</v>
      </c>
      <c r="E152" s="22" t="s">
        <v>505</v>
      </c>
      <c r="F152" s="22" t="s">
        <v>638</v>
      </c>
      <c r="G152" s="22" t="s">
        <v>807</v>
      </c>
      <c r="H152" s="23">
        <v>43629</v>
      </c>
      <c r="I152" s="22">
        <v>5</v>
      </c>
      <c r="J152" s="22">
        <v>210</v>
      </c>
      <c r="K152" s="22">
        <v>0</v>
      </c>
      <c r="L152" s="22" t="s">
        <v>451</v>
      </c>
      <c r="M152" s="22" t="s">
        <v>451</v>
      </c>
      <c r="N152" s="22">
        <f t="shared" si="2"/>
        <v>0</v>
      </c>
      <c r="O152" s="22" t="s">
        <v>451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</row>
    <row r="153" spans="1:119" s="22" customFormat="1" ht="16" customHeight="1" x14ac:dyDescent="0.2">
      <c r="A153" s="22">
        <v>38</v>
      </c>
      <c r="B153" s="22" t="s">
        <v>503</v>
      </c>
      <c r="C153" s="22" t="s">
        <v>803</v>
      </c>
      <c r="D153" s="22" t="s">
        <v>804</v>
      </c>
      <c r="E153" s="22" t="s">
        <v>505</v>
      </c>
      <c r="F153" s="22" t="s">
        <v>638</v>
      </c>
      <c r="G153" s="22" t="s">
        <v>807</v>
      </c>
      <c r="H153" s="23">
        <v>43629</v>
      </c>
      <c r="I153" s="22">
        <v>5</v>
      </c>
      <c r="J153" s="22">
        <v>210</v>
      </c>
      <c r="K153" s="22">
        <v>0</v>
      </c>
      <c r="L153" s="22" t="s">
        <v>451</v>
      </c>
      <c r="M153" s="22" t="s">
        <v>451</v>
      </c>
      <c r="N153" s="22">
        <f t="shared" si="2"/>
        <v>0</v>
      </c>
      <c r="O153" s="22" t="s">
        <v>451</v>
      </c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</row>
    <row r="154" spans="1:119" s="22" customFormat="1" ht="16" customHeight="1" x14ac:dyDescent="0.2">
      <c r="A154" s="22">
        <v>6</v>
      </c>
      <c r="B154" s="22" t="s">
        <v>503</v>
      </c>
      <c r="C154" s="22" t="s">
        <v>803</v>
      </c>
      <c r="D154" s="22" t="s">
        <v>804</v>
      </c>
      <c r="E154" s="22" t="s">
        <v>505</v>
      </c>
      <c r="F154" s="22" t="s">
        <v>638</v>
      </c>
      <c r="G154" s="22" t="s">
        <v>808</v>
      </c>
      <c r="H154" s="23">
        <v>43629</v>
      </c>
      <c r="I154" s="22">
        <v>5</v>
      </c>
      <c r="J154" s="22">
        <v>210</v>
      </c>
      <c r="K154" s="22">
        <v>0</v>
      </c>
      <c r="L154" s="22" t="s">
        <v>451</v>
      </c>
      <c r="M154" s="22" t="s">
        <v>451</v>
      </c>
      <c r="N154" s="22">
        <f t="shared" si="2"/>
        <v>0</v>
      </c>
      <c r="O154" s="22" t="s">
        <v>786</v>
      </c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</row>
    <row r="155" spans="1:119" s="22" customFormat="1" ht="16" customHeight="1" x14ac:dyDescent="0.2">
      <c r="A155" s="22">
        <v>13</v>
      </c>
      <c r="B155" s="22" t="s">
        <v>503</v>
      </c>
      <c r="C155" s="22" t="s">
        <v>803</v>
      </c>
      <c r="D155" s="22" t="s">
        <v>804</v>
      </c>
      <c r="E155" s="22" t="s">
        <v>505</v>
      </c>
      <c r="F155" s="22" t="s">
        <v>638</v>
      </c>
      <c r="G155" s="22" t="s">
        <v>808</v>
      </c>
      <c r="H155" s="23">
        <v>43629</v>
      </c>
      <c r="I155" s="22">
        <v>5</v>
      </c>
      <c r="J155" s="22">
        <v>210</v>
      </c>
      <c r="K155" s="22">
        <v>0</v>
      </c>
      <c r="L155" s="22" t="s">
        <v>451</v>
      </c>
      <c r="M155" s="22" t="s">
        <v>451</v>
      </c>
      <c r="N155" s="22">
        <f t="shared" si="2"/>
        <v>0</v>
      </c>
      <c r="O155" s="22" t="s">
        <v>786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</row>
    <row r="156" spans="1:119" s="22" customFormat="1" ht="16" customHeight="1" x14ac:dyDescent="0.2">
      <c r="A156" s="22">
        <v>20</v>
      </c>
      <c r="B156" s="22" t="s">
        <v>503</v>
      </c>
      <c r="C156" s="22" t="s">
        <v>803</v>
      </c>
      <c r="D156" s="22" t="s">
        <v>804</v>
      </c>
      <c r="E156" s="22" t="s">
        <v>505</v>
      </c>
      <c r="F156" s="22" t="s">
        <v>638</v>
      </c>
      <c r="G156" s="22" t="s">
        <v>808</v>
      </c>
      <c r="H156" s="23">
        <v>43629</v>
      </c>
      <c r="I156" s="22">
        <v>5</v>
      </c>
      <c r="J156" s="22">
        <v>210</v>
      </c>
      <c r="K156" s="22">
        <v>3.4820376718713901</v>
      </c>
      <c r="L156" s="22" t="s">
        <v>451</v>
      </c>
      <c r="M156" s="22" t="s">
        <v>451</v>
      </c>
      <c r="N156" s="22">
        <f t="shared" si="2"/>
        <v>82.905658854080713</v>
      </c>
      <c r="O156" s="22" t="s">
        <v>786</v>
      </c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</row>
    <row r="157" spans="1:119" s="22" customFormat="1" ht="16" customHeight="1" x14ac:dyDescent="0.2">
      <c r="A157" s="22">
        <v>27</v>
      </c>
      <c r="B157" s="22" t="s">
        <v>503</v>
      </c>
      <c r="C157" s="22" t="s">
        <v>803</v>
      </c>
      <c r="D157" s="22" t="s">
        <v>804</v>
      </c>
      <c r="E157" s="22" t="s">
        <v>505</v>
      </c>
      <c r="F157" s="22" t="s">
        <v>638</v>
      </c>
      <c r="G157" s="22" t="s">
        <v>809</v>
      </c>
      <c r="H157" s="23">
        <v>43629</v>
      </c>
      <c r="I157" s="22">
        <v>5</v>
      </c>
      <c r="J157" s="22">
        <v>210</v>
      </c>
      <c r="K157" s="22">
        <v>0</v>
      </c>
      <c r="L157" s="22" t="s">
        <v>451</v>
      </c>
      <c r="M157" s="22" t="s">
        <v>451</v>
      </c>
      <c r="N157" s="22">
        <f t="shared" si="2"/>
        <v>0</v>
      </c>
      <c r="O157" s="22" t="s">
        <v>786</v>
      </c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</row>
    <row r="158" spans="1:119" s="22" customFormat="1" ht="16" customHeight="1" x14ac:dyDescent="0.2">
      <c r="A158" s="22">
        <v>33</v>
      </c>
      <c r="B158" s="22" t="s">
        <v>503</v>
      </c>
      <c r="C158" s="22" t="s">
        <v>803</v>
      </c>
      <c r="D158" s="22" t="s">
        <v>804</v>
      </c>
      <c r="E158" s="22" t="s">
        <v>505</v>
      </c>
      <c r="F158" s="22" t="s">
        <v>638</v>
      </c>
      <c r="G158" s="22" t="s">
        <v>809</v>
      </c>
      <c r="H158" s="23">
        <v>43629</v>
      </c>
      <c r="I158" s="22">
        <v>5</v>
      </c>
      <c r="J158" s="22">
        <v>210</v>
      </c>
      <c r="K158" s="22">
        <v>0</v>
      </c>
      <c r="L158" s="22" t="s">
        <v>451</v>
      </c>
      <c r="M158" s="22" t="s">
        <v>451</v>
      </c>
      <c r="N158" s="22">
        <f t="shared" si="2"/>
        <v>0</v>
      </c>
      <c r="O158" s="22" t="s">
        <v>786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</row>
    <row r="159" spans="1:119" s="22" customFormat="1" ht="16" customHeight="1" x14ac:dyDescent="0.2">
      <c r="A159" s="22">
        <v>39</v>
      </c>
      <c r="B159" s="22" t="s">
        <v>503</v>
      </c>
      <c r="C159" s="22" t="s">
        <v>803</v>
      </c>
      <c r="D159" s="22" t="s">
        <v>804</v>
      </c>
      <c r="E159" s="22" t="s">
        <v>505</v>
      </c>
      <c r="F159" s="22" t="s">
        <v>638</v>
      </c>
      <c r="G159" s="22" t="s">
        <v>809</v>
      </c>
      <c r="H159" s="23">
        <v>43629</v>
      </c>
      <c r="I159" s="22">
        <v>5</v>
      </c>
      <c r="J159" s="22">
        <v>210</v>
      </c>
      <c r="K159" s="22">
        <v>0</v>
      </c>
      <c r="L159" s="22" t="s">
        <v>451</v>
      </c>
      <c r="M159" s="22" t="s">
        <v>451</v>
      </c>
      <c r="N159" s="22">
        <f t="shared" si="2"/>
        <v>0</v>
      </c>
      <c r="O159" s="22" t="s">
        <v>786</v>
      </c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</row>
    <row r="160" spans="1:119" s="22" customFormat="1" ht="16" customHeight="1" x14ac:dyDescent="0.2">
      <c r="A160" s="22">
        <v>7</v>
      </c>
      <c r="B160" s="22" t="s">
        <v>503</v>
      </c>
      <c r="C160" s="22" t="s">
        <v>803</v>
      </c>
      <c r="D160" s="22" t="s">
        <v>804</v>
      </c>
      <c r="E160" s="22" t="s">
        <v>505</v>
      </c>
      <c r="F160" s="22" t="s">
        <v>638</v>
      </c>
      <c r="G160" s="22" t="s">
        <v>810</v>
      </c>
      <c r="H160" s="23">
        <v>43629</v>
      </c>
      <c r="I160" s="22">
        <v>5</v>
      </c>
      <c r="J160" s="22">
        <v>210</v>
      </c>
      <c r="K160" s="22">
        <v>0</v>
      </c>
      <c r="L160" s="22" t="s">
        <v>451</v>
      </c>
      <c r="M160" s="22" t="s">
        <v>451</v>
      </c>
      <c r="N160" s="22">
        <f t="shared" si="2"/>
        <v>0</v>
      </c>
      <c r="O160" s="22" t="s">
        <v>786</v>
      </c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</row>
    <row r="161" spans="1:119" s="18" customFormat="1" ht="16" customHeight="1" x14ac:dyDescent="0.2">
      <c r="A161" s="22">
        <v>14</v>
      </c>
      <c r="B161" s="22" t="s">
        <v>503</v>
      </c>
      <c r="C161" s="22" t="s">
        <v>803</v>
      </c>
      <c r="D161" s="22" t="s">
        <v>804</v>
      </c>
      <c r="E161" s="22" t="s">
        <v>505</v>
      </c>
      <c r="F161" s="22" t="s">
        <v>638</v>
      </c>
      <c r="G161" s="22" t="s">
        <v>810</v>
      </c>
      <c r="H161" s="23">
        <v>43629</v>
      </c>
      <c r="I161" s="22">
        <v>5</v>
      </c>
      <c r="J161" s="22">
        <v>210</v>
      </c>
      <c r="K161" s="22">
        <v>0</v>
      </c>
      <c r="L161" s="22" t="s">
        <v>451</v>
      </c>
      <c r="M161" s="22" t="s">
        <v>451</v>
      </c>
      <c r="N161" s="22">
        <f t="shared" si="2"/>
        <v>0</v>
      </c>
      <c r="O161" s="22" t="s">
        <v>786</v>
      </c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</row>
    <row r="162" spans="1:119" s="18" customFormat="1" ht="16" customHeight="1" x14ac:dyDescent="0.2">
      <c r="A162" s="22">
        <v>21</v>
      </c>
      <c r="B162" s="22" t="s">
        <v>503</v>
      </c>
      <c r="C162" s="22" t="s">
        <v>803</v>
      </c>
      <c r="D162" s="22" t="s">
        <v>804</v>
      </c>
      <c r="E162" s="22" t="s">
        <v>505</v>
      </c>
      <c r="F162" s="22" t="s">
        <v>638</v>
      </c>
      <c r="G162" s="22" t="s">
        <v>810</v>
      </c>
      <c r="H162" s="23">
        <v>43629</v>
      </c>
      <c r="I162" s="22">
        <v>5</v>
      </c>
      <c r="J162" s="22">
        <v>210</v>
      </c>
      <c r="K162" s="22">
        <v>0</v>
      </c>
      <c r="L162" s="22" t="s">
        <v>451</v>
      </c>
      <c r="M162" s="22" t="s">
        <v>451</v>
      </c>
      <c r="N162" s="22">
        <f t="shared" si="2"/>
        <v>0</v>
      </c>
      <c r="O162" s="22" t="s">
        <v>786</v>
      </c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</row>
    <row r="163" spans="1:119" s="18" customFormat="1" ht="16" customHeight="1" x14ac:dyDescent="0.2">
      <c r="A163" s="20">
        <v>40</v>
      </c>
      <c r="B163" s="20" t="s">
        <v>507</v>
      </c>
      <c r="C163" s="20" t="s">
        <v>803</v>
      </c>
      <c r="D163" s="20" t="s">
        <v>811</v>
      </c>
      <c r="E163" s="20" t="s">
        <v>505</v>
      </c>
      <c r="F163" s="20" t="s">
        <v>638</v>
      </c>
      <c r="G163" s="20" t="s">
        <v>812</v>
      </c>
      <c r="H163" s="21">
        <v>43633</v>
      </c>
      <c r="I163" s="20">
        <v>5</v>
      </c>
      <c r="J163" s="20">
        <v>210</v>
      </c>
      <c r="K163" s="20">
        <v>0</v>
      </c>
      <c r="L163" s="20" t="s">
        <v>490</v>
      </c>
      <c r="M163" s="20" t="s">
        <v>8</v>
      </c>
      <c r="N163" s="20">
        <f t="shared" si="2"/>
        <v>0</v>
      </c>
      <c r="O163" s="20" t="s">
        <v>451</v>
      </c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</row>
    <row r="164" spans="1:119" s="18" customFormat="1" ht="16" customHeight="1" x14ac:dyDescent="0.2">
      <c r="A164" s="20">
        <v>47</v>
      </c>
      <c r="B164" s="20" t="s">
        <v>507</v>
      </c>
      <c r="C164" s="20" t="s">
        <v>803</v>
      </c>
      <c r="D164" s="20" t="s">
        <v>811</v>
      </c>
      <c r="E164" s="20" t="s">
        <v>505</v>
      </c>
      <c r="F164" s="20" t="s">
        <v>638</v>
      </c>
      <c r="G164" s="20" t="s">
        <v>812</v>
      </c>
      <c r="H164" s="21">
        <v>43633</v>
      </c>
      <c r="I164" s="20">
        <v>5</v>
      </c>
      <c r="J164" s="20">
        <v>210</v>
      </c>
      <c r="K164" s="20">
        <v>0</v>
      </c>
      <c r="L164" s="20" t="s">
        <v>490</v>
      </c>
      <c r="M164" s="20" t="s">
        <v>8</v>
      </c>
      <c r="N164" s="20">
        <f t="shared" si="2"/>
        <v>0</v>
      </c>
      <c r="O164" s="20" t="s">
        <v>451</v>
      </c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</row>
    <row r="165" spans="1:119" s="18" customFormat="1" ht="16" customHeight="1" x14ac:dyDescent="0.2">
      <c r="A165" s="20">
        <v>54</v>
      </c>
      <c r="B165" s="20" t="s">
        <v>507</v>
      </c>
      <c r="C165" s="20" t="s">
        <v>803</v>
      </c>
      <c r="D165" s="20" t="s">
        <v>811</v>
      </c>
      <c r="E165" s="20" t="s">
        <v>505</v>
      </c>
      <c r="F165" s="20" t="s">
        <v>638</v>
      </c>
      <c r="G165" s="20" t="s">
        <v>812</v>
      </c>
      <c r="H165" s="21">
        <v>43633</v>
      </c>
      <c r="I165" s="20">
        <v>5</v>
      </c>
      <c r="J165" s="20">
        <v>210</v>
      </c>
      <c r="K165" s="20">
        <v>1.88375659809408</v>
      </c>
      <c r="L165" s="20" t="s">
        <v>490</v>
      </c>
      <c r="M165" s="20" t="s">
        <v>8</v>
      </c>
      <c r="N165" s="20">
        <f t="shared" si="2"/>
        <v>44.851347573668576</v>
      </c>
      <c r="O165" s="20" t="s">
        <v>451</v>
      </c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</row>
    <row r="166" spans="1:119" s="18" customFormat="1" ht="16" customHeight="1" x14ac:dyDescent="0.2">
      <c r="A166" s="20">
        <v>61</v>
      </c>
      <c r="B166" s="20" t="s">
        <v>507</v>
      </c>
      <c r="C166" s="20" t="s">
        <v>803</v>
      </c>
      <c r="D166" s="20" t="s">
        <v>811</v>
      </c>
      <c r="E166" s="20" t="s">
        <v>505</v>
      </c>
      <c r="F166" s="20" t="s">
        <v>638</v>
      </c>
      <c r="G166" s="20" t="s">
        <v>813</v>
      </c>
      <c r="H166" s="21">
        <v>43633</v>
      </c>
      <c r="I166" s="20">
        <v>5</v>
      </c>
      <c r="J166" s="20">
        <v>210</v>
      </c>
      <c r="K166" s="20">
        <v>0</v>
      </c>
      <c r="L166" s="20" t="s">
        <v>490</v>
      </c>
      <c r="M166" s="20" t="s">
        <v>8</v>
      </c>
      <c r="N166" s="20">
        <f t="shared" si="2"/>
        <v>0</v>
      </c>
      <c r="O166" s="20" t="s">
        <v>451</v>
      </c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</row>
    <row r="167" spans="1:119" s="18" customFormat="1" ht="16" customHeight="1" x14ac:dyDescent="0.2">
      <c r="A167" s="20">
        <v>68</v>
      </c>
      <c r="B167" s="20" t="s">
        <v>507</v>
      </c>
      <c r="C167" s="20" t="s">
        <v>803</v>
      </c>
      <c r="D167" s="20" t="s">
        <v>811</v>
      </c>
      <c r="E167" s="20" t="s">
        <v>505</v>
      </c>
      <c r="F167" s="20" t="s">
        <v>638</v>
      </c>
      <c r="G167" s="20" t="s">
        <v>813</v>
      </c>
      <c r="H167" s="21">
        <v>43633</v>
      </c>
      <c r="I167" s="20">
        <v>5</v>
      </c>
      <c r="J167" s="20">
        <v>210</v>
      </c>
      <c r="K167" s="20">
        <v>0</v>
      </c>
      <c r="L167" s="20" t="s">
        <v>490</v>
      </c>
      <c r="M167" s="20" t="s">
        <v>8</v>
      </c>
      <c r="N167" s="20">
        <f t="shared" si="2"/>
        <v>0</v>
      </c>
      <c r="O167" s="20" t="s">
        <v>451</v>
      </c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</row>
    <row r="168" spans="1:119" s="18" customFormat="1" ht="16" customHeight="1" x14ac:dyDescent="0.2">
      <c r="A168" s="20">
        <v>75</v>
      </c>
      <c r="B168" s="20" t="s">
        <v>507</v>
      </c>
      <c r="C168" s="20" t="s">
        <v>803</v>
      </c>
      <c r="D168" s="20" t="s">
        <v>811</v>
      </c>
      <c r="E168" s="20" t="s">
        <v>505</v>
      </c>
      <c r="F168" s="20" t="s">
        <v>638</v>
      </c>
      <c r="G168" s="20" t="s">
        <v>813</v>
      </c>
      <c r="H168" s="21">
        <v>43633</v>
      </c>
      <c r="I168" s="20">
        <v>5</v>
      </c>
      <c r="J168" s="20">
        <v>210</v>
      </c>
      <c r="K168" s="20">
        <v>0</v>
      </c>
      <c r="L168" s="20" t="s">
        <v>490</v>
      </c>
      <c r="M168" s="20" t="s">
        <v>8</v>
      </c>
      <c r="N168" s="20">
        <f t="shared" si="2"/>
        <v>0</v>
      </c>
      <c r="O168" s="20" t="s">
        <v>451</v>
      </c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</row>
    <row r="169" spans="1:119" s="18" customFormat="1" ht="16" customHeight="1" x14ac:dyDescent="0.2">
      <c r="A169" s="20">
        <v>41</v>
      </c>
      <c r="B169" s="20" t="s">
        <v>507</v>
      </c>
      <c r="C169" s="20" t="s">
        <v>803</v>
      </c>
      <c r="D169" s="20" t="s">
        <v>811</v>
      </c>
      <c r="E169" s="20" t="s">
        <v>505</v>
      </c>
      <c r="F169" s="20" t="s">
        <v>638</v>
      </c>
      <c r="G169" s="20" t="s">
        <v>814</v>
      </c>
      <c r="H169" s="21">
        <v>43633</v>
      </c>
      <c r="I169" s="20">
        <v>5</v>
      </c>
      <c r="J169" s="20">
        <v>210</v>
      </c>
      <c r="K169" s="20">
        <v>3.7203258804651602</v>
      </c>
      <c r="L169" s="20" t="s">
        <v>490</v>
      </c>
      <c r="M169" s="20" t="s">
        <v>8</v>
      </c>
      <c r="N169" s="20">
        <f t="shared" si="2"/>
        <v>88.57918763012286</v>
      </c>
      <c r="O169" s="20" t="s">
        <v>451</v>
      </c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</row>
    <row r="170" spans="1:119" s="18" customFormat="1" ht="16" customHeight="1" x14ac:dyDescent="0.2">
      <c r="A170" s="20">
        <v>48</v>
      </c>
      <c r="B170" s="20" t="s">
        <v>507</v>
      </c>
      <c r="C170" s="20" t="s">
        <v>803</v>
      </c>
      <c r="D170" s="20" t="s">
        <v>811</v>
      </c>
      <c r="E170" s="20" t="s">
        <v>505</v>
      </c>
      <c r="F170" s="20" t="s">
        <v>638</v>
      </c>
      <c r="G170" s="20" t="s">
        <v>814</v>
      </c>
      <c r="H170" s="21">
        <v>43633</v>
      </c>
      <c r="I170" s="20">
        <v>5</v>
      </c>
      <c r="J170" s="20">
        <v>210</v>
      </c>
      <c r="K170" s="20">
        <v>0</v>
      </c>
      <c r="L170" s="20" t="s">
        <v>490</v>
      </c>
      <c r="M170" s="20" t="s">
        <v>8</v>
      </c>
      <c r="N170" s="20">
        <f t="shared" si="2"/>
        <v>0</v>
      </c>
      <c r="O170" s="20" t="s">
        <v>451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</row>
    <row r="171" spans="1:119" s="18" customFormat="1" ht="16" customHeight="1" x14ac:dyDescent="0.2">
      <c r="A171" s="20">
        <v>55</v>
      </c>
      <c r="B171" s="20" t="s">
        <v>507</v>
      </c>
      <c r="C171" s="20" t="s">
        <v>803</v>
      </c>
      <c r="D171" s="20" t="s">
        <v>811</v>
      </c>
      <c r="E171" s="20" t="s">
        <v>505</v>
      </c>
      <c r="F171" s="20" t="s">
        <v>638</v>
      </c>
      <c r="G171" s="20" t="s">
        <v>814</v>
      </c>
      <c r="H171" s="21">
        <v>43633</v>
      </c>
      <c r="I171" s="20">
        <v>5</v>
      </c>
      <c r="J171" s="20">
        <v>210</v>
      </c>
      <c r="K171" s="20">
        <v>3.1687469210950701</v>
      </c>
      <c r="L171" s="20" t="s">
        <v>490</v>
      </c>
      <c r="M171" s="20" t="s">
        <v>8</v>
      </c>
      <c r="N171" s="20">
        <f t="shared" si="2"/>
        <v>75.446355264168332</v>
      </c>
      <c r="O171" s="20" t="s">
        <v>451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</row>
    <row r="172" spans="1:119" s="18" customFormat="1" ht="16" customHeight="1" x14ac:dyDescent="0.2">
      <c r="A172" s="20">
        <v>62</v>
      </c>
      <c r="B172" s="20" t="s">
        <v>507</v>
      </c>
      <c r="C172" s="20" t="s">
        <v>803</v>
      </c>
      <c r="D172" s="20" t="s">
        <v>811</v>
      </c>
      <c r="E172" s="20" t="s">
        <v>505</v>
      </c>
      <c r="F172" s="20" t="s">
        <v>638</v>
      </c>
      <c r="G172" s="20" t="s">
        <v>815</v>
      </c>
      <c r="H172" s="21">
        <v>43633</v>
      </c>
      <c r="I172" s="20">
        <v>5</v>
      </c>
      <c r="J172" s="20">
        <v>210</v>
      </c>
      <c r="K172" s="20">
        <v>0</v>
      </c>
      <c r="L172" s="20" t="s">
        <v>490</v>
      </c>
      <c r="M172" s="20" t="s">
        <v>8</v>
      </c>
      <c r="N172" s="20">
        <f t="shared" si="2"/>
        <v>0</v>
      </c>
      <c r="O172" s="20" t="s">
        <v>786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</row>
    <row r="173" spans="1:119" s="18" customFormat="1" ht="16" customHeight="1" x14ac:dyDescent="0.2">
      <c r="A173" s="20">
        <v>69</v>
      </c>
      <c r="B173" s="20" t="s">
        <v>507</v>
      </c>
      <c r="C173" s="20" t="s">
        <v>803</v>
      </c>
      <c r="D173" s="20" t="s">
        <v>811</v>
      </c>
      <c r="E173" s="20" t="s">
        <v>505</v>
      </c>
      <c r="F173" s="20" t="s">
        <v>638</v>
      </c>
      <c r="G173" s="20" t="s">
        <v>815</v>
      </c>
      <c r="H173" s="21">
        <v>43633</v>
      </c>
      <c r="I173" s="20">
        <v>5</v>
      </c>
      <c r="J173" s="20">
        <v>210</v>
      </c>
      <c r="K173" s="20">
        <v>0</v>
      </c>
      <c r="L173" s="20" t="s">
        <v>490</v>
      </c>
      <c r="M173" s="20" t="s">
        <v>8</v>
      </c>
      <c r="N173" s="20">
        <f t="shared" si="2"/>
        <v>0</v>
      </c>
      <c r="O173" s="20" t="s">
        <v>786</v>
      </c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</row>
    <row r="174" spans="1:119" s="18" customFormat="1" ht="16" customHeight="1" x14ac:dyDescent="0.2">
      <c r="A174" s="20">
        <v>76</v>
      </c>
      <c r="B174" s="20" t="s">
        <v>507</v>
      </c>
      <c r="C174" s="20" t="s">
        <v>803</v>
      </c>
      <c r="D174" s="20" t="s">
        <v>811</v>
      </c>
      <c r="E174" s="20" t="s">
        <v>505</v>
      </c>
      <c r="F174" s="20" t="s">
        <v>638</v>
      </c>
      <c r="G174" s="20" t="s">
        <v>815</v>
      </c>
      <c r="H174" s="21">
        <v>43633</v>
      </c>
      <c r="I174" s="20">
        <v>5</v>
      </c>
      <c r="J174" s="20">
        <v>210</v>
      </c>
      <c r="K174" s="20">
        <v>0</v>
      </c>
      <c r="L174" s="20" t="s">
        <v>490</v>
      </c>
      <c r="M174" s="20" t="s">
        <v>8</v>
      </c>
      <c r="N174" s="20">
        <f t="shared" si="2"/>
        <v>0</v>
      </c>
      <c r="O174" s="20" t="s">
        <v>786</v>
      </c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</row>
    <row r="175" spans="1:119" s="18" customFormat="1" ht="16" customHeight="1" x14ac:dyDescent="0.2">
      <c r="A175" s="20">
        <v>42</v>
      </c>
      <c r="B175" s="20" t="s">
        <v>507</v>
      </c>
      <c r="C175" s="20" t="s">
        <v>803</v>
      </c>
      <c r="D175" s="20" t="s">
        <v>811</v>
      </c>
      <c r="E175" s="20" t="s">
        <v>505</v>
      </c>
      <c r="F175" s="20" t="s">
        <v>638</v>
      </c>
      <c r="G175" s="20" t="s">
        <v>816</v>
      </c>
      <c r="H175" s="21">
        <v>43633</v>
      </c>
      <c r="I175" s="20">
        <v>5</v>
      </c>
      <c r="J175" s="20">
        <v>210</v>
      </c>
      <c r="K175" s="20">
        <v>0</v>
      </c>
      <c r="L175" s="20" t="s">
        <v>490</v>
      </c>
      <c r="M175" s="20" t="s">
        <v>8</v>
      </c>
      <c r="N175" s="20">
        <f t="shared" si="2"/>
        <v>0</v>
      </c>
      <c r="O175" s="20" t="s">
        <v>786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</row>
    <row r="176" spans="1:119" s="16" customFormat="1" ht="16" customHeight="1" x14ac:dyDescent="0.2">
      <c r="A176" s="20">
        <v>49</v>
      </c>
      <c r="B176" s="20" t="s">
        <v>507</v>
      </c>
      <c r="C176" s="20" t="s">
        <v>803</v>
      </c>
      <c r="D176" s="20" t="s">
        <v>811</v>
      </c>
      <c r="E176" s="20" t="s">
        <v>505</v>
      </c>
      <c r="F176" s="20" t="s">
        <v>638</v>
      </c>
      <c r="G176" s="20" t="s">
        <v>816</v>
      </c>
      <c r="H176" s="21">
        <v>43633</v>
      </c>
      <c r="I176" s="20">
        <v>5</v>
      </c>
      <c r="J176" s="20">
        <v>210</v>
      </c>
      <c r="K176" s="20">
        <v>0</v>
      </c>
      <c r="L176" s="20" t="s">
        <v>490</v>
      </c>
      <c r="M176" s="20" t="s">
        <v>8</v>
      </c>
      <c r="N176" s="20">
        <f t="shared" si="2"/>
        <v>0</v>
      </c>
      <c r="O176" s="20" t="s">
        <v>786</v>
      </c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</row>
    <row r="177" spans="1:119" s="16" customFormat="1" ht="16" customHeight="1" x14ac:dyDescent="0.2">
      <c r="A177" s="20">
        <v>56</v>
      </c>
      <c r="B177" s="20" t="s">
        <v>507</v>
      </c>
      <c r="C177" s="20" t="s">
        <v>803</v>
      </c>
      <c r="D177" s="20" t="s">
        <v>811</v>
      </c>
      <c r="E177" s="20" t="s">
        <v>505</v>
      </c>
      <c r="F177" s="20" t="s">
        <v>638</v>
      </c>
      <c r="G177" s="20" t="s">
        <v>816</v>
      </c>
      <c r="H177" s="21">
        <v>43633</v>
      </c>
      <c r="I177" s="20">
        <v>5</v>
      </c>
      <c r="J177" s="20">
        <v>210</v>
      </c>
      <c r="K177" s="20">
        <v>0</v>
      </c>
      <c r="L177" s="20" t="s">
        <v>490</v>
      </c>
      <c r="M177" s="20" t="s">
        <v>8</v>
      </c>
      <c r="N177" s="20">
        <f t="shared" si="2"/>
        <v>0</v>
      </c>
      <c r="O177" s="20" t="s">
        <v>786</v>
      </c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</row>
    <row r="178" spans="1:119" s="16" customFormat="1" ht="16" customHeight="1" x14ac:dyDescent="0.2">
      <c r="A178" s="20">
        <v>63</v>
      </c>
      <c r="B178" s="20" t="s">
        <v>507</v>
      </c>
      <c r="C178" s="20" t="s">
        <v>803</v>
      </c>
      <c r="D178" s="20" t="s">
        <v>811</v>
      </c>
      <c r="E178" s="20" t="s">
        <v>505</v>
      </c>
      <c r="F178" s="20" t="s">
        <v>638</v>
      </c>
      <c r="G178" s="20" t="s">
        <v>817</v>
      </c>
      <c r="H178" s="21">
        <v>43633</v>
      </c>
      <c r="I178" s="20">
        <v>5</v>
      </c>
      <c r="J178" s="20">
        <v>210</v>
      </c>
      <c r="K178" s="20">
        <v>0</v>
      </c>
      <c r="L178" s="20" t="s">
        <v>490</v>
      </c>
      <c r="M178" s="20" t="s">
        <v>8</v>
      </c>
      <c r="N178" s="20">
        <f t="shared" si="2"/>
        <v>0</v>
      </c>
      <c r="O178" s="20" t="s">
        <v>786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</row>
    <row r="179" spans="1:119" s="16" customFormat="1" ht="16" customHeight="1" x14ac:dyDescent="0.2">
      <c r="A179" s="20">
        <v>70</v>
      </c>
      <c r="B179" s="20" t="s">
        <v>507</v>
      </c>
      <c r="C179" s="20" t="s">
        <v>803</v>
      </c>
      <c r="D179" s="20" t="s">
        <v>811</v>
      </c>
      <c r="E179" s="20" t="s">
        <v>505</v>
      </c>
      <c r="F179" s="20" t="s">
        <v>638</v>
      </c>
      <c r="G179" s="20" t="s">
        <v>817</v>
      </c>
      <c r="H179" s="21">
        <v>43633</v>
      </c>
      <c r="I179" s="20">
        <v>5</v>
      </c>
      <c r="J179" s="20">
        <v>210</v>
      </c>
      <c r="K179" s="20">
        <v>0</v>
      </c>
      <c r="L179" s="20" t="s">
        <v>490</v>
      </c>
      <c r="M179" s="20" t="s">
        <v>8</v>
      </c>
      <c r="N179" s="20">
        <f t="shared" si="2"/>
        <v>0</v>
      </c>
      <c r="O179" s="20" t="s">
        <v>786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</row>
    <row r="180" spans="1:119" s="16" customFormat="1" ht="16" customHeight="1" x14ac:dyDescent="0.2">
      <c r="A180" s="20">
        <v>77</v>
      </c>
      <c r="B180" s="20" t="s">
        <v>507</v>
      </c>
      <c r="C180" s="20" t="s">
        <v>803</v>
      </c>
      <c r="D180" s="20" t="s">
        <v>811</v>
      </c>
      <c r="E180" s="20" t="s">
        <v>505</v>
      </c>
      <c r="F180" s="20" t="s">
        <v>638</v>
      </c>
      <c r="G180" s="20" t="s">
        <v>817</v>
      </c>
      <c r="H180" s="21">
        <v>43633</v>
      </c>
      <c r="I180" s="20">
        <v>5</v>
      </c>
      <c r="J180" s="20">
        <v>210</v>
      </c>
      <c r="K180" s="20">
        <v>0</v>
      </c>
      <c r="L180" s="20" t="s">
        <v>490</v>
      </c>
      <c r="M180" s="20" t="s">
        <v>8</v>
      </c>
      <c r="N180" s="20">
        <f t="shared" si="2"/>
        <v>0</v>
      </c>
      <c r="O180" s="20" t="s">
        <v>786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</row>
    <row r="181" spans="1:119" s="16" customFormat="1" ht="16" customHeight="1" x14ac:dyDescent="0.2">
      <c r="A181" s="22">
        <v>64</v>
      </c>
      <c r="B181" s="22" t="s">
        <v>509</v>
      </c>
      <c r="C181" s="22" t="s">
        <v>818</v>
      </c>
      <c r="D181" s="22" t="s">
        <v>819</v>
      </c>
      <c r="E181" s="22" t="s">
        <v>511</v>
      </c>
      <c r="F181" s="22" t="s">
        <v>638</v>
      </c>
      <c r="G181" s="22" t="s">
        <v>820</v>
      </c>
      <c r="H181" s="23">
        <v>44328</v>
      </c>
      <c r="I181" s="22">
        <v>5</v>
      </c>
      <c r="J181" s="22">
        <v>150</v>
      </c>
      <c r="K181" s="22">
        <v>0</v>
      </c>
      <c r="L181" s="22" t="s">
        <v>490</v>
      </c>
      <c r="M181" s="22" t="s">
        <v>8</v>
      </c>
      <c r="N181" s="22">
        <f t="shared" si="2"/>
        <v>0</v>
      </c>
      <c r="O181" s="22" t="s">
        <v>451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</row>
    <row r="182" spans="1:119" s="16" customFormat="1" ht="16" customHeight="1" x14ac:dyDescent="0.2">
      <c r="A182" s="22">
        <v>71</v>
      </c>
      <c r="B182" s="22" t="s">
        <v>509</v>
      </c>
      <c r="C182" s="22" t="s">
        <v>818</v>
      </c>
      <c r="D182" s="22" t="s">
        <v>819</v>
      </c>
      <c r="E182" s="22" t="s">
        <v>511</v>
      </c>
      <c r="F182" s="22" t="s">
        <v>638</v>
      </c>
      <c r="G182" s="22" t="s">
        <v>820</v>
      </c>
      <c r="H182" s="23">
        <v>44328</v>
      </c>
      <c r="I182" s="22">
        <v>5</v>
      </c>
      <c r="J182" s="22">
        <v>150</v>
      </c>
      <c r="K182" s="22">
        <v>0</v>
      </c>
      <c r="L182" s="22" t="s">
        <v>490</v>
      </c>
      <c r="M182" s="22" t="s">
        <v>8</v>
      </c>
      <c r="N182" s="22">
        <f t="shared" si="2"/>
        <v>0</v>
      </c>
      <c r="O182" s="22" t="s">
        <v>451</v>
      </c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</row>
    <row r="183" spans="1:119" s="16" customFormat="1" ht="16" customHeight="1" x14ac:dyDescent="0.2">
      <c r="A183" s="22">
        <v>78</v>
      </c>
      <c r="B183" s="22" t="s">
        <v>509</v>
      </c>
      <c r="C183" s="22" t="s">
        <v>818</v>
      </c>
      <c r="D183" s="22" t="s">
        <v>819</v>
      </c>
      <c r="E183" s="22" t="s">
        <v>511</v>
      </c>
      <c r="F183" s="22" t="s">
        <v>638</v>
      </c>
      <c r="G183" s="22" t="s">
        <v>820</v>
      </c>
      <c r="H183" s="23">
        <v>44328</v>
      </c>
      <c r="I183" s="22">
        <v>5</v>
      </c>
      <c r="J183" s="22">
        <v>150</v>
      </c>
      <c r="K183" s="22">
        <v>0</v>
      </c>
      <c r="L183" s="22" t="s">
        <v>490</v>
      </c>
      <c r="M183" s="22" t="s">
        <v>8</v>
      </c>
      <c r="N183" s="22">
        <f t="shared" si="2"/>
        <v>0</v>
      </c>
      <c r="O183" s="22" t="s">
        <v>451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</row>
    <row r="184" spans="1:119" s="16" customFormat="1" ht="16" customHeight="1" x14ac:dyDescent="0.2">
      <c r="A184" s="22">
        <v>44</v>
      </c>
      <c r="B184" s="22" t="s">
        <v>509</v>
      </c>
      <c r="C184" s="22" t="s">
        <v>818</v>
      </c>
      <c r="D184" s="22" t="s">
        <v>819</v>
      </c>
      <c r="E184" s="22" t="s">
        <v>511</v>
      </c>
      <c r="F184" s="22" t="s">
        <v>638</v>
      </c>
      <c r="G184" s="22" t="s">
        <v>821</v>
      </c>
      <c r="H184" s="23">
        <v>44328</v>
      </c>
      <c r="I184" s="22">
        <v>5</v>
      </c>
      <c r="J184" s="22">
        <v>150</v>
      </c>
      <c r="K184" s="22">
        <v>0</v>
      </c>
      <c r="L184" s="22" t="s">
        <v>490</v>
      </c>
      <c r="M184" s="22" t="s">
        <v>8</v>
      </c>
      <c r="N184" s="22">
        <f t="shared" si="2"/>
        <v>0</v>
      </c>
      <c r="O184" s="22" t="s">
        <v>451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</row>
    <row r="185" spans="1:119" s="16" customFormat="1" ht="16" customHeight="1" x14ac:dyDescent="0.2">
      <c r="A185" s="22">
        <v>51</v>
      </c>
      <c r="B185" s="22" t="s">
        <v>509</v>
      </c>
      <c r="C185" s="22" t="s">
        <v>818</v>
      </c>
      <c r="D185" s="22" t="s">
        <v>819</v>
      </c>
      <c r="E185" s="22" t="s">
        <v>511</v>
      </c>
      <c r="F185" s="22" t="s">
        <v>638</v>
      </c>
      <c r="G185" s="22" t="s">
        <v>821</v>
      </c>
      <c r="H185" s="23">
        <v>44328</v>
      </c>
      <c r="I185" s="22">
        <v>5</v>
      </c>
      <c r="J185" s="22">
        <v>150</v>
      </c>
      <c r="K185" s="22">
        <v>0</v>
      </c>
      <c r="L185" s="22" t="s">
        <v>490</v>
      </c>
      <c r="M185" s="22" t="s">
        <v>8</v>
      </c>
      <c r="N185" s="22">
        <f t="shared" si="2"/>
        <v>0</v>
      </c>
      <c r="O185" s="22" t="s">
        <v>451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</row>
    <row r="186" spans="1:119" s="16" customFormat="1" ht="16" customHeight="1" x14ac:dyDescent="0.2">
      <c r="A186" s="22">
        <v>58</v>
      </c>
      <c r="B186" s="22" t="s">
        <v>509</v>
      </c>
      <c r="C186" s="22" t="s">
        <v>818</v>
      </c>
      <c r="D186" s="22" t="s">
        <v>819</v>
      </c>
      <c r="E186" s="22" t="s">
        <v>511</v>
      </c>
      <c r="F186" s="22" t="s">
        <v>638</v>
      </c>
      <c r="G186" s="22" t="s">
        <v>821</v>
      </c>
      <c r="H186" s="23">
        <v>44328</v>
      </c>
      <c r="I186" s="22">
        <v>5</v>
      </c>
      <c r="J186" s="22">
        <v>150</v>
      </c>
      <c r="K186" s="22">
        <v>0</v>
      </c>
      <c r="L186" s="22" t="s">
        <v>490</v>
      </c>
      <c r="M186" s="22" t="s">
        <v>8</v>
      </c>
      <c r="N186" s="22">
        <f t="shared" si="2"/>
        <v>0</v>
      </c>
      <c r="O186" s="22" t="s">
        <v>451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</row>
    <row r="187" spans="1:119" s="16" customFormat="1" ht="16" customHeight="1" x14ac:dyDescent="0.2">
      <c r="A187" s="22">
        <v>65</v>
      </c>
      <c r="B187" s="22" t="s">
        <v>509</v>
      </c>
      <c r="C187" s="22" t="s">
        <v>818</v>
      </c>
      <c r="D187" s="22" t="s">
        <v>819</v>
      </c>
      <c r="E187" s="22" t="s">
        <v>511</v>
      </c>
      <c r="F187" s="22" t="s">
        <v>638</v>
      </c>
      <c r="G187" s="22" t="s">
        <v>822</v>
      </c>
      <c r="H187" s="23">
        <v>44328</v>
      </c>
      <c r="I187" s="22">
        <v>5</v>
      </c>
      <c r="J187" s="22">
        <v>150</v>
      </c>
      <c r="K187" s="22">
        <v>0</v>
      </c>
      <c r="L187" s="22" t="s">
        <v>490</v>
      </c>
      <c r="M187" s="22" t="s">
        <v>8</v>
      </c>
      <c r="N187" s="22">
        <f t="shared" si="2"/>
        <v>0</v>
      </c>
      <c r="O187" s="22" t="s">
        <v>451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</row>
    <row r="188" spans="1:119" s="16" customFormat="1" ht="16" customHeight="1" x14ac:dyDescent="0.2">
      <c r="A188" s="22">
        <v>72</v>
      </c>
      <c r="B188" s="22" t="s">
        <v>509</v>
      </c>
      <c r="C188" s="22" t="s">
        <v>818</v>
      </c>
      <c r="D188" s="22" t="s">
        <v>819</v>
      </c>
      <c r="E188" s="22" t="s">
        <v>511</v>
      </c>
      <c r="F188" s="22" t="s">
        <v>638</v>
      </c>
      <c r="G188" s="22" t="s">
        <v>822</v>
      </c>
      <c r="H188" s="23">
        <v>44328</v>
      </c>
      <c r="I188" s="22">
        <v>5</v>
      </c>
      <c r="J188" s="22">
        <v>150</v>
      </c>
      <c r="K188" s="22">
        <v>0</v>
      </c>
      <c r="L188" s="22" t="s">
        <v>490</v>
      </c>
      <c r="M188" s="22" t="s">
        <v>8</v>
      </c>
      <c r="N188" s="22">
        <f t="shared" si="2"/>
        <v>0</v>
      </c>
      <c r="O188" s="22" t="s">
        <v>451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</row>
    <row r="189" spans="1:119" s="16" customFormat="1" ht="16" customHeight="1" x14ac:dyDescent="0.2">
      <c r="A189" s="22">
        <v>79</v>
      </c>
      <c r="B189" s="22" t="s">
        <v>509</v>
      </c>
      <c r="C189" s="22" t="s">
        <v>818</v>
      </c>
      <c r="D189" s="22" t="s">
        <v>819</v>
      </c>
      <c r="E189" s="22" t="s">
        <v>511</v>
      </c>
      <c r="F189" s="22" t="s">
        <v>638</v>
      </c>
      <c r="G189" s="22" t="s">
        <v>822</v>
      </c>
      <c r="H189" s="23">
        <v>44328</v>
      </c>
      <c r="I189" s="22">
        <v>5</v>
      </c>
      <c r="J189" s="22">
        <v>150</v>
      </c>
      <c r="K189" s="22">
        <v>0</v>
      </c>
      <c r="L189" s="22" t="s">
        <v>490</v>
      </c>
      <c r="M189" s="22" t="s">
        <v>8</v>
      </c>
      <c r="N189" s="22">
        <f t="shared" si="2"/>
        <v>0</v>
      </c>
      <c r="O189" s="22" t="s">
        <v>451</v>
      </c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</row>
    <row r="190" spans="1:119" s="20" customFormat="1" ht="16" customHeight="1" x14ac:dyDescent="0.2">
      <c r="A190" s="20">
        <v>101</v>
      </c>
      <c r="B190" s="20" t="s">
        <v>522</v>
      </c>
      <c r="C190" s="20" t="s">
        <v>833</v>
      </c>
      <c r="D190" s="20" t="s">
        <v>834</v>
      </c>
      <c r="E190" s="20" t="s">
        <v>524</v>
      </c>
      <c r="F190" s="20" t="s">
        <v>638</v>
      </c>
      <c r="G190" s="20" t="s">
        <v>835</v>
      </c>
      <c r="H190" s="21">
        <v>44330</v>
      </c>
      <c r="I190" s="20">
        <v>5</v>
      </c>
      <c r="J190" s="20">
        <v>150</v>
      </c>
      <c r="K190" s="20">
        <v>0</v>
      </c>
      <c r="L190" s="20" t="s">
        <v>490</v>
      </c>
      <c r="M190" s="20" t="s">
        <v>8</v>
      </c>
      <c r="N190" s="20">
        <f t="shared" si="2"/>
        <v>0</v>
      </c>
      <c r="O190" s="20" t="s">
        <v>451</v>
      </c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</row>
    <row r="191" spans="1:119" s="20" customFormat="1" ht="16" customHeight="1" x14ac:dyDescent="0.2">
      <c r="A191" s="20">
        <v>108</v>
      </c>
      <c r="B191" s="20" t="s">
        <v>522</v>
      </c>
      <c r="C191" s="20" t="s">
        <v>833</v>
      </c>
      <c r="D191" s="20" t="s">
        <v>834</v>
      </c>
      <c r="E191" s="20" t="s">
        <v>524</v>
      </c>
      <c r="F191" s="20" t="s">
        <v>638</v>
      </c>
      <c r="G191" s="20" t="s">
        <v>835</v>
      </c>
      <c r="H191" s="21">
        <v>44330</v>
      </c>
      <c r="I191" s="20">
        <v>5</v>
      </c>
      <c r="J191" s="20">
        <v>150</v>
      </c>
      <c r="K191" s="20">
        <v>0.18325298667808901</v>
      </c>
      <c r="L191" s="20" t="s">
        <v>490</v>
      </c>
      <c r="M191" s="20" t="s">
        <v>8</v>
      </c>
      <c r="N191" s="20">
        <f t="shared" si="2"/>
        <v>6.1084328892696336</v>
      </c>
      <c r="O191" s="20" t="s">
        <v>451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</row>
    <row r="192" spans="1:119" s="20" customFormat="1" ht="16" customHeight="1" x14ac:dyDescent="0.2">
      <c r="A192" s="20">
        <v>115</v>
      </c>
      <c r="B192" s="20" t="s">
        <v>522</v>
      </c>
      <c r="C192" s="20" t="s">
        <v>833</v>
      </c>
      <c r="D192" s="20" t="s">
        <v>834</v>
      </c>
      <c r="E192" s="20" t="s">
        <v>524</v>
      </c>
      <c r="F192" s="20" t="s">
        <v>638</v>
      </c>
      <c r="G192" s="20" t="s">
        <v>835</v>
      </c>
      <c r="H192" s="21">
        <v>44330</v>
      </c>
      <c r="I192" s="20">
        <v>5</v>
      </c>
      <c r="J192" s="20">
        <v>150</v>
      </c>
      <c r="K192" s="20">
        <v>0</v>
      </c>
      <c r="L192" s="20" t="s">
        <v>490</v>
      </c>
      <c r="M192" s="20" t="s">
        <v>8</v>
      </c>
      <c r="N192" s="20">
        <f t="shared" si="2"/>
        <v>0</v>
      </c>
      <c r="O192" s="20" t="s">
        <v>451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</row>
    <row r="193" spans="1:119" s="20" customFormat="1" ht="16" customHeight="1" x14ac:dyDescent="0.2">
      <c r="A193" s="20">
        <v>83</v>
      </c>
      <c r="B193" s="20" t="s">
        <v>522</v>
      </c>
      <c r="C193" s="20" t="s">
        <v>833</v>
      </c>
      <c r="D193" s="20" t="s">
        <v>834</v>
      </c>
      <c r="E193" s="20" t="s">
        <v>524</v>
      </c>
      <c r="F193" s="20" t="s">
        <v>638</v>
      </c>
      <c r="G193" s="20" t="s">
        <v>836</v>
      </c>
      <c r="H193" s="21">
        <v>44330</v>
      </c>
      <c r="I193" s="20">
        <v>5</v>
      </c>
      <c r="J193" s="20">
        <v>150</v>
      </c>
      <c r="K193" s="20">
        <v>2.33175911036076</v>
      </c>
      <c r="L193" s="20" t="s">
        <v>490</v>
      </c>
      <c r="M193" s="20" t="s">
        <v>8</v>
      </c>
      <c r="N193" s="20">
        <f t="shared" si="2"/>
        <v>77.725303678692001</v>
      </c>
      <c r="O193" s="20" t="s">
        <v>451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</row>
    <row r="194" spans="1:119" s="20" customFormat="1" ht="16" customHeight="1" x14ac:dyDescent="0.2">
      <c r="A194" s="20">
        <v>89</v>
      </c>
      <c r="B194" s="20" t="s">
        <v>522</v>
      </c>
      <c r="C194" s="20" t="s">
        <v>833</v>
      </c>
      <c r="D194" s="20" t="s">
        <v>834</v>
      </c>
      <c r="E194" s="20" t="s">
        <v>524</v>
      </c>
      <c r="F194" s="20" t="s">
        <v>638</v>
      </c>
      <c r="G194" s="20" t="s">
        <v>836</v>
      </c>
      <c r="H194" s="21">
        <v>44330</v>
      </c>
      <c r="I194" s="20">
        <v>5</v>
      </c>
      <c r="J194" s="20">
        <v>150</v>
      </c>
      <c r="K194" s="20">
        <v>7.0911086674073003</v>
      </c>
      <c r="L194" s="20" t="s">
        <v>490</v>
      </c>
      <c r="M194" s="20" t="s">
        <v>8</v>
      </c>
      <c r="N194" s="20">
        <f t="shared" si="2"/>
        <v>236.3702889135767</v>
      </c>
      <c r="O194" s="20" t="s">
        <v>451</v>
      </c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</row>
    <row r="195" spans="1:119" s="20" customFormat="1" ht="16" customHeight="1" x14ac:dyDescent="0.2">
      <c r="A195" s="20">
        <v>95</v>
      </c>
      <c r="B195" s="20" t="s">
        <v>522</v>
      </c>
      <c r="C195" s="20" t="s">
        <v>833</v>
      </c>
      <c r="D195" s="20" t="s">
        <v>834</v>
      </c>
      <c r="E195" s="20" t="s">
        <v>524</v>
      </c>
      <c r="F195" s="20" t="s">
        <v>638</v>
      </c>
      <c r="G195" s="20" t="s">
        <v>836</v>
      </c>
      <c r="H195" s="21">
        <v>44330</v>
      </c>
      <c r="I195" s="20">
        <v>5</v>
      </c>
      <c r="J195" s="20">
        <v>150</v>
      </c>
      <c r="K195" s="20">
        <v>6.5241984479069099</v>
      </c>
      <c r="L195" s="20" t="s">
        <v>490</v>
      </c>
      <c r="M195" s="20" t="s">
        <v>8</v>
      </c>
      <c r="N195" s="20">
        <f t="shared" si="2"/>
        <v>217.47328159689701</v>
      </c>
      <c r="O195" s="20" t="s">
        <v>451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</row>
    <row r="196" spans="1:119" s="20" customFormat="1" ht="16" customHeight="1" x14ac:dyDescent="0.2">
      <c r="A196" s="20">
        <v>102</v>
      </c>
      <c r="B196" s="20" t="s">
        <v>522</v>
      </c>
      <c r="C196" s="20" t="s">
        <v>833</v>
      </c>
      <c r="D196" s="20" t="s">
        <v>834</v>
      </c>
      <c r="E196" s="20" t="s">
        <v>524</v>
      </c>
      <c r="F196" s="20" t="s">
        <v>638</v>
      </c>
      <c r="G196" s="20" t="s">
        <v>837</v>
      </c>
      <c r="H196" s="21">
        <v>44330</v>
      </c>
      <c r="I196" s="20">
        <v>5</v>
      </c>
      <c r="J196" s="20">
        <v>150</v>
      </c>
      <c r="K196" s="20">
        <v>10.758790199167001</v>
      </c>
      <c r="L196" s="20" t="s">
        <v>490</v>
      </c>
      <c r="M196" s="20" t="s">
        <v>8</v>
      </c>
      <c r="N196" s="20">
        <f t="shared" ref="N196:N259" si="3">K196*I196*(1000/J196)</f>
        <v>358.62633997223338</v>
      </c>
      <c r="O196" s="20" t="s">
        <v>451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</row>
    <row r="197" spans="1:119" s="22" customFormat="1" ht="16" customHeight="1" x14ac:dyDescent="0.2">
      <c r="A197" s="20">
        <v>109</v>
      </c>
      <c r="B197" s="20" t="s">
        <v>522</v>
      </c>
      <c r="C197" s="20" t="s">
        <v>833</v>
      </c>
      <c r="D197" s="20" t="s">
        <v>834</v>
      </c>
      <c r="E197" s="20" t="s">
        <v>524</v>
      </c>
      <c r="F197" s="20" t="s">
        <v>638</v>
      </c>
      <c r="G197" s="20" t="s">
        <v>837</v>
      </c>
      <c r="H197" s="21">
        <v>44330</v>
      </c>
      <c r="I197" s="20">
        <v>5</v>
      </c>
      <c r="J197" s="20">
        <v>150</v>
      </c>
      <c r="K197" s="20">
        <v>17.887466660953098</v>
      </c>
      <c r="L197" s="20" t="s">
        <v>490</v>
      </c>
      <c r="M197" s="20" t="s">
        <v>8</v>
      </c>
      <c r="N197" s="20">
        <f t="shared" si="3"/>
        <v>596.24888869843664</v>
      </c>
      <c r="O197" s="20" t="s">
        <v>451</v>
      </c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</row>
    <row r="198" spans="1:119" s="22" customFormat="1" ht="16" customHeight="1" x14ac:dyDescent="0.2">
      <c r="A198" s="20">
        <v>116</v>
      </c>
      <c r="B198" s="20" t="s">
        <v>522</v>
      </c>
      <c r="C198" s="20" t="s">
        <v>833</v>
      </c>
      <c r="D198" s="20" t="s">
        <v>834</v>
      </c>
      <c r="E198" s="20" t="s">
        <v>524</v>
      </c>
      <c r="F198" s="20" t="s">
        <v>638</v>
      </c>
      <c r="G198" s="20" t="s">
        <v>837</v>
      </c>
      <c r="H198" s="21">
        <v>44330</v>
      </c>
      <c r="I198" s="20">
        <v>5</v>
      </c>
      <c r="J198" s="20">
        <v>150</v>
      </c>
      <c r="K198" s="20">
        <v>17.456502501889499</v>
      </c>
      <c r="L198" s="20" t="s">
        <v>490</v>
      </c>
      <c r="M198" s="20" t="s">
        <v>8</v>
      </c>
      <c r="N198" s="20">
        <f t="shared" si="3"/>
        <v>581.88341672964998</v>
      </c>
      <c r="O198" s="20" t="s">
        <v>451</v>
      </c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</row>
    <row r="199" spans="1:119" s="71" customFormat="1" ht="16" customHeight="1" x14ac:dyDescent="0.2">
      <c r="A199" s="62">
        <v>45</v>
      </c>
      <c r="B199" s="62" t="s">
        <v>514</v>
      </c>
      <c r="C199" s="62" t="s">
        <v>823</v>
      </c>
      <c r="D199" s="62" t="s">
        <v>824</v>
      </c>
      <c r="E199" s="62" t="s">
        <v>516</v>
      </c>
      <c r="F199" s="62" t="s">
        <v>638</v>
      </c>
      <c r="G199" s="62" t="s">
        <v>825</v>
      </c>
      <c r="H199" s="63">
        <v>44328</v>
      </c>
      <c r="I199" s="62">
        <v>5</v>
      </c>
      <c r="J199" s="62">
        <v>150</v>
      </c>
      <c r="K199" s="62">
        <v>0</v>
      </c>
      <c r="L199" s="62" t="s">
        <v>490</v>
      </c>
      <c r="M199" s="62" t="s">
        <v>8</v>
      </c>
      <c r="N199" s="62">
        <f t="shared" si="3"/>
        <v>0</v>
      </c>
      <c r="O199" s="62" t="s">
        <v>451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  <c r="BN199" s="70"/>
      <c r="BO199" s="70"/>
      <c r="BP199" s="70"/>
      <c r="BQ199" s="70"/>
      <c r="BR199" s="70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  <c r="DM199" s="62"/>
      <c r="DN199" s="62"/>
      <c r="DO199" s="62"/>
    </row>
    <row r="200" spans="1:119" s="71" customFormat="1" ht="16" customHeight="1" x14ac:dyDescent="0.2">
      <c r="A200" s="62">
        <v>52</v>
      </c>
      <c r="B200" s="62" t="s">
        <v>514</v>
      </c>
      <c r="C200" s="62" t="s">
        <v>823</v>
      </c>
      <c r="D200" s="62" t="s">
        <v>824</v>
      </c>
      <c r="E200" s="62" t="s">
        <v>516</v>
      </c>
      <c r="F200" s="62" t="s">
        <v>638</v>
      </c>
      <c r="G200" s="62" t="s">
        <v>825</v>
      </c>
      <c r="H200" s="63">
        <v>44328</v>
      </c>
      <c r="I200" s="62">
        <v>5</v>
      </c>
      <c r="J200" s="62">
        <v>150</v>
      </c>
      <c r="K200" s="62">
        <v>0</v>
      </c>
      <c r="L200" s="62" t="s">
        <v>490</v>
      </c>
      <c r="M200" s="62" t="s">
        <v>8</v>
      </c>
      <c r="N200" s="62">
        <f t="shared" si="3"/>
        <v>0</v>
      </c>
      <c r="O200" s="62" t="s">
        <v>451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  <c r="DM200" s="62"/>
      <c r="DN200" s="62"/>
      <c r="DO200" s="62"/>
    </row>
    <row r="201" spans="1:119" s="71" customFormat="1" ht="16" customHeight="1" x14ac:dyDescent="0.2">
      <c r="A201" s="62">
        <v>59</v>
      </c>
      <c r="B201" s="62" t="s">
        <v>514</v>
      </c>
      <c r="C201" s="62" t="s">
        <v>823</v>
      </c>
      <c r="D201" s="62" t="s">
        <v>824</v>
      </c>
      <c r="E201" s="62" t="s">
        <v>516</v>
      </c>
      <c r="F201" s="62" t="s">
        <v>638</v>
      </c>
      <c r="G201" s="62" t="s">
        <v>825</v>
      </c>
      <c r="H201" s="63">
        <v>44328</v>
      </c>
      <c r="I201" s="62">
        <v>5</v>
      </c>
      <c r="J201" s="62">
        <v>150</v>
      </c>
      <c r="K201" s="62">
        <v>0</v>
      </c>
      <c r="L201" s="62" t="s">
        <v>490</v>
      </c>
      <c r="M201" s="62" t="s">
        <v>8</v>
      </c>
      <c r="N201" s="62">
        <f t="shared" si="3"/>
        <v>0</v>
      </c>
      <c r="O201" s="62" t="s">
        <v>451</v>
      </c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  <c r="DK201" s="62"/>
      <c r="DL201" s="62"/>
      <c r="DM201" s="62"/>
      <c r="DN201" s="62"/>
      <c r="DO201" s="62"/>
    </row>
    <row r="202" spans="1:119" s="71" customFormat="1" ht="16" customHeight="1" x14ac:dyDescent="0.2">
      <c r="A202" s="62">
        <v>66</v>
      </c>
      <c r="B202" s="62" t="s">
        <v>514</v>
      </c>
      <c r="C202" s="62" t="s">
        <v>823</v>
      </c>
      <c r="D202" s="62" t="s">
        <v>824</v>
      </c>
      <c r="E202" s="62" t="s">
        <v>516</v>
      </c>
      <c r="F202" s="62" t="s">
        <v>638</v>
      </c>
      <c r="G202" s="62" t="s">
        <v>826</v>
      </c>
      <c r="H202" s="63">
        <v>44328</v>
      </c>
      <c r="I202" s="62">
        <v>5</v>
      </c>
      <c r="J202" s="62">
        <v>150</v>
      </c>
      <c r="K202" s="62">
        <v>0</v>
      </c>
      <c r="L202" s="62" t="s">
        <v>490</v>
      </c>
      <c r="M202" s="62" t="s">
        <v>8</v>
      </c>
      <c r="N202" s="62">
        <f t="shared" si="3"/>
        <v>0</v>
      </c>
      <c r="O202" s="62" t="s">
        <v>451</v>
      </c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  <c r="DK202" s="62"/>
      <c r="DL202" s="62"/>
      <c r="DM202" s="62"/>
      <c r="DN202" s="62"/>
      <c r="DO202" s="62"/>
    </row>
    <row r="203" spans="1:119" s="71" customFormat="1" ht="16" customHeight="1" x14ac:dyDescent="0.2">
      <c r="A203" s="62">
        <v>73</v>
      </c>
      <c r="B203" s="62" t="s">
        <v>514</v>
      </c>
      <c r="C203" s="62" t="s">
        <v>823</v>
      </c>
      <c r="D203" s="62" t="s">
        <v>824</v>
      </c>
      <c r="E203" s="62" t="s">
        <v>516</v>
      </c>
      <c r="F203" s="62" t="s">
        <v>638</v>
      </c>
      <c r="G203" s="62" t="s">
        <v>826</v>
      </c>
      <c r="H203" s="63">
        <v>44328</v>
      </c>
      <c r="I203" s="62">
        <v>5</v>
      </c>
      <c r="J203" s="62">
        <v>150</v>
      </c>
      <c r="K203" s="62">
        <v>0</v>
      </c>
      <c r="L203" s="62" t="s">
        <v>490</v>
      </c>
      <c r="M203" s="62" t="s">
        <v>8</v>
      </c>
      <c r="N203" s="62">
        <f t="shared" si="3"/>
        <v>0</v>
      </c>
      <c r="O203" s="62" t="s">
        <v>451</v>
      </c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  <c r="BO203" s="70"/>
      <c r="BP203" s="70"/>
      <c r="BQ203" s="70"/>
      <c r="BR203" s="70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62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  <c r="DK203" s="62"/>
      <c r="DL203" s="62"/>
      <c r="DM203" s="62"/>
      <c r="DN203" s="62"/>
      <c r="DO203" s="62"/>
    </row>
    <row r="204" spans="1:119" s="71" customFormat="1" ht="16" customHeight="1" x14ac:dyDescent="0.2">
      <c r="A204" s="62">
        <v>80</v>
      </c>
      <c r="B204" s="62" t="s">
        <v>514</v>
      </c>
      <c r="C204" s="62" t="s">
        <v>823</v>
      </c>
      <c r="D204" s="62" t="s">
        <v>824</v>
      </c>
      <c r="E204" s="62" t="s">
        <v>516</v>
      </c>
      <c r="F204" s="62" t="s">
        <v>638</v>
      </c>
      <c r="G204" s="62" t="s">
        <v>826</v>
      </c>
      <c r="H204" s="63">
        <v>44328</v>
      </c>
      <c r="I204" s="62">
        <v>5</v>
      </c>
      <c r="J204" s="62">
        <v>150</v>
      </c>
      <c r="K204" s="62">
        <v>0</v>
      </c>
      <c r="L204" s="62" t="s">
        <v>490</v>
      </c>
      <c r="M204" s="62" t="s">
        <v>8</v>
      </c>
      <c r="N204" s="62">
        <f t="shared" si="3"/>
        <v>0</v>
      </c>
      <c r="O204" s="62" t="s">
        <v>451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  <c r="DK204" s="62"/>
      <c r="DL204" s="62"/>
      <c r="DM204" s="62"/>
      <c r="DN204" s="62"/>
      <c r="DO204" s="62"/>
    </row>
    <row r="205" spans="1:119" s="71" customFormat="1" ht="16" customHeight="1" x14ac:dyDescent="0.2">
      <c r="A205" s="62">
        <v>46</v>
      </c>
      <c r="B205" s="62" t="s">
        <v>514</v>
      </c>
      <c r="C205" s="62" t="s">
        <v>823</v>
      </c>
      <c r="D205" s="62" t="s">
        <v>824</v>
      </c>
      <c r="E205" s="62" t="s">
        <v>516</v>
      </c>
      <c r="F205" s="62" t="s">
        <v>638</v>
      </c>
      <c r="G205" s="62" t="s">
        <v>827</v>
      </c>
      <c r="H205" s="63">
        <v>44328</v>
      </c>
      <c r="I205" s="62">
        <v>5</v>
      </c>
      <c r="J205" s="62">
        <v>150</v>
      </c>
      <c r="K205" s="62">
        <v>0</v>
      </c>
      <c r="L205" s="62" t="s">
        <v>490</v>
      </c>
      <c r="M205" s="62" t="s">
        <v>8</v>
      </c>
      <c r="N205" s="62">
        <f t="shared" si="3"/>
        <v>0</v>
      </c>
      <c r="O205" s="62" t="s">
        <v>451</v>
      </c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  <c r="DK205" s="62"/>
      <c r="DL205" s="62"/>
      <c r="DM205" s="62"/>
      <c r="DN205" s="62"/>
      <c r="DO205" s="62"/>
    </row>
    <row r="206" spans="1:119" s="64" customFormat="1" ht="16" customHeight="1" x14ac:dyDescent="0.2">
      <c r="A206" s="62">
        <v>53</v>
      </c>
      <c r="B206" s="62" t="s">
        <v>514</v>
      </c>
      <c r="C206" s="62" t="s">
        <v>823</v>
      </c>
      <c r="D206" s="62" t="s">
        <v>824</v>
      </c>
      <c r="E206" s="62" t="s">
        <v>516</v>
      </c>
      <c r="F206" s="62" t="s">
        <v>638</v>
      </c>
      <c r="G206" s="62" t="s">
        <v>827</v>
      </c>
      <c r="H206" s="63">
        <v>44328</v>
      </c>
      <c r="I206" s="62">
        <v>5</v>
      </c>
      <c r="J206" s="62">
        <v>150</v>
      </c>
      <c r="K206" s="62">
        <v>0</v>
      </c>
      <c r="L206" s="62" t="s">
        <v>490</v>
      </c>
      <c r="M206" s="62" t="s">
        <v>8</v>
      </c>
      <c r="N206" s="62">
        <f t="shared" si="3"/>
        <v>0</v>
      </c>
      <c r="O206" s="62" t="s">
        <v>451</v>
      </c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  <c r="DM206" s="62"/>
      <c r="DN206" s="62"/>
      <c r="DO206" s="62"/>
    </row>
    <row r="207" spans="1:119" s="64" customFormat="1" ht="16" customHeight="1" x14ac:dyDescent="0.2">
      <c r="A207" s="62">
        <v>60</v>
      </c>
      <c r="B207" s="62" t="s">
        <v>514</v>
      </c>
      <c r="C207" s="62" t="s">
        <v>823</v>
      </c>
      <c r="D207" s="62" t="s">
        <v>824</v>
      </c>
      <c r="E207" s="62" t="s">
        <v>516</v>
      </c>
      <c r="F207" s="62" t="s">
        <v>638</v>
      </c>
      <c r="G207" s="62" t="s">
        <v>827</v>
      </c>
      <c r="H207" s="63">
        <v>44328</v>
      </c>
      <c r="I207" s="62">
        <v>5</v>
      </c>
      <c r="J207" s="62">
        <v>150</v>
      </c>
      <c r="K207" s="62">
        <v>0</v>
      </c>
      <c r="L207" s="62" t="s">
        <v>490</v>
      </c>
      <c r="M207" s="62" t="s">
        <v>8</v>
      </c>
      <c r="N207" s="62">
        <f t="shared" si="3"/>
        <v>0</v>
      </c>
      <c r="O207" s="62" t="s">
        <v>451</v>
      </c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70"/>
      <c r="BQ207" s="70"/>
      <c r="BR207" s="70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62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  <c r="DK207" s="62"/>
      <c r="DL207" s="62"/>
      <c r="DM207" s="62"/>
      <c r="DN207" s="62"/>
      <c r="DO207" s="62"/>
    </row>
    <row r="208" spans="1:119" s="60" customFormat="1" ht="16" customHeight="1" x14ac:dyDescent="0.2">
      <c r="A208" s="60">
        <v>67</v>
      </c>
      <c r="B208" s="60" t="s">
        <v>518</v>
      </c>
      <c r="C208" s="60" t="s">
        <v>828</v>
      </c>
      <c r="D208" s="60" t="s">
        <v>829</v>
      </c>
      <c r="E208" s="60" t="s">
        <v>520</v>
      </c>
      <c r="F208" s="60" t="s">
        <v>638</v>
      </c>
      <c r="G208" s="60" t="s">
        <v>830</v>
      </c>
      <c r="H208" s="65">
        <v>44328</v>
      </c>
      <c r="I208" s="60">
        <v>5</v>
      </c>
      <c r="J208" s="60">
        <v>150</v>
      </c>
      <c r="K208" s="60">
        <v>10.084740674808399</v>
      </c>
      <c r="L208" s="60" t="s">
        <v>490</v>
      </c>
      <c r="M208" s="60" t="s">
        <v>8</v>
      </c>
      <c r="N208" s="60">
        <f t="shared" si="3"/>
        <v>336.15802249361332</v>
      </c>
      <c r="O208" s="60" t="s">
        <v>451</v>
      </c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119" s="60" customFormat="1" ht="16" customHeight="1" x14ac:dyDescent="0.2">
      <c r="A209" s="60">
        <v>74</v>
      </c>
      <c r="B209" s="60" t="s">
        <v>518</v>
      </c>
      <c r="C209" s="60" t="s">
        <v>828</v>
      </c>
      <c r="D209" s="60" t="s">
        <v>829</v>
      </c>
      <c r="E209" s="60" t="s">
        <v>520</v>
      </c>
      <c r="F209" s="60" t="s">
        <v>638</v>
      </c>
      <c r="G209" s="60" t="s">
        <v>830</v>
      </c>
      <c r="H209" s="65">
        <v>44328</v>
      </c>
      <c r="I209" s="60">
        <v>5</v>
      </c>
      <c r="J209" s="60">
        <v>150</v>
      </c>
      <c r="K209" s="60">
        <v>15.9283267759503</v>
      </c>
      <c r="L209" s="60" t="s">
        <v>490</v>
      </c>
      <c r="M209" s="60" t="s">
        <v>8</v>
      </c>
      <c r="N209" s="60">
        <f t="shared" si="3"/>
        <v>530.94422586501003</v>
      </c>
      <c r="O209" s="60" t="s">
        <v>451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119" s="60" customFormat="1" ht="16" customHeight="1" x14ac:dyDescent="0.2">
      <c r="A210" s="60">
        <v>81</v>
      </c>
      <c r="B210" s="60" t="s">
        <v>518</v>
      </c>
      <c r="C210" s="60" t="s">
        <v>828</v>
      </c>
      <c r="D210" s="60" t="s">
        <v>829</v>
      </c>
      <c r="E210" s="60" t="s">
        <v>520</v>
      </c>
      <c r="F210" s="60" t="s">
        <v>638</v>
      </c>
      <c r="G210" s="60" t="s">
        <v>830</v>
      </c>
      <c r="H210" s="65">
        <v>44328</v>
      </c>
      <c r="I210" s="60">
        <v>5</v>
      </c>
      <c r="J210" s="60">
        <v>150</v>
      </c>
      <c r="K210" s="60">
        <v>2.3414020012441501</v>
      </c>
      <c r="L210" s="60" t="s">
        <v>490</v>
      </c>
      <c r="M210" s="60" t="s">
        <v>8</v>
      </c>
      <c r="N210" s="60">
        <f t="shared" si="3"/>
        <v>78.046733374805001</v>
      </c>
      <c r="O210" s="60" t="s">
        <v>451</v>
      </c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119" s="60" customFormat="1" ht="16" customHeight="1" x14ac:dyDescent="0.2">
      <c r="A211" s="60">
        <v>82</v>
      </c>
      <c r="B211" s="60" t="s">
        <v>518</v>
      </c>
      <c r="C211" s="60" t="s">
        <v>828</v>
      </c>
      <c r="D211" s="60" t="s">
        <v>829</v>
      </c>
      <c r="E211" s="60" t="s">
        <v>520</v>
      </c>
      <c r="F211" s="60" t="s">
        <v>638</v>
      </c>
      <c r="G211" s="60" t="s">
        <v>831</v>
      </c>
      <c r="H211" s="65">
        <v>44328</v>
      </c>
      <c r="I211" s="60">
        <v>5</v>
      </c>
      <c r="J211" s="60">
        <v>150</v>
      </c>
      <c r="K211" s="60">
        <v>24.824906208925899</v>
      </c>
      <c r="L211" s="60" t="s">
        <v>490</v>
      </c>
      <c r="M211" s="60" t="s">
        <v>8</v>
      </c>
      <c r="N211" s="60">
        <f t="shared" si="3"/>
        <v>827.49687363086332</v>
      </c>
      <c r="O211" s="60" t="s">
        <v>451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119" s="60" customFormat="1" ht="16" customHeight="1" x14ac:dyDescent="0.2">
      <c r="A212" s="60">
        <v>88</v>
      </c>
      <c r="B212" s="60" t="s">
        <v>518</v>
      </c>
      <c r="C212" s="60" t="s">
        <v>828</v>
      </c>
      <c r="D212" s="60" t="s">
        <v>829</v>
      </c>
      <c r="E212" s="60" t="s">
        <v>520</v>
      </c>
      <c r="F212" s="60" t="s">
        <v>638</v>
      </c>
      <c r="G212" s="60" t="s">
        <v>831</v>
      </c>
      <c r="H212" s="65">
        <v>44328</v>
      </c>
      <c r="I212" s="60">
        <v>5</v>
      </c>
      <c r="J212" s="60">
        <v>150</v>
      </c>
      <c r="K212" s="60">
        <v>26.782328054092901</v>
      </c>
      <c r="L212" s="60" t="s">
        <v>490</v>
      </c>
      <c r="M212" s="60" t="s">
        <v>8</v>
      </c>
      <c r="N212" s="60">
        <f t="shared" si="3"/>
        <v>892.74426846976326</v>
      </c>
      <c r="O212" s="60" t="s">
        <v>451</v>
      </c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119" s="60" customFormat="1" ht="16" customHeight="1" x14ac:dyDescent="0.2">
      <c r="A213" s="60">
        <v>94</v>
      </c>
      <c r="B213" s="60" t="s">
        <v>518</v>
      </c>
      <c r="C213" s="60" t="s">
        <v>828</v>
      </c>
      <c r="D213" s="60" t="s">
        <v>829</v>
      </c>
      <c r="E213" s="60" t="s">
        <v>520</v>
      </c>
      <c r="F213" s="60" t="s">
        <v>638</v>
      </c>
      <c r="G213" s="60" t="s">
        <v>831</v>
      </c>
      <c r="H213" s="65">
        <v>44328</v>
      </c>
      <c r="I213" s="60">
        <v>5</v>
      </c>
      <c r="J213" s="60">
        <v>150</v>
      </c>
      <c r="K213" s="60">
        <v>29.407000993379</v>
      </c>
      <c r="L213" s="60" t="s">
        <v>490</v>
      </c>
      <c r="M213" s="60" t="s">
        <v>8</v>
      </c>
      <c r="N213" s="60">
        <f t="shared" si="3"/>
        <v>980.23336644596668</v>
      </c>
      <c r="O213" s="60" t="s">
        <v>451</v>
      </c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119" s="60" customFormat="1" ht="16" customHeight="1" x14ac:dyDescent="0.2">
      <c r="A214" s="60">
        <v>100</v>
      </c>
      <c r="B214" s="60" t="s">
        <v>518</v>
      </c>
      <c r="C214" s="60" t="s">
        <v>828</v>
      </c>
      <c r="D214" s="60" t="s">
        <v>829</v>
      </c>
      <c r="E214" s="60" t="s">
        <v>520</v>
      </c>
      <c r="F214" s="60" t="s">
        <v>638</v>
      </c>
      <c r="G214" s="60" t="s">
        <v>832</v>
      </c>
      <c r="H214" s="65">
        <v>44328</v>
      </c>
      <c r="I214" s="60">
        <v>5</v>
      </c>
      <c r="J214" s="60">
        <v>150</v>
      </c>
      <c r="K214" s="60">
        <v>12.093374773532799</v>
      </c>
      <c r="L214" s="60" t="s">
        <v>490</v>
      </c>
      <c r="M214" s="60" t="s">
        <v>8</v>
      </c>
      <c r="N214" s="60">
        <f t="shared" si="3"/>
        <v>403.11249245109332</v>
      </c>
      <c r="O214" s="60" t="s">
        <v>451</v>
      </c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119" s="61" customFormat="1" ht="16" customHeight="1" x14ac:dyDescent="0.2">
      <c r="A215" s="60">
        <v>107</v>
      </c>
      <c r="B215" s="60" t="s">
        <v>518</v>
      </c>
      <c r="C215" s="60" t="s">
        <v>828</v>
      </c>
      <c r="D215" s="60" t="s">
        <v>829</v>
      </c>
      <c r="E215" s="60" t="s">
        <v>520</v>
      </c>
      <c r="F215" s="60" t="s">
        <v>638</v>
      </c>
      <c r="G215" s="60" t="s">
        <v>832</v>
      </c>
      <c r="H215" s="65">
        <v>44328</v>
      </c>
      <c r="I215" s="60">
        <v>5</v>
      </c>
      <c r="J215" s="60">
        <v>150</v>
      </c>
      <c r="K215" s="60">
        <v>5.8462561339065999</v>
      </c>
      <c r="L215" s="60" t="s">
        <v>490</v>
      </c>
      <c r="M215" s="60" t="s">
        <v>8</v>
      </c>
      <c r="N215" s="60">
        <f t="shared" si="3"/>
        <v>194.87520446355333</v>
      </c>
      <c r="O215" s="60" t="s">
        <v>451</v>
      </c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119" s="61" customFormat="1" ht="16" customHeight="1" x14ac:dyDescent="0.2">
      <c r="A216" s="60">
        <v>114</v>
      </c>
      <c r="B216" s="60" t="s">
        <v>518</v>
      </c>
      <c r="C216" s="60" t="s">
        <v>828</v>
      </c>
      <c r="D216" s="60" t="s">
        <v>829</v>
      </c>
      <c r="E216" s="60" t="s">
        <v>520</v>
      </c>
      <c r="F216" s="60" t="s">
        <v>638</v>
      </c>
      <c r="G216" s="60" t="s">
        <v>832</v>
      </c>
      <c r="H216" s="65">
        <v>44328</v>
      </c>
      <c r="I216" s="60">
        <v>5</v>
      </c>
      <c r="J216" s="60">
        <v>150</v>
      </c>
      <c r="K216" s="60">
        <v>18.506855924626301</v>
      </c>
      <c r="L216" s="60" t="s">
        <v>490</v>
      </c>
      <c r="M216" s="60" t="s">
        <v>8</v>
      </c>
      <c r="N216" s="60">
        <f t="shared" si="3"/>
        <v>616.89519748754344</v>
      </c>
      <c r="O216" s="60" t="s">
        <v>451</v>
      </c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119" s="22" customFormat="1" ht="16" customHeight="1" x14ac:dyDescent="0.2">
      <c r="A217" s="22">
        <v>84</v>
      </c>
      <c r="B217" s="22" t="s">
        <v>526</v>
      </c>
      <c r="C217" s="22" t="s">
        <v>838</v>
      </c>
      <c r="D217" s="22" t="s">
        <v>839</v>
      </c>
      <c r="E217" s="22" t="s">
        <v>528</v>
      </c>
      <c r="F217" s="22" t="s">
        <v>638</v>
      </c>
      <c r="G217" s="22" t="s">
        <v>840</v>
      </c>
      <c r="H217" s="23">
        <v>44330</v>
      </c>
      <c r="I217" s="22">
        <v>5</v>
      </c>
      <c r="J217" s="22">
        <v>100</v>
      </c>
      <c r="K217" s="22">
        <v>37.1474620158316</v>
      </c>
      <c r="L217" s="22" t="s">
        <v>490</v>
      </c>
      <c r="M217" s="22" t="s">
        <v>8</v>
      </c>
      <c r="N217" s="22">
        <f t="shared" si="3"/>
        <v>1857.3731007915799</v>
      </c>
      <c r="O217" s="22" t="s">
        <v>451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</row>
    <row r="218" spans="1:119" s="22" customFormat="1" ht="16" customHeight="1" x14ac:dyDescent="0.2">
      <c r="A218" s="22">
        <v>90</v>
      </c>
      <c r="B218" s="22" t="s">
        <v>526</v>
      </c>
      <c r="C218" s="22" t="s">
        <v>838</v>
      </c>
      <c r="D218" s="22" t="s">
        <v>839</v>
      </c>
      <c r="E218" s="22" t="s">
        <v>528</v>
      </c>
      <c r="F218" s="22" t="s">
        <v>638</v>
      </c>
      <c r="G218" s="22" t="s">
        <v>840</v>
      </c>
      <c r="H218" s="23">
        <v>44330</v>
      </c>
      <c r="I218" s="22">
        <v>5</v>
      </c>
      <c r="J218" s="22">
        <v>100</v>
      </c>
      <c r="K218" s="22">
        <v>35.554086821621702</v>
      </c>
      <c r="L218" s="22" t="s">
        <v>490</v>
      </c>
      <c r="M218" s="22" t="s">
        <v>8</v>
      </c>
      <c r="N218" s="22">
        <f t="shared" si="3"/>
        <v>1777.704341081085</v>
      </c>
      <c r="O218" s="22" t="s">
        <v>451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</row>
    <row r="219" spans="1:119" s="22" customFormat="1" ht="16" customHeight="1" x14ac:dyDescent="0.2">
      <c r="A219" s="22">
        <v>96</v>
      </c>
      <c r="B219" s="22" t="s">
        <v>526</v>
      </c>
      <c r="C219" s="22" t="s">
        <v>838</v>
      </c>
      <c r="D219" s="22" t="s">
        <v>839</v>
      </c>
      <c r="E219" s="22" t="s">
        <v>528</v>
      </c>
      <c r="F219" s="22" t="s">
        <v>638</v>
      </c>
      <c r="G219" s="22" t="s">
        <v>840</v>
      </c>
      <c r="H219" s="23">
        <v>44330</v>
      </c>
      <c r="I219" s="22">
        <v>5</v>
      </c>
      <c r="J219" s="22">
        <v>100</v>
      </c>
      <c r="K219" s="22">
        <v>27.008149064080602</v>
      </c>
      <c r="L219" s="22" t="s">
        <v>490</v>
      </c>
      <c r="M219" s="22" t="s">
        <v>8</v>
      </c>
      <c r="N219" s="22">
        <f t="shared" si="3"/>
        <v>1350.4074532040299</v>
      </c>
      <c r="O219" s="22" t="s">
        <v>451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</row>
    <row r="220" spans="1:119" s="22" customFormat="1" ht="16" customHeight="1" x14ac:dyDescent="0.2">
      <c r="A220" s="22">
        <v>103</v>
      </c>
      <c r="B220" s="22" t="s">
        <v>526</v>
      </c>
      <c r="C220" s="22" t="s">
        <v>838</v>
      </c>
      <c r="D220" s="22" t="s">
        <v>839</v>
      </c>
      <c r="E220" s="22" t="s">
        <v>528</v>
      </c>
      <c r="F220" s="22" t="s">
        <v>638</v>
      </c>
      <c r="G220" s="22" t="s">
        <v>841</v>
      </c>
      <c r="H220" s="23">
        <v>44330</v>
      </c>
      <c r="I220" s="22">
        <v>5</v>
      </c>
      <c r="J220" s="22">
        <v>100</v>
      </c>
      <c r="K220" s="22">
        <v>14.892896109532799</v>
      </c>
      <c r="L220" s="22" t="s">
        <v>490</v>
      </c>
      <c r="M220" s="22" t="s">
        <v>8</v>
      </c>
      <c r="N220" s="22">
        <f t="shared" si="3"/>
        <v>744.64480547663993</v>
      </c>
      <c r="O220" s="22" t="s">
        <v>451</v>
      </c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</row>
    <row r="221" spans="1:119" s="22" customFormat="1" ht="16" customHeight="1" x14ac:dyDescent="0.2">
      <c r="A221" s="22">
        <v>110</v>
      </c>
      <c r="B221" s="22" t="s">
        <v>526</v>
      </c>
      <c r="C221" s="22" t="s">
        <v>838</v>
      </c>
      <c r="D221" s="22" t="s">
        <v>839</v>
      </c>
      <c r="E221" s="22" t="s">
        <v>528</v>
      </c>
      <c r="F221" s="22" t="s">
        <v>638</v>
      </c>
      <c r="G221" s="22" t="s">
        <v>841</v>
      </c>
      <c r="H221" s="23">
        <v>44330</v>
      </c>
      <c r="I221" s="22">
        <v>5</v>
      </c>
      <c r="J221" s="22">
        <v>100</v>
      </c>
      <c r="K221" s="22">
        <v>20.516755842135002</v>
      </c>
      <c r="L221" s="22" t="s">
        <v>490</v>
      </c>
      <c r="M221" s="22" t="s">
        <v>8</v>
      </c>
      <c r="N221" s="22">
        <f t="shared" si="3"/>
        <v>1025.8377921067499</v>
      </c>
      <c r="O221" s="22" t="s">
        <v>451</v>
      </c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</row>
    <row r="222" spans="1:119" s="22" customFormat="1" ht="16" customHeight="1" x14ac:dyDescent="0.2">
      <c r="A222" s="22">
        <v>117</v>
      </c>
      <c r="B222" s="22" t="s">
        <v>526</v>
      </c>
      <c r="C222" s="22" t="s">
        <v>838</v>
      </c>
      <c r="D222" s="22" t="s">
        <v>839</v>
      </c>
      <c r="E222" s="22" t="s">
        <v>528</v>
      </c>
      <c r="F222" s="22" t="s">
        <v>638</v>
      </c>
      <c r="G222" s="22" t="s">
        <v>841</v>
      </c>
      <c r="H222" s="23">
        <v>44330</v>
      </c>
      <c r="I222" s="22">
        <v>5</v>
      </c>
      <c r="J222" s="22">
        <v>100</v>
      </c>
      <c r="K222" s="22">
        <v>25.905282684896001</v>
      </c>
      <c r="L222" s="22" t="s">
        <v>490</v>
      </c>
      <c r="M222" s="22" t="s">
        <v>8</v>
      </c>
      <c r="N222" s="22">
        <f t="shared" si="3"/>
        <v>1295.2641342448001</v>
      </c>
      <c r="O222" s="22" t="s">
        <v>451</v>
      </c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</row>
    <row r="223" spans="1:119" s="22" customFormat="1" ht="16" customHeight="1" x14ac:dyDescent="0.2">
      <c r="A223" s="22">
        <v>85</v>
      </c>
      <c r="B223" s="22" t="s">
        <v>526</v>
      </c>
      <c r="C223" s="22" t="s">
        <v>838</v>
      </c>
      <c r="D223" s="22" t="s">
        <v>839</v>
      </c>
      <c r="E223" s="22" t="s">
        <v>528</v>
      </c>
      <c r="F223" s="22" t="s">
        <v>638</v>
      </c>
      <c r="G223" s="22" t="s">
        <v>842</v>
      </c>
      <c r="H223" s="23">
        <v>44330</v>
      </c>
      <c r="I223" s="22">
        <v>5</v>
      </c>
      <c r="J223" s="22">
        <v>100</v>
      </c>
      <c r="K223" s="22">
        <v>28.479514439404401</v>
      </c>
      <c r="L223" s="22" t="s">
        <v>490</v>
      </c>
      <c r="M223" s="22" t="s">
        <v>8</v>
      </c>
      <c r="N223" s="22">
        <f t="shared" si="3"/>
        <v>1423.9757219702201</v>
      </c>
      <c r="O223" s="22" t="s">
        <v>451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</row>
    <row r="224" spans="1:119" s="20" customFormat="1" ht="16" customHeight="1" x14ac:dyDescent="0.2">
      <c r="A224" s="22">
        <v>91</v>
      </c>
      <c r="B224" s="22" t="s">
        <v>526</v>
      </c>
      <c r="C224" s="22" t="s">
        <v>838</v>
      </c>
      <c r="D224" s="22" t="s">
        <v>839</v>
      </c>
      <c r="E224" s="22" t="s">
        <v>528</v>
      </c>
      <c r="F224" s="22" t="s">
        <v>638</v>
      </c>
      <c r="G224" s="22" t="s">
        <v>842</v>
      </c>
      <c r="H224" s="23">
        <v>44330</v>
      </c>
      <c r="I224" s="22">
        <v>5</v>
      </c>
      <c r="J224" s="22">
        <v>100</v>
      </c>
      <c r="K224" s="22">
        <v>43.095622769502903</v>
      </c>
      <c r="L224" s="22" t="s">
        <v>490</v>
      </c>
      <c r="M224" s="22" t="s">
        <v>8</v>
      </c>
      <c r="N224" s="22">
        <f t="shared" si="3"/>
        <v>2154.7811384751453</v>
      </c>
      <c r="O224" s="22" t="s">
        <v>451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</row>
    <row r="225" spans="1:119" s="20" customFormat="1" ht="16" customHeight="1" x14ac:dyDescent="0.2">
      <c r="A225" s="22">
        <v>97</v>
      </c>
      <c r="B225" s="22" t="s">
        <v>526</v>
      </c>
      <c r="C225" s="22" t="s">
        <v>838</v>
      </c>
      <c r="D225" s="22" t="s">
        <v>839</v>
      </c>
      <c r="E225" s="22" t="s">
        <v>528</v>
      </c>
      <c r="F225" s="22" t="s">
        <v>638</v>
      </c>
      <c r="G225" s="22" t="s">
        <v>842</v>
      </c>
      <c r="H225" s="23">
        <v>44330</v>
      </c>
      <c r="I225" s="22">
        <v>5</v>
      </c>
      <c r="J225" s="22">
        <v>100</v>
      </c>
      <c r="K225" s="22">
        <v>14.235455896369601</v>
      </c>
      <c r="L225" s="22" t="s">
        <v>490</v>
      </c>
      <c r="M225" s="22" t="s">
        <v>8</v>
      </c>
      <c r="N225" s="22">
        <f t="shared" si="3"/>
        <v>711.77279481848007</v>
      </c>
      <c r="O225" s="22" t="s">
        <v>451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</row>
    <row r="226" spans="1:119" s="20" customFormat="1" ht="16" customHeight="1" x14ac:dyDescent="0.2">
      <c r="A226" s="20">
        <v>104</v>
      </c>
      <c r="B226" s="20" t="s">
        <v>530</v>
      </c>
      <c r="C226" s="20" t="s">
        <v>843</v>
      </c>
      <c r="D226" s="20" t="s">
        <v>844</v>
      </c>
      <c r="E226" s="20" t="s">
        <v>532</v>
      </c>
      <c r="F226" s="20" t="s">
        <v>638</v>
      </c>
      <c r="G226" s="20" t="s">
        <v>845</v>
      </c>
      <c r="H226" s="21">
        <v>44330</v>
      </c>
      <c r="I226" s="20">
        <v>5</v>
      </c>
      <c r="J226" s="20">
        <v>80</v>
      </c>
      <c r="K226" s="20">
        <v>3.79267910314221</v>
      </c>
      <c r="L226" s="20" t="s">
        <v>490</v>
      </c>
      <c r="M226" s="20" t="s">
        <v>8</v>
      </c>
      <c r="N226" s="20">
        <f t="shared" si="3"/>
        <v>237.04244394638812</v>
      </c>
      <c r="O226" s="20" t="s">
        <v>451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</row>
    <row r="227" spans="1:119" s="20" customFormat="1" ht="16" customHeight="1" x14ac:dyDescent="0.2">
      <c r="A227" s="20">
        <v>111</v>
      </c>
      <c r="B227" s="20" t="s">
        <v>530</v>
      </c>
      <c r="C227" s="20" t="s">
        <v>843</v>
      </c>
      <c r="D227" s="20" t="s">
        <v>844</v>
      </c>
      <c r="E227" s="20" t="s">
        <v>532</v>
      </c>
      <c r="F227" s="20" t="s">
        <v>638</v>
      </c>
      <c r="G227" s="20" t="s">
        <v>845</v>
      </c>
      <c r="H227" s="21">
        <v>44330</v>
      </c>
      <c r="I227" s="20">
        <v>5</v>
      </c>
      <c r="J227" s="20">
        <v>80</v>
      </c>
      <c r="K227" s="20">
        <v>3.32115963965032</v>
      </c>
      <c r="L227" s="20" t="s">
        <v>490</v>
      </c>
      <c r="M227" s="20" t="s">
        <v>8</v>
      </c>
      <c r="N227" s="20">
        <f t="shared" si="3"/>
        <v>207.57247747814498</v>
      </c>
      <c r="O227" s="20" t="s">
        <v>451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</row>
    <row r="228" spans="1:119" s="20" customFormat="1" ht="16" customHeight="1" x14ac:dyDescent="0.2">
      <c r="A228" s="20">
        <v>118</v>
      </c>
      <c r="B228" s="20" t="s">
        <v>530</v>
      </c>
      <c r="C228" s="20" t="s">
        <v>843</v>
      </c>
      <c r="D228" s="20" t="s">
        <v>844</v>
      </c>
      <c r="E228" s="20" t="s">
        <v>532</v>
      </c>
      <c r="F228" s="20" t="s">
        <v>638</v>
      </c>
      <c r="G228" s="20" t="s">
        <v>845</v>
      </c>
      <c r="H228" s="21">
        <v>44330</v>
      </c>
      <c r="I228" s="20">
        <v>5</v>
      </c>
      <c r="J228" s="20">
        <v>80</v>
      </c>
      <c r="K228" s="20">
        <v>0</v>
      </c>
      <c r="L228" s="20" t="s">
        <v>490</v>
      </c>
      <c r="M228" s="20" t="s">
        <v>8</v>
      </c>
      <c r="N228" s="20">
        <f t="shared" si="3"/>
        <v>0</v>
      </c>
      <c r="O228" s="20" t="s">
        <v>451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</row>
    <row r="229" spans="1:119" s="20" customFormat="1" ht="16" customHeight="1" x14ac:dyDescent="0.2">
      <c r="A229" s="20">
        <v>86</v>
      </c>
      <c r="B229" s="20" t="s">
        <v>530</v>
      </c>
      <c r="C229" s="20" t="s">
        <v>843</v>
      </c>
      <c r="D229" s="20" t="s">
        <v>844</v>
      </c>
      <c r="E229" s="20" t="s">
        <v>532</v>
      </c>
      <c r="F229" s="20" t="s">
        <v>638</v>
      </c>
      <c r="G229" s="20" t="s">
        <v>846</v>
      </c>
      <c r="H229" s="21">
        <v>44330</v>
      </c>
      <c r="I229" s="20">
        <v>5</v>
      </c>
      <c r="J229" s="20">
        <v>80</v>
      </c>
      <c r="K229" s="20">
        <v>5.5550968204516504</v>
      </c>
      <c r="L229" s="20" t="s">
        <v>490</v>
      </c>
      <c r="M229" s="20" t="s">
        <v>8</v>
      </c>
      <c r="N229" s="20">
        <f t="shared" si="3"/>
        <v>347.1935512782282</v>
      </c>
      <c r="O229" s="20" t="s">
        <v>451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  <c r="DC229" s="18"/>
      <c r="DD229" s="18"/>
      <c r="DE229" s="18"/>
      <c r="DF229" s="18"/>
      <c r="DG229" s="18"/>
      <c r="DH229" s="18"/>
      <c r="DI229" s="18"/>
      <c r="DJ229" s="18"/>
      <c r="DK229" s="18"/>
      <c r="DL229" s="18"/>
      <c r="DM229" s="18"/>
      <c r="DN229" s="18"/>
      <c r="DO229" s="18"/>
    </row>
    <row r="230" spans="1:119" s="20" customFormat="1" ht="16" customHeight="1" x14ac:dyDescent="0.2">
      <c r="A230" s="20">
        <v>92</v>
      </c>
      <c r="B230" s="20" t="s">
        <v>530</v>
      </c>
      <c r="C230" s="20" t="s">
        <v>843</v>
      </c>
      <c r="D230" s="20" t="s">
        <v>844</v>
      </c>
      <c r="E230" s="20" t="s">
        <v>532</v>
      </c>
      <c r="F230" s="20" t="s">
        <v>638</v>
      </c>
      <c r="G230" s="20" t="s">
        <v>846</v>
      </c>
      <c r="H230" s="21">
        <v>44330</v>
      </c>
      <c r="I230" s="20">
        <v>5</v>
      </c>
      <c r="J230" s="20">
        <v>80</v>
      </c>
      <c r="K230" s="20">
        <v>0</v>
      </c>
      <c r="L230" s="20" t="s">
        <v>490</v>
      </c>
      <c r="M230" s="20" t="s">
        <v>8</v>
      </c>
      <c r="N230" s="20">
        <f t="shared" si="3"/>
        <v>0</v>
      </c>
      <c r="O230" s="20" t="s">
        <v>451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  <c r="DC230" s="18"/>
      <c r="DD230" s="18"/>
      <c r="DE230" s="18"/>
      <c r="DF230" s="18"/>
      <c r="DG230" s="18"/>
      <c r="DH230" s="18"/>
      <c r="DI230" s="18"/>
      <c r="DJ230" s="18"/>
      <c r="DK230" s="18"/>
      <c r="DL230" s="18"/>
      <c r="DM230" s="18"/>
      <c r="DN230" s="18"/>
      <c r="DO230" s="18"/>
    </row>
    <row r="231" spans="1:119" s="20" customFormat="1" ht="16" customHeight="1" x14ac:dyDescent="0.2">
      <c r="A231" s="20">
        <v>98</v>
      </c>
      <c r="B231" s="20" t="s">
        <v>530</v>
      </c>
      <c r="C231" s="20" t="s">
        <v>843</v>
      </c>
      <c r="D231" s="20" t="s">
        <v>844</v>
      </c>
      <c r="E231" s="20" t="s">
        <v>532</v>
      </c>
      <c r="F231" s="20" t="s">
        <v>638</v>
      </c>
      <c r="G231" s="20" t="s">
        <v>846</v>
      </c>
      <c r="H231" s="21">
        <v>44330</v>
      </c>
      <c r="I231" s="20">
        <v>5</v>
      </c>
      <c r="J231" s="20">
        <v>80</v>
      </c>
      <c r="K231" s="20">
        <v>3.1002541135431199</v>
      </c>
      <c r="L231" s="20" t="s">
        <v>490</v>
      </c>
      <c r="M231" s="20" t="s">
        <v>8</v>
      </c>
      <c r="N231" s="20">
        <f t="shared" si="3"/>
        <v>193.76588209644498</v>
      </c>
      <c r="O231" s="20" t="s">
        <v>451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  <c r="DC231" s="18"/>
      <c r="DD231" s="18"/>
      <c r="DE231" s="18"/>
      <c r="DF231" s="18"/>
      <c r="DG231" s="18"/>
      <c r="DH231" s="18"/>
      <c r="DI231" s="18"/>
      <c r="DJ231" s="18"/>
      <c r="DK231" s="18"/>
      <c r="DL231" s="18"/>
      <c r="DM231" s="18"/>
      <c r="DN231" s="18"/>
      <c r="DO231" s="18"/>
    </row>
    <row r="232" spans="1:119" s="20" customFormat="1" ht="16" customHeight="1" x14ac:dyDescent="0.2">
      <c r="A232" s="20">
        <v>105</v>
      </c>
      <c r="B232" s="20" t="s">
        <v>530</v>
      </c>
      <c r="C232" s="20" t="s">
        <v>843</v>
      </c>
      <c r="D232" s="20" t="s">
        <v>844</v>
      </c>
      <c r="E232" s="20" t="s">
        <v>532</v>
      </c>
      <c r="F232" s="20" t="s">
        <v>638</v>
      </c>
      <c r="G232" s="20" t="s">
        <v>847</v>
      </c>
      <c r="H232" s="21">
        <v>44330</v>
      </c>
      <c r="I232" s="20">
        <v>5</v>
      </c>
      <c r="J232" s="20">
        <v>80</v>
      </c>
      <c r="K232" s="20">
        <v>4.7231523307516001</v>
      </c>
      <c r="L232" s="20" t="s">
        <v>490</v>
      </c>
      <c r="M232" s="20" t="s">
        <v>8</v>
      </c>
      <c r="N232" s="20">
        <f t="shared" si="3"/>
        <v>295.197020671975</v>
      </c>
      <c r="O232" s="20" t="s">
        <v>451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</row>
    <row r="233" spans="1:119" s="22" customFormat="1" ht="16" customHeight="1" x14ac:dyDescent="0.2">
      <c r="A233" s="20">
        <v>112</v>
      </c>
      <c r="B233" s="20" t="s">
        <v>530</v>
      </c>
      <c r="C233" s="20" t="s">
        <v>843</v>
      </c>
      <c r="D233" s="20" t="s">
        <v>844</v>
      </c>
      <c r="E233" s="20" t="s">
        <v>532</v>
      </c>
      <c r="F233" s="20" t="s">
        <v>638</v>
      </c>
      <c r="G233" s="20" t="s">
        <v>847</v>
      </c>
      <c r="H233" s="21">
        <v>44330</v>
      </c>
      <c r="I233" s="20">
        <v>5</v>
      </c>
      <c r="J233" s="20">
        <v>80</v>
      </c>
      <c r="K233" s="20">
        <v>0.97697916776482496</v>
      </c>
      <c r="L233" s="20" t="s">
        <v>490</v>
      </c>
      <c r="M233" s="20" t="s">
        <v>8</v>
      </c>
      <c r="N233" s="20">
        <f t="shared" si="3"/>
        <v>61.061197985301561</v>
      </c>
      <c r="O233" s="20" t="s">
        <v>451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  <c r="DC233" s="18"/>
      <c r="DD233" s="18"/>
      <c r="DE233" s="18"/>
      <c r="DF233" s="18"/>
      <c r="DG233" s="18"/>
      <c r="DH233" s="18"/>
      <c r="DI233" s="18"/>
      <c r="DJ233" s="18"/>
      <c r="DK233" s="18"/>
      <c r="DL233" s="18"/>
      <c r="DM233" s="18"/>
      <c r="DN233" s="18"/>
      <c r="DO233" s="18"/>
    </row>
    <row r="234" spans="1:119" s="22" customFormat="1" ht="16" customHeight="1" x14ac:dyDescent="0.2">
      <c r="A234" s="20">
        <v>119</v>
      </c>
      <c r="B234" s="20" t="s">
        <v>530</v>
      </c>
      <c r="C234" s="20" t="s">
        <v>843</v>
      </c>
      <c r="D234" s="20" t="s">
        <v>844</v>
      </c>
      <c r="E234" s="20" t="s">
        <v>532</v>
      </c>
      <c r="F234" s="20" t="s">
        <v>638</v>
      </c>
      <c r="G234" s="20" t="s">
        <v>847</v>
      </c>
      <c r="H234" s="21">
        <v>44330</v>
      </c>
      <c r="I234" s="20">
        <v>5</v>
      </c>
      <c r="J234" s="20">
        <v>80</v>
      </c>
      <c r="K234" s="20">
        <v>2.15344524064913</v>
      </c>
      <c r="L234" s="20" t="s">
        <v>490</v>
      </c>
      <c r="M234" s="20" t="s">
        <v>8</v>
      </c>
      <c r="N234" s="20">
        <f t="shared" si="3"/>
        <v>134.59032754057063</v>
      </c>
      <c r="O234" s="20" t="s">
        <v>451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  <c r="DC234" s="18"/>
      <c r="DD234" s="18"/>
      <c r="DE234" s="18"/>
      <c r="DF234" s="18"/>
      <c r="DG234" s="18"/>
      <c r="DH234" s="18"/>
      <c r="DI234" s="18"/>
      <c r="DJ234" s="18"/>
      <c r="DK234" s="18"/>
      <c r="DL234" s="18"/>
      <c r="DM234" s="18"/>
      <c r="DN234" s="18"/>
      <c r="DO234" s="18"/>
    </row>
    <row r="235" spans="1:119" s="22" customFormat="1" ht="16" customHeight="1" x14ac:dyDescent="0.2">
      <c r="A235" s="22">
        <v>87</v>
      </c>
      <c r="B235" s="22" t="s">
        <v>534</v>
      </c>
      <c r="C235" s="22" t="s">
        <v>848</v>
      </c>
      <c r="D235" s="22" t="s">
        <v>849</v>
      </c>
      <c r="E235" s="22" t="s">
        <v>536</v>
      </c>
      <c r="F235" s="22" t="s">
        <v>638</v>
      </c>
      <c r="G235" s="22" t="s">
        <v>850</v>
      </c>
      <c r="H235" s="23">
        <v>44330</v>
      </c>
      <c r="I235" s="22">
        <v>5</v>
      </c>
      <c r="J235" s="22">
        <v>100</v>
      </c>
      <c r="K235" s="22">
        <v>4.6909478240930698</v>
      </c>
      <c r="L235" s="22" t="s">
        <v>490</v>
      </c>
      <c r="M235" s="22" t="s">
        <v>8</v>
      </c>
      <c r="N235" s="22">
        <f t="shared" si="3"/>
        <v>234.54739120465348</v>
      </c>
      <c r="O235" s="22" t="s">
        <v>451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</row>
    <row r="236" spans="1:119" s="22" customFormat="1" ht="16" customHeight="1" x14ac:dyDescent="0.2">
      <c r="A236" s="22">
        <v>93</v>
      </c>
      <c r="B236" s="22" t="s">
        <v>534</v>
      </c>
      <c r="C236" s="22" t="s">
        <v>848</v>
      </c>
      <c r="D236" s="22" t="s">
        <v>849</v>
      </c>
      <c r="E236" s="22" t="s">
        <v>536</v>
      </c>
      <c r="F236" s="22" t="s">
        <v>638</v>
      </c>
      <c r="G236" s="22" t="s">
        <v>850</v>
      </c>
      <c r="H236" s="23">
        <v>44330</v>
      </c>
      <c r="I236" s="22">
        <v>5</v>
      </c>
      <c r="J236" s="22">
        <v>100</v>
      </c>
      <c r="K236" s="22">
        <v>0</v>
      </c>
      <c r="L236" s="22" t="s">
        <v>490</v>
      </c>
      <c r="M236" s="22" t="s">
        <v>8</v>
      </c>
      <c r="N236" s="22">
        <f t="shared" si="3"/>
        <v>0</v>
      </c>
      <c r="O236" s="22" t="s">
        <v>451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</row>
    <row r="237" spans="1:119" s="22" customFormat="1" ht="16" customHeight="1" x14ac:dyDescent="0.2">
      <c r="A237" s="22">
        <v>99</v>
      </c>
      <c r="B237" s="22" t="s">
        <v>534</v>
      </c>
      <c r="C237" s="22" t="s">
        <v>848</v>
      </c>
      <c r="D237" s="22" t="s">
        <v>849</v>
      </c>
      <c r="E237" s="22" t="s">
        <v>536</v>
      </c>
      <c r="F237" s="22" t="s">
        <v>638</v>
      </c>
      <c r="G237" s="22" t="s">
        <v>850</v>
      </c>
      <c r="H237" s="23">
        <v>44330</v>
      </c>
      <c r="I237" s="22">
        <v>5</v>
      </c>
      <c r="J237" s="22">
        <v>100</v>
      </c>
      <c r="K237" s="22">
        <v>0</v>
      </c>
      <c r="L237" s="22" t="s">
        <v>490</v>
      </c>
      <c r="M237" s="22" t="s">
        <v>8</v>
      </c>
      <c r="N237" s="22">
        <f t="shared" si="3"/>
        <v>0</v>
      </c>
      <c r="O237" s="22" t="s">
        <v>451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</row>
    <row r="238" spans="1:119" s="22" customFormat="1" ht="16" customHeight="1" x14ac:dyDescent="0.2">
      <c r="A238" s="22">
        <v>106</v>
      </c>
      <c r="B238" s="22" t="s">
        <v>534</v>
      </c>
      <c r="C238" s="22" t="s">
        <v>848</v>
      </c>
      <c r="D238" s="22" t="s">
        <v>849</v>
      </c>
      <c r="E238" s="22" t="s">
        <v>536</v>
      </c>
      <c r="F238" s="22" t="s">
        <v>638</v>
      </c>
      <c r="G238" s="22" t="s">
        <v>851</v>
      </c>
      <c r="H238" s="23">
        <v>44330</v>
      </c>
      <c r="I238" s="22">
        <v>5</v>
      </c>
      <c r="J238" s="22">
        <v>100</v>
      </c>
      <c r="K238" s="22">
        <v>11.1648890152389</v>
      </c>
      <c r="L238" s="22" t="s">
        <v>490</v>
      </c>
      <c r="M238" s="22" t="s">
        <v>8</v>
      </c>
      <c r="N238" s="22">
        <f t="shared" si="3"/>
        <v>558.24445076194502</v>
      </c>
      <c r="O238" s="22" t="s">
        <v>451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</row>
    <row r="239" spans="1:119" s="22" customFormat="1" ht="16" customHeight="1" x14ac:dyDescent="0.2">
      <c r="A239" s="22">
        <v>113</v>
      </c>
      <c r="B239" s="22" t="s">
        <v>534</v>
      </c>
      <c r="C239" s="22" t="s">
        <v>848</v>
      </c>
      <c r="D239" s="22" t="s">
        <v>849</v>
      </c>
      <c r="E239" s="22" t="s">
        <v>536</v>
      </c>
      <c r="F239" s="22" t="s">
        <v>638</v>
      </c>
      <c r="G239" s="22" t="s">
        <v>851</v>
      </c>
      <c r="H239" s="23">
        <v>44330</v>
      </c>
      <c r="I239" s="22">
        <v>5</v>
      </c>
      <c r="J239" s="22">
        <v>100</v>
      </c>
      <c r="K239" s="22">
        <v>0</v>
      </c>
      <c r="L239" s="22" t="s">
        <v>490</v>
      </c>
      <c r="M239" s="22" t="s">
        <v>8</v>
      </c>
      <c r="N239" s="22">
        <f t="shared" si="3"/>
        <v>0</v>
      </c>
      <c r="O239" s="22" t="s">
        <v>451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</row>
    <row r="240" spans="1:119" s="22" customFormat="1" ht="16" customHeight="1" x14ac:dyDescent="0.2">
      <c r="A240" s="22">
        <v>120</v>
      </c>
      <c r="B240" s="22" t="s">
        <v>534</v>
      </c>
      <c r="C240" s="22" t="s">
        <v>848</v>
      </c>
      <c r="D240" s="22" t="s">
        <v>849</v>
      </c>
      <c r="E240" s="22" t="s">
        <v>536</v>
      </c>
      <c r="F240" s="22" t="s">
        <v>638</v>
      </c>
      <c r="G240" s="22" t="s">
        <v>851</v>
      </c>
      <c r="H240" s="23">
        <v>44330</v>
      </c>
      <c r="I240" s="22">
        <v>5</v>
      </c>
      <c r="J240" s="22">
        <v>100</v>
      </c>
      <c r="K240" s="22">
        <v>6.7550324025454804</v>
      </c>
      <c r="L240" s="22" t="s">
        <v>490</v>
      </c>
      <c r="M240" s="22" t="s">
        <v>8</v>
      </c>
      <c r="N240" s="22">
        <f t="shared" si="3"/>
        <v>337.75162012727401</v>
      </c>
      <c r="O240" s="22" t="s">
        <v>451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</row>
    <row r="241" spans="1:119" s="22" customFormat="1" ht="16" customHeight="1" x14ac:dyDescent="0.2">
      <c r="A241" s="22">
        <v>121</v>
      </c>
      <c r="B241" s="22" t="s">
        <v>534</v>
      </c>
      <c r="C241" s="22" t="s">
        <v>848</v>
      </c>
      <c r="D241" s="22" t="s">
        <v>849</v>
      </c>
      <c r="E241" s="22" t="s">
        <v>536</v>
      </c>
      <c r="F241" s="22" t="s">
        <v>638</v>
      </c>
      <c r="G241" s="22" t="s">
        <v>852</v>
      </c>
      <c r="H241" s="23">
        <v>44330</v>
      </c>
      <c r="I241" s="22">
        <v>5</v>
      </c>
      <c r="J241" s="22">
        <v>100</v>
      </c>
      <c r="K241" s="22">
        <v>6.9692884798682098</v>
      </c>
      <c r="L241" s="22" t="s">
        <v>490</v>
      </c>
      <c r="M241" s="22" t="s">
        <v>8</v>
      </c>
      <c r="N241" s="22">
        <f t="shared" si="3"/>
        <v>348.46442399341049</v>
      </c>
      <c r="O241" s="22" t="s">
        <v>451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</row>
    <row r="242" spans="1:119" s="20" customFormat="1" ht="16" customHeight="1" x14ac:dyDescent="0.2">
      <c r="A242" s="22">
        <v>127</v>
      </c>
      <c r="B242" s="22" t="s">
        <v>534</v>
      </c>
      <c r="C242" s="22" t="s">
        <v>848</v>
      </c>
      <c r="D242" s="22" t="s">
        <v>849</v>
      </c>
      <c r="E242" s="22" t="s">
        <v>536</v>
      </c>
      <c r="F242" s="22" t="s">
        <v>638</v>
      </c>
      <c r="G242" s="22" t="s">
        <v>852</v>
      </c>
      <c r="H242" s="23">
        <v>44330</v>
      </c>
      <c r="I242" s="22">
        <v>5</v>
      </c>
      <c r="J242" s="22">
        <v>100</v>
      </c>
      <c r="K242" s="22">
        <v>2.4558623506200101</v>
      </c>
      <c r="L242" s="22" t="s">
        <v>490</v>
      </c>
      <c r="M242" s="22" t="s">
        <v>8</v>
      </c>
      <c r="N242" s="22">
        <f t="shared" si="3"/>
        <v>122.79311753100049</v>
      </c>
      <c r="O242" s="22" t="s">
        <v>451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</row>
    <row r="243" spans="1:119" s="20" customFormat="1" ht="16" customHeight="1" x14ac:dyDescent="0.2">
      <c r="A243" s="22">
        <v>133</v>
      </c>
      <c r="B243" s="22" t="s">
        <v>534</v>
      </c>
      <c r="C243" s="22" t="s">
        <v>848</v>
      </c>
      <c r="D243" s="22" t="s">
        <v>849</v>
      </c>
      <c r="E243" s="22" t="s">
        <v>536</v>
      </c>
      <c r="F243" s="22" t="s">
        <v>638</v>
      </c>
      <c r="G243" s="22" t="s">
        <v>852</v>
      </c>
      <c r="H243" s="23">
        <v>44330</v>
      </c>
      <c r="I243" s="22">
        <v>5</v>
      </c>
      <c r="J243" s="22">
        <v>100</v>
      </c>
      <c r="K243" s="22">
        <v>0</v>
      </c>
      <c r="L243" s="22" t="s">
        <v>490</v>
      </c>
      <c r="M243" s="22" t="s">
        <v>8</v>
      </c>
      <c r="N243" s="22">
        <f t="shared" si="3"/>
        <v>0</v>
      </c>
      <c r="O243" s="22" t="s">
        <v>451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</row>
    <row r="244" spans="1:119" s="20" customFormat="1" ht="16" customHeight="1" x14ac:dyDescent="0.2">
      <c r="A244" s="18">
        <v>139</v>
      </c>
      <c r="B244" s="18" t="s">
        <v>538</v>
      </c>
      <c r="C244" s="18" t="s">
        <v>853</v>
      </c>
      <c r="D244" s="18" t="s">
        <v>854</v>
      </c>
      <c r="E244" s="18" t="s">
        <v>540</v>
      </c>
      <c r="F244" s="18" t="s">
        <v>638</v>
      </c>
      <c r="G244" s="18" t="s">
        <v>855</v>
      </c>
      <c r="H244" s="19">
        <v>44330</v>
      </c>
      <c r="I244" s="18">
        <v>5</v>
      </c>
      <c r="J244" s="18">
        <v>100</v>
      </c>
      <c r="K244" s="18">
        <v>0</v>
      </c>
      <c r="L244" s="18" t="s">
        <v>490</v>
      </c>
      <c r="M244" s="18" t="s">
        <v>8</v>
      </c>
      <c r="N244" s="18">
        <f t="shared" si="3"/>
        <v>0</v>
      </c>
      <c r="O244" s="18" t="s">
        <v>746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</row>
    <row r="245" spans="1:119" s="20" customFormat="1" ht="16" customHeight="1" x14ac:dyDescent="0.2">
      <c r="A245" s="18">
        <v>145</v>
      </c>
      <c r="B245" s="18" t="s">
        <v>538</v>
      </c>
      <c r="C245" s="18" t="s">
        <v>853</v>
      </c>
      <c r="D245" s="18" t="s">
        <v>854</v>
      </c>
      <c r="E245" s="18" t="s">
        <v>540</v>
      </c>
      <c r="F245" s="18" t="s">
        <v>638</v>
      </c>
      <c r="G245" s="18" t="s">
        <v>855</v>
      </c>
      <c r="H245" s="19">
        <v>44330</v>
      </c>
      <c r="I245" s="18">
        <v>5</v>
      </c>
      <c r="J245" s="18">
        <v>100</v>
      </c>
      <c r="K245" s="18">
        <v>0</v>
      </c>
      <c r="L245" s="18" t="s">
        <v>490</v>
      </c>
      <c r="M245" s="18" t="s">
        <v>8</v>
      </c>
      <c r="N245" s="18">
        <f t="shared" si="3"/>
        <v>0</v>
      </c>
      <c r="O245" s="18" t="s">
        <v>746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</row>
    <row r="246" spans="1:119" s="20" customFormat="1" ht="16" customHeight="1" x14ac:dyDescent="0.2">
      <c r="A246" s="18">
        <v>151</v>
      </c>
      <c r="B246" s="18" t="s">
        <v>538</v>
      </c>
      <c r="C246" s="18" t="s">
        <v>853</v>
      </c>
      <c r="D246" s="18" t="s">
        <v>854</v>
      </c>
      <c r="E246" s="18" t="s">
        <v>540</v>
      </c>
      <c r="F246" s="18" t="s">
        <v>638</v>
      </c>
      <c r="G246" s="18" t="s">
        <v>855</v>
      </c>
      <c r="H246" s="19">
        <v>44330</v>
      </c>
      <c r="I246" s="18">
        <v>5</v>
      </c>
      <c r="J246" s="18">
        <v>100</v>
      </c>
      <c r="K246" s="18">
        <v>0</v>
      </c>
      <c r="L246" s="18" t="s">
        <v>490</v>
      </c>
      <c r="M246" s="18" t="s">
        <v>8</v>
      </c>
      <c r="N246" s="18">
        <f t="shared" si="3"/>
        <v>0</v>
      </c>
      <c r="O246" s="18" t="s">
        <v>746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</row>
    <row r="247" spans="1:119" s="20" customFormat="1" ht="16" customHeight="1" x14ac:dyDescent="0.2">
      <c r="A247" s="18">
        <v>122</v>
      </c>
      <c r="B247" s="18" t="s">
        <v>538</v>
      </c>
      <c r="C247" s="18" t="s">
        <v>853</v>
      </c>
      <c r="D247" s="18" t="s">
        <v>854</v>
      </c>
      <c r="E247" s="18" t="s">
        <v>540</v>
      </c>
      <c r="F247" s="18" t="s">
        <v>638</v>
      </c>
      <c r="G247" s="18" t="s">
        <v>856</v>
      </c>
      <c r="H247" s="19">
        <v>44330</v>
      </c>
      <c r="I247" s="18">
        <v>5</v>
      </c>
      <c r="J247" s="18">
        <v>100</v>
      </c>
      <c r="K247" s="18">
        <v>0</v>
      </c>
      <c r="L247" s="18" t="s">
        <v>490</v>
      </c>
      <c r="M247" s="18" t="s">
        <v>8</v>
      </c>
      <c r="N247" s="18">
        <f t="shared" si="3"/>
        <v>0</v>
      </c>
      <c r="O247" s="18" t="s">
        <v>746</v>
      </c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</row>
    <row r="248" spans="1:119" s="20" customFormat="1" ht="16" customHeight="1" x14ac:dyDescent="0.2">
      <c r="A248" s="18">
        <v>128</v>
      </c>
      <c r="B248" s="18" t="s">
        <v>538</v>
      </c>
      <c r="C248" s="18" t="s">
        <v>853</v>
      </c>
      <c r="D248" s="18" t="s">
        <v>854</v>
      </c>
      <c r="E248" s="18" t="s">
        <v>540</v>
      </c>
      <c r="F248" s="18" t="s">
        <v>638</v>
      </c>
      <c r="G248" s="18" t="s">
        <v>856</v>
      </c>
      <c r="H248" s="19">
        <v>44330</v>
      </c>
      <c r="I248" s="18">
        <v>5</v>
      </c>
      <c r="J248" s="18">
        <v>100</v>
      </c>
      <c r="K248" s="18">
        <v>0</v>
      </c>
      <c r="L248" s="18" t="s">
        <v>490</v>
      </c>
      <c r="M248" s="18" t="s">
        <v>8</v>
      </c>
      <c r="N248" s="18">
        <f t="shared" si="3"/>
        <v>0</v>
      </c>
      <c r="O248" s="18" t="s">
        <v>746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</row>
    <row r="249" spans="1:119" s="20" customFormat="1" ht="16" customHeight="1" x14ac:dyDescent="0.2">
      <c r="A249" s="18">
        <v>134</v>
      </c>
      <c r="B249" s="18" t="s">
        <v>538</v>
      </c>
      <c r="C249" s="18" t="s">
        <v>853</v>
      </c>
      <c r="D249" s="18" t="s">
        <v>854</v>
      </c>
      <c r="E249" s="18" t="s">
        <v>540</v>
      </c>
      <c r="F249" s="18" t="s">
        <v>638</v>
      </c>
      <c r="G249" s="18" t="s">
        <v>856</v>
      </c>
      <c r="H249" s="19">
        <v>44330</v>
      </c>
      <c r="I249" s="18">
        <v>5</v>
      </c>
      <c r="J249" s="18">
        <v>100</v>
      </c>
      <c r="K249" s="18">
        <v>0</v>
      </c>
      <c r="L249" s="18" t="s">
        <v>490</v>
      </c>
      <c r="M249" s="18" t="s">
        <v>8</v>
      </c>
      <c r="N249" s="18">
        <f t="shared" si="3"/>
        <v>0</v>
      </c>
      <c r="O249" s="18" t="s">
        <v>746</v>
      </c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</row>
    <row r="250" spans="1:119" s="20" customFormat="1" ht="16" customHeight="1" x14ac:dyDescent="0.2">
      <c r="A250" s="16">
        <v>140</v>
      </c>
      <c r="B250" s="16" t="s">
        <v>542</v>
      </c>
      <c r="C250" s="16" t="s">
        <v>857</v>
      </c>
      <c r="D250" s="16" t="s">
        <v>858</v>
      </c>
      <c r="E250" s="16" t="s">
        <v>544</v>
      </c>
      <c r="F250" s="16" t="s">
        <v>638</v>
      </c>
      <c r="G250" s="16" t="s">
        <v>859</v>
      </c>
      <c r="H250" s="17">
        <v>44330</v>
      </c>
      <c r="I250" s="16">
        <v>5</v>
      </c>
      <c r="J250" s="16">
        <v>150</v>
      </c>
      <c r="K250" s="16">
        <v>0</v>
      </c>
      <c r="L250" s="16" t="s">
        <v>490</v>
      </c>
      <c r="M250" s="16" t="s">
        <v>8</v>
      </c>
      <c r="N250" s="16">
        <f t="shared" si="3"/>
        <v>0</v>
      </c>
      <c r="O250" s="22" t="s">
        <v>451</v>
      </c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</row>
    <row r="251" spans="1:119" s="22" customFormat="1" ht="16" customHeight="1" x14ac:dyDescent="0.2">
      <c r="A251" s="16">
        <v>146</v>
      </c>
      <c r="B251" s="16" t="s">
        <v>542</v>
      </c>
      <c r="C251" s="16" t="s">
        <v>857</v>
      </c>
      <c r="D251" s="16" t="s">
        <v>858</v>
      </c>
      <c r="E251" s="16" t="s">
        <v>544</v>
      </c>
      <c r="F251" s="16" t="s">
        <v>638</v>
      </c>
      <c r="G251" s="16" t="s">
        <v>859</v>
      </c>
      <c r="H251" s="17">
        <v>44330</v>
      </c>
      <c r="I251" s="16">
        <v>5</v>
      </c>
      <c r="J251" s="16">
        <v>150</v>
      </c>
      <c r="K251" s="16">
        <v>0</v>
      </c>
      <c r="L251" s="16" t="s">
        <v>490</v>
      </c>
      <c r="M251" s="16" t="s">
        <v>8</v>
      </c>
      <c r="N251" s="16">
        <f t="shared" si="3"/>
        <v>0</v>
      </c>
      <c r="O251" s="22" t="s">
        <v>451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</row>
    <row r="252" spans="1:119" s="22" customFormat="1" ht="16" customHeight="1" x14ac:dyDescent="0.2">
      <c r="A252" s="16">
        <v>152</v>
      </c>
      <c r="B252" s="16" t="s">
        <v>542</v>
      </c>
      <c r="C252" s="16" t="s">
        <v>857</v>
      </c>
      <c r="D252" s="16" t="s">
        <v>858</v>
      </c>
      <c r="E252" s="16" t="s">
        <v>544</v>
      </c>
      <c r="F252" s="16" t="s">
        <v>638</v>
      </c>
      <c r="G252" s="16" t="s">
        <v>859</v>
      </c>
      <c r="H252" s="17">
        <v>44330</v>
      </c>
      <c r="I252" s="16">
        <v>5</v>
      </c>
      <c r="J252" s="16">
        <v>150</v>
      </c>
      <c r="K252" s="16">
        <v>0</v>
      </c>
      <c r="L252" s="16" t="s">
        <v>490</v>
      </c>
      <c r="M252" s="16" t="s">
        <v>8</v>
      </c>
      <c r="N252" s="16">
        <f t="shared" si="3"/>
        <v>0</v>
      </c>
      <c r="O252" s="22" t="s">
        <v>451</v>
      </c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</row>
    <row r="253" spans="1:119" s="22" customFormat="1" ht="16" customHeight="1" x14ac:dyDescent="0.2">
      <c r="A253" s="16">
        <v>123</v>
      </c>
      <c r="B253" s="16" t="s">
        <v>542</v>
      </c>
      <c r="C253" s="16" t="s">
        <v>857</v>
      </c>
      <c r="D253" s="16" t="s">
        <v>858</v>
      </c>
      <c r="E253" s="16" t="s">
        <v>544</v>
      </c>
      <c r="F253" s="16" t="s">
        <v>638</v>
      </c>
      <c r="G253" s="16" t="s">
        <v>860</v>
      </c>
      <c r="H253" s="17">
        <v>44330</v>
      </c>
      <c r="I253" s="16">
        <v>5</v>
      </c>
      <c r="J253" s="16">
        <v>150</v>
      </c>
      <c r="K253" s="16">
        <v>0</v>
      </c>
      <c r="L253" s="16" t="s">
        <v>490</v>
      </c>
      <c r="M253" s="16" t="s">
        <v>8</v>
      </c>
      <c r="N253" s="16">
        <f t="shared" si="3"/>
        <v>0</v>
      </c>
      <c r="O253" s="22" t="s">
        <v>451</v>
      </c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</row>
    <row r="254" spans="1:119" s="22" customFormat="1" ht="16" customHeight="1" x14ac:dyDescent="0.2">
      <c r="A254" s="16">
        <v>129</v>
      </c>
      <c r="B254" s="16" t="s">
        <v>542</v>
      </c>
      <c r="C254" s="16" t="s">
        <v>857</v>
      </c>
      <c r="D254" s="16" t="s">
        <v>858</v>
      </c>
      <c r="E254" s="16" t="s">
        <v>544</v>
      </c>
      <c r="F254" s="16" t="s">
        <v>638</v>
      </c>
      <c r="G254" s="16" t="s">
        <v>860</v>
      </c>
      <c r="H254" s="17">
        <v>44330</v>
      </c>
      <c r="I254" s="16">
        <v>5</v>
      </c>
      <c r="J254" s="16">
        <v>150</v>
      </c>
      <c r="K254" s="16">
        <v>0</v>
      </c>
      <c r="L254" s="16" t="s">
        <v>490</v>
      </c>
      <c r="M254" s="16" t="s">
        <v>8</v>
      </c>
      <c r="N254" s="16">
        <f t="shared" si="3"/>
        <v>0</v>
      </c>
      <c r="O254" s="22" t="s">
        <v>451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</row>
    <row r="255" spans="1:119" s="22" customFormat="1" ht="16" customHeight="1" x14ac:dyDescent="0.2">
      <c r="A255" s="16">
        <v>135</v>
      </c>
      <c r="B255" s="16" t="s">
        <v>542</v>
      </c>
      <c r="C255" s="16" t="s">
        <v>857</v>
      </c>
      <c r="D255" s="16" t="s">
        <v>858</v>
      </c>
      <c r="E255" s="16" t="s">
        <v>544</v>
      </c>
      <c r="F255" s="16" t="s">
        <v>638</v>
      </c>
      <c r="G255" s="16" t="s">
        <v>860</v>
      </c>
      <c r="H255" s="17">
        <v>44330</v>
      </c>
      <c r="I255" s="16">
        <v>5</v>
      </c>
      <c r="J255" s="16">
        <v>150</v>
      </c>
      <c r="K255" s="16">
        <v>0</v>
      </c>
      <c r="L255" s="16" t="s">
        <v>490</v>
      </c>
      <c r="M255" s="16" t="s">
        <v>8</v>
      </c>
      <c r="N255" s="16">
        <f t="shared" si="3"/>
        <v>0</v>
      </c>
      <c r="O255" s="22" t="s">
        <v>451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</row>
    <row r="256" spans="1:119" s="22" customFormat="1" ht="16" customHeight="1" x14ac:dyDescent="0.2">
      <c r="A256" s="22">
        <v>141</v>
      </c>
      <c r="B256" s="22" t="s">
        <v>542</v>
      </c>
      <c r="C256" s="22" t="s">
        <v>857</v>
      </c>
      <c r="D256" s="22" t="s">
        <v>858</v>
      </c>
      <c r="E256" s="22" t="s">
        <v>544</v>
      </c>
      <c r="F256" s="22" t="s">
        <v>638</v>
      </c>
      <c r="G256" s="22" t="s">
        <v>861</v>
      </c>
      <c r="H256" s="23">
        <v>44330</v>
      </c>
      <c r="I256" s="22">
        <v>5</v>
      </c>
      <c r="J256" s="22">
        <v>150</v>
      </c>
      <c r="K256" s="22">
        <v>0</v>
      </c>
      <c r="L256" s="22" t="s">
        <v>490</v>
      </c>
      <c r="M256" s="22" t="s">
        <v>8</v>
      </c>
      <c r="N256" s="22">
        <f t="shared" si="3"/>
        <v>0</v>
      </c>
      <c r="O256" s="22" t="s">
        <v>451</v>
      </c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</row>
    <row r="257" spans="1:119" s="22" customFormat="1" ht="16" customHeight="1" x14ac:dyDescent="0.2">
      <c r="A257" s="22">
        <v>147</v>
      </c>
      <c r="B257" s="22" t="s">
        <v>542</v>
      </c>
      <c r="C257" s="22" t="s">
        <v>857</v>
      </c>
      <c r="D257" s="22" t="s">
        <v>858</v>
      </c>
      <c r="E257" s="22" t="s">
        <v>544</v>
      </c>
      <c r="F257" s="22" t="s">
        <v>638</v>
      </c>
      <c r="G257" s="22" t="s">
        <v>861</v>
      </c>
      <c r="H257" s="23">
        <v>44330</v>
      </c>
      <c r="I257" s="22">
        <v>5</v>
      </c>
      <c r="J257" s="22">
        <v>150</v>
      </c>
      <c r="K257" s="22">
        <v>0</v>
      </c>
      <c r="L257" s="22" t="s">
        <v>490</v>
      </c>
      <c r="M257" s="22" t="s">
        <v>8</v>
      </c>
      <c r="N257" s="22">
        <f t="shared" si="3"/>
        <v>0</v>
      </c>
      <c r="O257" s="22" t="s">
        <v>451</v>
      </c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</row>
    <row r="258" spans="1:119" s="22" customFormat="1" ht="16" customHeight="1" x14ac:dyDescent="0.2">
      <c r="A258" s="22">
        <v>153</v>
      </c>
      <c r="B258" s="22" t="s">
        <v>542</v>
      </c>
      <c r="C258" s="22" t="s">
        <v>857</v>
      </c>
      <c r="D258" s="22" t="s">
        <v>858</v>
      </c>
      <c r="E258" s="22" t="s">
        <v>544</v>
      </c>
      <c r="F258" s="22" t="s">
        <v>638</v>
      </c>
      <c r="G258" s="22" t="s">
        <v>861</v>
      </c>
      <c r="H258" s="23">
        <v>44330</v>
      </c>
      <c r="I258" s="22">
        <v>5</v>
      </c>
      <c r="J258" s="22">
        <v>150</v>
      </c>
      <c r="K258" s="22">
        <v>0</v>
      </c>
      <c r="L258" s="22" t="s">
        <v>490</v>
      </c>
      <c r="M258" s="22" t="s">
        <v>8</v>
      </c>
      <c r="N258" s="22">
        <f t="shared" si="3"/>
        <v>0</v>
      </c>
      <c r="O258" s="22" t="s">
        <v>451</v>
      </c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</row>
    <row r="259" spans="1:119" s="22" customFormat="1" ht="16" customHeight="1" x14ac:dyDescent="0.2">
      <c r="A259" s="20">
        <v>175</v>
      </c>
      <c r="B259" s="20" t="s">
        <v>546</v>
      </c>
      <c r="C259" s="20" t="s">
        <v>726</v>
      </c>
      <c r="D259" s="20" t="s">
        <v>862</v>
      </c>
      <c r="E259" s="20" t="s">
        <v>446</v>
      </c>
      <c r="F259" s="20" t="s">
        <v>638</v>
      </c>
      <c r="G259" s="20" t="s">
        <v>863</v>
      </c>
      <c r="H259" s="21">
        <v>44334</v>
      </c>
      <c r="I259" s="20">
        <v>5</v>
      </c>
      <c r="J259" s="20">
        <v>100</v>
      </c>
      <c r="K259" s="20">
        <v>31.4920139936543</v>
      </c>
      <c r="L259" s="20" t="s">
        <v>490</v>
      </c>
      <c r="M259" s="20" t="s">
        <v>8</v>
      </c>
      <c r="N259" s="20">
        <f t="shared" si="3"/>
        <v>1574.600699682715</v>
      </c>
      <c r="O259" s="20" t="s">
        <v>451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</row>
    <row r="260" spans="1:119" s="20" customFormat="1" ht="16" customHeight="1" x14ac:dyDescent="0.2">
      <c r="A260" s="20">
        <v>182</v>
      </c>
      <c r="B260" s="20" t="s">
        <v>546</v>
      </c>
      <c r="C260" s="20" t="s">
        <v>726</v>
      </c>
      <c r="D260" s="20" t="s">
        <v>862</v>
      </c>
      <c r="E260" s="20" t="s">
        <v>446</v>
      </c>
      <c r="F260" s="20" t="s">
        <v>638</v>
      </c>
      <c r="G260" s="20" t="s">
        <v>863</v>
      </c>
      <c r="H260" s="21">
        <v>44334</v>
      </c>
      <c r="I260" s="20">
        <v>5</v>
      </c>
      <c r="J260" s="20">
        <v>100</v>
      </c>
      <c r="K260" s="20">
        <v>38.688284408318097</v>
      </c>
      <c r="L260" s="20" t="s">
        <v>490</v>
      </c>
      <c r="M260" s="20" t="s">
        <v>8</v>
      </c>
      <c r="N260" s="20">
        <f t="shared" ref="N260:N323" si="4">K260*I260*(1000/J260)</f>
        <v>1934.414220415905</v>
      </c>
      <c r="O260" s="20" t="s">
        <v>451</v>
      </c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</row>
    <row r="261" spans="1:119" s="20" customFormat="1" ht="16" customHeight="1" x14ac:dyDescent="0.2">
      <c r="A261" s="20">
        <v>189</v>
      </c>
      <c r="B261" s="20" t="s">
        <v>546</v>
      </c>
      <c r="C261" s="20" t="s">
        <v>726</v>
      </c>
      <c r="D261" s="20" t="s">
        <v>862</v>
      </c>
      <c r="E261" s="20" t="s">
        <v>446</v>
      </c>
      <c r="F261" s="20" t="s">
        <v>638</v>
      </c>
      <c r="G261" s="20" t="s">
        <v>863</v>
      </c>
      <c r="H261" s="21">
        <v>44334</v>
      </c>
      <c r="I261" s="20">
        <v>5</v>
      </c>
      <c r="J261" s="20">
        <v>100</v>
      </c>
      <c r="K261" s="20">
        <v>48.277041760349299</v>
      </c>
      <c r="L261" s="20" t="s">
        <v>490</v>
      </c>
      <c r="M261" s="20" t="s">
        <v>8</v>
      </c>
      <c r="N261" s="20">
        <f t="shared" si="4"/>
        <v>2413.8520880174651</v>
      </c>
      <c r="O261" s="20" t="s">
        <v>451</v>
      </c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</row>
    <row r="262" spans="1:119" s="20" customFormat="1" ht="16" customHeight="1" x14ac:dyDescent="0.2">
      <c r="A262" s="20">
        <v>157</v>
      </c>
      <c r="B262" s="20" t="s">
        <v>546</v>
      </c>
      <c r="C262" s="20" t="s">
        <v>726</v>
      </c>
      <c r="D262" s="20" t="s">
        <v>862</v>
      </c>
      <c r="E262" s="20" t="s">
        <v>446</v>
      </c>
      <c r="F262" s="20" t="s">
        <v>638</v>
      </c>
      <c r="G262" s="20" t="s">
        <v>864</v>
      </c>
      <c r="H262" s="21">
        <v>44334</v>
      </c>
      <c r="I262" s="20">
        <v>5</v>
      </c>
      <c r="J262" s="20">
        <v>100</v>
      </c>
      <c r="K262" s="20">
        <v>73.090659351675498</v>
      </c>
      <c r="L262" s="20" t="s">
        <v>490</v>
      </c>
      <c r="M262" s="20" t="s">
        <v>8</v>
      </c>
      <c r="N262" s="20">
        <f t="shared" si="4"/>
        <v>3654.5329675837752</v>
      </c>
      <c r="O262" s="20" t="s">
        <v>451</v>
      </c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</row>
    <row r="263" spans="1:119" s="22" customFormat="1" ht="16" customHeight="1" x14ac:dyDescent="0.2">
      <c r="A263" s="20">
        <v>163</v>
      </c>
      <c r="B263" s="20" t="s">
        <v>546</v>
      </c>
      <c r="C263" s="20" t="s">
        <v>726</v>
      </c>
      <c r="D263" s="20" t="s">
        <v>862</v>
      </c>
      <c r="E263" s="20" t="s">
        <v>446</v>
      </c>
      <c r="F263" s="20" t="s">
        <v>638</v>
      </c>
      <c r="G263" s="20" t="s">
        <v>864</v>
      </c>
      <c r="H263" s="21">
        <v>44334</v>
      </c>
      <c r="I263" s="20">
        <v>5</v>
      </c>
      <c r="J263" s="20">
        <v>100</v>
      </c>
      <c r="K263" s="20">
        <v>73.504124691557195</v>
      </c>
      <c r="L263" s="20" t="s">
        <v>490</v>
      </c>
      <c r="M263" s="20" t="s">
        <v>8</v>
      </c>
      <c r="N263" s="20">
        <f t="shared" si="4"/>
        <v>3675.2062345778595</v>
      </c>
      <c r="O263" s="20" t="s">
        <v>451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</row>
    <row r="264" spans="1:119" s="22" customFormat="1" ht="16" customHeight="1" x14ac:dyDescent="0.2">
      <c r="A264" s="20">
        <v>169</v>
      </c>
      <c r="B264" s="20" t="s">
        <v>546</v>
      </c>
      <c r="C264" s="20" t="s">
        <v>726</v>
      </c>
      <c r="D264" s="20" t="s">
        <v>862</v>
      </c>
      <c r="E264" s="20" t="s">
        <v>446</v>
      </c>
      <c r="F264" s="20" t="s">
        <v>638</v>
      </c>
      <c r="G264" s="20" t="s">
        <v>864</v>
      </c>
      <c r="H264" s="21">
        <v>44334</v>
      </c>
      <c r="I264" s="20">
        <v>5</v>
      </c>
      <c r="J264" s="20">
        <v>100</v>
      </c>
      <c r="K264" s="20">
        <v>80.652068237524006</v>
      </c>
      <c r="L264" s="20" t="s">
        <v>490</v>
      </c>
      <c r="M264" s="20" t="s">
        <v>8</v>
      </c>
      <c r="N264" s="20">
        <f t="shared" si="4"/>
        <v>4032.6034118762004</v>
      </c>
      <c r="O264" s="20" t="s">
        <v>451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</row>
    <row r="265" spans="1:119" s="22" customFormat="1" ht="16" customHeight="1" x14ac:dyDescent="0.2">
      <c r="A265" s="20">
        <v>176</v>
      </c>
      <c r="B265" s="20" t="s">
        <v>546</v>
      </c>
      <c r="C265" s="20" t="s">
        <v>726</v>
      </c>
      <c r="D265" s="20" t="s">
        <v>862</v>
      </c>
      <c r="E265" s="20" t="s">
        <v>446</v>
      </c>
      <c r="F265" s="20" t="s">
        <v>638</v>
      </c>
      <c r="G265" s="20" t="s">
        <v>865</v>
      </c>
      <c r="H265" s="21">
        <v>44334</v>
      </c>
      <c r="I265" s="20">
        <v>5</v>
      </c>
      <c r="J265" s="20">
        <v>100</v>
      </c>
      <c r="K265" s="20">
        <v>19.551972812357199</v>
      </c>
      <c r="L265" s="20" t="s">
        <v>490</v>
      </c>
      <c r="M265" s="20" t="s">
        <v>8</v>
      </c>
      <c r="N265" s="20">
        <f t="shared" si="4"/>
        <v>977.59864061786004</v>
      </c>
      <c r="O265" s="20" t="s">
        <v>451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</row>
    <row r="266" spans="1:119" s="22" customFormat="1" ht="16" customHeight="1" x14ac:dyDescent="0.2">
      <c r="A266" s="20">
        <v>183</v>
      </c>
      <c r="B266" s="20" t="s">
        <v>546</v>
      </c>
      <c r="C266" s="20" t="s">
        <v>726</v>
      </c>
      <c r="D266" s="20" t="s">
        <v>862</v>
      </c>
      <c r="E266" s="20" t="s">
        <v>446</v>
      </c>
      <c r="F266" s="20" t="s">
        <v>638</v>
      </c>
      <c r="G266" s="20" t="s">
        <v>865</v>
      </c>
      <c r="H266" s="21">
        <v>44334</v>
      </c>
      <c r="I266" s="20">
        <v>5</v>
      </c>
      <c r="J266" s="20">
        <v>100</v>
      </c>
      <c r="K266" s="20">
        <v>29.643251004088999</v>
      </c>
      <c r="L266" s="20" t="s">
        <v>490</v>
      </c>
      <c r="M266" s="20" t="s">
        <v>8</v>
      </c>
      <c r="N266" s="20">
        <f t="shared" si="4"/>
        <v>1482.1625502044501</v>
      </c>
      <c r="O266" s="20" t="s">
        <v>451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</row>
    <row r="267" spans="1:119" s="22" customFormat="1" ht="16" customHeight="1" x14ac:dyDescent="0.2">
      <c r="A267" s="20">
        <v>190</v>
      </c>
      <c r="B267" s="20" t="s">
        <v>546</v>
      </c>
      <c r="C267" s="20" t="s">
        <v>726</v>
      </c>
      <c r="D267" s="20" t="s">
        <v>862</v>
      </c>
      <c r="E267" s="20" t="s">
        <v>446</v>
      </c>
      <c r="F267" s="20" t="s">
        <v>638</v>
      </c>
      <c r="G267" s="20" t="s">
        <v>865</v>
      </c>
      <c r="H267" s="21">
        <v>44334</v>
      </c>
      <c r="I267" s="20">
        <v>5</v>
      </c>
      <c r="J267" s="20">
        <v>100</v>
      </c>
      <c r="K267" s="20">
        <v>29.339086305380299</v>
      </c>
      <c r="L267" s="20" t="s">
        <v>490</v>
      </c>
      <c r="M267" s="20" t="s">
        <v>8</v>
      </c>
      <c r="N267" s="20">
        <f t="shared" si="4"/>
        <v>1466.9543152690151</v>
      </c>
      <c r="O267" s="20" t="s">
        <v>451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</row>
    <row r="268" spans="1:119" s="22" customFormat="1" ht="16" customHeight="1" x14ac:dyDescent="0.2">
      <c r="A268" s="22">
        <v>158</v>
      </c>
      <c r="B268" s="22" t="s">
        <v>549</v>
      </c>
      <c r="C268" s="22" t="s">
        <v>726</v>
      </c>
      <c r="D268" s="22" t="s">
        <v>866</v>
      </c>
      <c r="E268" s="22" t="s">
        <v>446</v>
      </c>
      <c r="F268" s="22" t="s">
        <v>638</v>
      </c>
      <c r="G268" s="22" t="s">
        <v>867</v>
      </c>
      <c r="H268" s="23">
        <v>44334</v>
      </c>
      <c r="I268" s="22">
        <v>5</v>
      </c>
      <c r="J268" s="22">
        <v>100</v>
      </c>
      <c r="K268" s="22">
        <v>59.3030255828847</v>
      </c>
      <c r="L268" s="22" t="s">
        <v>490</v>
      </c>
      <c r="M268" s="22" t="s">
        <v>8</v>
      </c>
      <c r="N268" s="22">
        <f t="shared" si="4"/>
        <v>2965.1512791442346</v>
      </c>
      <c r="O268" s="22" t="s">
        <v>451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</row>
    <row r="269" spans="1:119" s="22" customFormat="1" ht="16" customHeight="1" x14ac:dyDescent="0.2">
      <c r="A269" s="22">
        <v>164</v>
      </c>
      <c r="B269" s="22" t="s">
        <v>549</v>
      </c>
      <c r="C269" s="22" t="s">
        <v>726</v>
      </c>
      <c r="D269" s="22" t="s">
        <v>866</v>
      </c>
      <c r="E269" s="22" t="s">
        <v>446</v>
      </c>
      <c r="F269" s="22" t="s">
        <v>638</v>
      </c>
      <c r="G269" s="22" t="s">
        <v>867</v>
      </c>
      <c r="H269" s="23">
        <v>44334</v>
      </c>
      <c r="I269" s="22">
        <v>5</v>
      </c>
      <c r="J269" s="22">
        <v>100</v>
      </c>
      <c r="K269" s="22">
        <v>74.482996418467593</v>
      </c>
      <c r="L269" s="22" t="s">
        <v>490</v>
      </c>
      <c r="M269" s="22" t="s">
        <v>8</v>
      </c>
      <c r="N269" s="22">
        <f t="shared" si="4"/>
        <v>3724.1498209233796</v>
      </c>
      <c r="O269" s="22" t="s">
        <v>451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</row>
    <row r="270" spans="1:119" s="22" customFormat="1" ht="16" customHeight="1" x14ac:dyDescent="0.2">
      <c r="A270" s="22">
        <v>170</v>
      </c>
      <c r="B270" s="22" t="s">
        <v>549</v>
      </c>
      <c r="C270" s="22" t="s">
        <v>726</v>
      </c>
      <c r="D270" s="22" t="s">
        <v>866</v>
      </c>
      <c r="E270" s="22" t="s">
        <v>446</v>
      </c>
      <c r="F270" s="22" t="s">
        <v>638</v>
      </c>
      <c r="G270" s="22" t="s">
        <v>867</v>
      </c>
      <c r="H270" s="23">
        <v>44334</v>
      </c>
      <c r="I270" s="22">
        <v>5</v>
      </c>
      <c r="J270" s="22">
        <v>100</v>
      </c>
      <c r="K270" s="22">
        <v>68.292534036834795</v>
      </c>
      <c r="L270" s="22" t="s">
        <v>490</v>
      </c>
      <c r="M270" s="22" t="s">
        <v>8</v>
      </c>
      <c r="N270" s="22">
        <f t="shared" si="4"/>
        <v>3414.6267018417398</v>
      </c>
      <c r="O270" s="22" t="s">
        <v>451</v>
      </c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</row>
    <row r="271" spans="1:119" s="22" customFormat="1" ht="16" customHeight="1" x14ac:dyDescent="0.2">
      <c r="A271" s="22">
        <v>177</v>
      </c>
      <c r="B271" s="22" t="s">
        <v>549</v>
      </c>
      <c r="C271" s="22" t="s">
        <v>726</v>
      </c>
      <c r="D271" s="22" t="s">
        <v>866</v>
      </c>
      <c r="E271" s="22" t="s">
        <v>446</v>
      </c>
      <c r="F271" s="22" t="s">
        <v>638</v>
      </c>
      <c r="G271" s="22" t="s">
        <v>868</v>
      </c>
      <c r="H271" s="23">
        <v>44334</v>
      </c>
      <c r="I271" s="22">
        <v>5</v>
      </c>
      <c r="J271" s="22">
        <v>100</v>
      </c>
      <c r="K271" s="22">
        <v>44.106036103173103</v>
      </c>
      <c r="L271" s="22" t="s">
        <v>490</v>
      </c>
      <c r="M271" s="22" t="s">
        <v>8</v>
      </c>
      <c r="N271" s="22">
        <f t="shared" si="4"/>
        <v>2205.301805158655</v>
      </c>
      <c r="O271" s="22" t="s">
        <v>451</v>
      </c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</row>
    <row r="272" spans="1:119" s="20" customFormat="1" ht="16" customHeight="1" x14ac:dyDescent="0.2">
      <c r="A272" s="22">
        <v>184</v>
      </c>
      <c r="B272" s="22" t="s">
        <v>549</v>
      </c>
      <c r="C272" s="22" t="s">
        <v>726</v>
      </c>
      <c r="D272" s="22" t="s">
        <v>866</v>
      </c>
      <c r="E272" s="22" t="s">
        <v>446</v>
      </c>
      <c r="F272" s="22" t="s">
        <v>638</v>
      </c>
      <c r="G272" s="22" t="s">
        <v>868</v>
      </c>
      <c r="H272" s="23">
        <v>44334</v>
      </c>
      <c r="I272" s="22">
        <v>5</v>
      </c>
      <c r="J272" s="22">
        <v>100</v>
      </c>
      <c r="K272" s="22">
        <v>44.0351476441177</v>
      </c>
      <c r="L272" s="22" t="s">
        <v>490</v>
      </c>
      <c r="M272" s="22" t="s">
        <v>8</v>
      </c>
      <c r="N272" s="22">
        <f t="shared" si="4"/>
        <v>2201.7573822058848</v>
      </c>
      <c r="O272" s="22" t="s">
        <v>451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</row>
    <row r="273" spans="1:119" s="20" customFormat="1" ht="16" customHeight="1" x14ac:dyDescent="0.2">
      <c r="A273" s="22">
        <v>191</v>
      </c>
      <c r="B273" s="22" t="s">
        <v>549</v>
      </c>
      <c r="C273" s="22" t="s">
        <v>726</v>
      </c>
      <c r="D273" s="22" t="s">
        <v>866</v>
      </c>
      <c r="E273" s="22" t="s">
        <v>446</v>
      </c>
      <c r="F273" s="22" t="s">
        <v>638</v>
      </c>
      <c r="G273" s="22" t="s">
        <v>868</v>
      </c>
      <c r="H273" s="23">
        <v>44334</v>
      </c>
      <c r="I273" s="22">
        <v>5</v>
      </c>
      <c r="J273" s="22">
        <v>100</v>
      </c>
      <c r="K273" s="22">
        <v>52.838629932167699</v>
      </c>
      <c r="L273" s="22" t="s">
        <v>490</v>
      </c>
      <c r="M273" s="22" t="s">
        <v>8</v>
      </c>
      <c r="N273" s="22">
        <f t="shared" si="4"/>
        <v>2641.9314966083853</v>
      </c>
      <c r="O273" s="22" t="s">
        <v>451</v>
      </c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</row>
    <row r="274" spans="1:119" s="20" customFormat="1" ht="16" customHeight="1" x14ac:dyDescent="0.2">
      <c r="A274" s="22">
        <v>159</v>
      </c>
      <c r="B274" s="22" t="s">
        <v>549</v>
      </c>
      <c r="C274" s="22" t="s">
        <v>726</v>
      </c>
      <c r="D274" s="22" t="s">
        <v>866</v>
      </c>
      <c r="E274" s="22" t="s">
        <v>446</v>
      </c>
      <c r="F274" s="22" t="s">
        <v>638</v>
      </c>
      <c r="G274" s="22" t="s">
        <v>869</v>
      </c>
      <c r="H274" s="23">
        <v>44334</v>
      </c>
      <c r="I274" s="22">
        <v>5</v>
      </c>
      <c r="J274" s="22">
        <v>100</v>
      </c>
      <c r="K274" s="22">
        <v>6.5859768499582598</v>
      </c>
      <c r="L274" s="22" t="s">
        <v>490</v>
      </c>
      <c r="M274" s="22" t="s">
        <v>8</v>
      </c>
      <c r="N274" s="22">
        <f t="shared" si="4"/>
        <v>329.29884249791303</v>
      </c>
      <c r="O274" s="22" t="s">
        <v>451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</row>
    <row r="275" spans="1:119" s="20" customFormat="1" ht="16" customHeight="1" x14ac:dyDescent="0.2">
      <c r="A275" s="22">
        <v>165</v>
      </c>
      <c r="B275" s="22" t="s">
        <v>549</v>
      </c>
      <c r="C275" s="22" t="s">
        <v>726</v>
      </c>
      <c r="D275" s="22" t="s">
        <v>866</v>
      </c>
      <c r="E275" s="22" t="s">
        <v>446</v>
      </c>
      <c r="F275" s="22" t="s">
        <v>638</v>
      </c>
      <c r="G275" s="22" t="s">
        <v>869</v>
      </c>
      <c r="H275" s="23">
        <v>44334</v>
      </c>
      <c r="I275" s="22">
        <v>5</v>
      </c>
      <c r="J275" s="22">
        <v>100</v>
      </c>
      <c r="K275" s="22">
        <v>0</v>
      </c>
      <c r="L275" s="22" t="s">
        <v>490</v>
      </c>
      <c r="M275" s="22" t="s">
        <v>8</v>
      </c>
      <c r="N275" s="22">
        <f t="shared" si="4"/>
        <v>0</v>
      </c>
      <c r="O275" s="22" t="s">
        <v>451</v>
      </c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</row>
    <row r="276" spans="1:119" s="20" customFormat="1" ht="16" customHeight="1" x14ac:dyDescent="0.2">
      <c r="A276" s="22">
        <v>171</v>
      </c>
      <c r="B276" s="22" t="s">
        <v>549</v>
      </c>
      <c r="C276" s="22" t="s">
        <v>726</v>
      </c>
      <c r="D276" s="22" t="s">
        <v>866</v>
      </c>
      <c r="E276" s="22" t="s">
        <v>446</v>
      </c>
      <c r="F276" s="22" t="s">
        <v>638</v>
      </c>
      <c r="G276" s="22" t="s">
        <v>869</v>
      </c>
      <c r="H276" s="23">
        <v>44334</v>
      </c>
      <c r="I276" s="22">
        <v>5</v>
      </c>
      <c r="J276" s="22">
        <v>100</v>
      </c>
      <c r="K276" s="22">
        <v>0</v>
      </c>
      <c r="L276" s="22" t="s">
        <v>490</v>
      </c>
      <c r="M276" s="22" t="s">
        <v>8</v>
      </c>
      <c r="N276" s="22">
        <f t="shared" si="4"/>
        <v>0</v>
      </c>
      <c r="O276" s="22" t="s">
        <v>451</v>
      </c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</row>
    <row r="277" spans="1:119" s="20" customFormat="1" ht="16" customHeight="1" x14ac:dyDescent="0.2">
      <c r="A277" s="20">
        <v>124</v>
      </c>
      <c r="B277" s="20" t="s">
        <v>551</v>
      </c>
      <c r="C277" s="20" t="s">
        <v>870</v>
      </c>
      <c r="D277" s="20" t="s">
        <v>871</v>
      </c>
      <c r="E277" s="20" t="s">
        <v>553</v>
      </c>
      <c r="F277" s="20" t="s">
        <v>638</v>
      </c>
      <c r="G277" s="20" t="s">
        <v>872</v>
      </c>
      <c r="H277" s="21">
        <v>44333</v>
      </c>
      <c r="I277" s="20">
        <v>5</v>
      </c>
      <c r="J277" s="20">
        <v>100</v>
      </c>
      <c r="K277" s="20">
        <v>29.419711604051201</v>
      </c>
      <c r="L277" s="20" t="s">
        <v>490</v>
      </c>
      <c r="M277" s="20" t="s">
        <v>8</v>
      </c>
      <c r="N277" s="20">
        <f t="shared" si="4"/>
        <v>1470.98558020256</v>
      </c>
      <c r="O277" s="20" t="s">
        <v>451</v>
      </c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</row>
    <row r="278" spans="1:119" s="20" customFormat="1" ht="16" customHeight="1" x14ac:dyDescent="0.2">
      <c r="A278" s="20">
        <v>130</v>
      </c>
      <c r="B278" s="20" t="s">
        <v>551</v>
      </c>
      <c r="C278" s="20" t="s">
        <v>870</v>
      </c>
      <c r="D278" s="20" t="s">
        <v>871</v>
      </c>
      <c r="E278" s="20" t="s">
        <v>553</v>
      </c>
      <c r="F278" s="20" t="s">
        <v>638</v>
      </c>
      <c r="G278" s="20" t="s">
        <v>872</v>
      </c>
      <c r="H278" s="21">
        <v>44333</v>
      </c>
      <c r="I278" s="20">
        <v>5</v>
      </c>
      <c r="J278" s="20">
        <v>100</v>
      </c>
      <c r="K278" s="20">
        <v>16.783325970091401</v>
      </c>
      <c r="L278" s="20" t="s">
        <v>490</v>
      </c>
      <c r="M278" s="20" t="s">
        <v>8</v>
      </c>
      <c r="N278" s="20">
        <f t="shared" si="4"/>
        <v>839.16629850457002</v>
      </c>
      <c r="O278" s="20" t="s">
        <v>451</v>
      </c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</row>
    <row r="279" spans="1:119" s="20" customFormat="1" ht="16" customHeight="1" x14ac:dyDescent="0.2">
      <c r="A279" s="20">
        <v>136</v>
      </c>
      <c r="B279" s="20" t="s">
        <v>551</v>
      </c>
      <c r="C279" s="20" t="s">
        <v>870</v>
      </c>
      <c r="D279" s="20" t="s">
        <v>871</v>
      </c>
      <c r="E279" s="20" t="s">
        <v>553</v>
      </c>
      <c r="F279" s="20" t="s">
        <v>638</v>
      </c>
      <c r="G279" s="20" t="s">
        <v>872</v>
      </c>
      <c r="H279" s="21">
        <v>44333</v>
      </c>
      <c r="I279" s="20">
        <v>5</v>
      </c>
      <c r="J279" s="20">
        <v>100</v>
      </c>
      <c r="K279" s="20">
        <v>16.5204067224706</v>
      </c>
      <c r="L279" s="20" t="s">
        <v>490</v>
      </c>
      <c r="M279" s="20" t="s">
        <v>8</v>
      </c>
      <c r="N279" s="20">
        <f t="shared" si="4"/>
        <v>826.02033612353</v>
      </c>
      <c r="O279" s="20" t="s">
        <v>451</v>
      </c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</row>
    <row r="280" spans="1:119" s="20" customFormat="1" ht="16" customHeight="1" x14ac:dyDescent="0.2">
      <c r="A280" s="20">
        <v>142</v>
      </c>
      <c r="B280" s="20" t="s">
        <v>551</v>
      </c>
      <c r="C280" s="20" t="s">
        <v>870</v>
      </c>
      <c r="D280" s="20" t="s">
        <v>871</v>
      </c>
      <c r="E280" s="20" t="s">
        <v>553</v>
      </c>
      <c r="F280" s="20" t="s">
        <v>638</v>
      </c>
      <c r="G280" s="20" t="s">
        <v>873</v>
      </c>
      <c r="H280" s="21">
        <v>44333</v>
      </c>
      <c r="I280" s="20">
        <v>5</v>
      </c>
      <c r="J280" s="20">
        <v>100</v>
      </c>
      <c r="K280" s="20">
        <v>10.9341303273621</v>
      </c>
      <c r="L280" s="20" t="s">
        <v>490</v>
      </c>
      <c r="M280" s="20" t="s">
        <v>8</v>
      </c>
      <c r="N280" s="20">
        <f t="shared" si="4"/>
        <v>546.70651636810499</v>
      </c>
      <c r="O280" s="20" t="s">
        <v>451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</row>
    <row r="281" spans="1:119" s="22" customFormat="1" ht="16" customHeight="1" x14ac:dyDescent="0.2">
      <c r="A281" s="20">
        <v>148</v>
      </c>
      <c r="B281" s="20" t="s">
        <v>551</v>
      </c>
      <c r="C281" s="20" t="s">
        <v>870</v>
      </c>
      <c r="D281" s="20" t="s">
        <v>871</v>
      </c>
      <c r="E281" s="20" t="s">
        <v>553</v>
      </c>
      <c r="F281" s="20" t="s">
        <v>638</v>
      </c>
      <c r="G281" s="20" t="s">
        <v>873</v>
      </c>
      <c r="H281" s="21">
        <v>44333</v>
      </c>
      <c r="I281" s="20">
        <v>5</v>
      </c>
      <c r="J281" s="20">
        <v>100</v>
      </c>
      <c r="K281" s="20">
        <v>10.256324232812601</v>
      </c>
      <c r="L281" s="20" t="s">
        <v>490</v>
      </c>
      <c r="M281" s="20" t="s">
        <v>8</v>
      </c>
      <c r="N281" s="20">
        <f t="shared" si="4"/>
        <v>512.81621164063006</v>
      </c>
      <c r="O281" s="20" t="s">
        <v>451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</row>
    <row r="282" spans="1:119" s="22" customFormat="1" ht="16" customHeight="1" x14ac:dyDescent="0.2">
      <c r="A282" s="20">
        <v>154</v>
      </c>
      <c r="B282" s="20" t="s">
        <v>551</v>
      </c>
      <c r="C282" s="20" t="s">
        <v>870</v>
      </c>
      <c r="D282" s="20" t="s">
        <v>871</v>
      </c>
      <c r="E282" s="20" t="s">
        <v>553</v>
      </c>
      <c r="F282" s="20" t="s">
        <v>638</v>
      </c>
      <c r="G282" s="20" t="s">
        <v>873</v>
      </c>
      <c r="H282" s="21">
        <v>44333</v>
      </c>
      <c r="I282" s="20">
        <v>5</v>
      </c>
      <c r="J282" s="20">
        <v>100</v>
      </c>
      <c r="K282" s="20">
        <v>6.1036940516486196</v>
      </c>
      <c r="L282" s="20" t="s">
        <v>490</v>
      </c>
      <c r="M282" s="20" t="s">
        <v>8</v>
      </c>
      <c r="N282" s="20">
        <f t="shared" si="4"/>
        <v>305.18470258243099</v>
      </c>
      <c r="O282" s="20" t="s">
        <v>451</v>
      </c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</row>
    <row r="283" spans="1:119" s="22" customFormat="1" ht="16" customHeight="1" x14ac:dyDescent="0.2">
      <c r="A283" s="20">
        <v>125</v>
      </c>
      <c r="B283" s="20" t="s">
        <v>551</v>
      </c>
      <c r="C283" s="20" t="s">
        <v>870</v>
      </c>
      <c r="D283" s="20" t="s">
        <v>871</v>
      </c>
      <c r="E283" s="20" t="s">
        <v>553</v>
      </c>
      <c r="F283" s="20" t="s">
        <v>638</v>
      </c>
      <c r="G283" s="20" t="s">
        <v>874</v>
      </c>
      <c r="H283" s="21">
        <v>44333</v>
      </c>
      <c r="I283" s="20">
        <v>5</v>
      </c>
      <c r="J283" s="20">
        <v>100</v>
      </c>
      <c r="K283" s="20">
        <v>22.060786111908001</v>
      </c>
      <c r="L283" s="20" t="s">
        <v>490</v>
      </c>
      <c r="M283" s="20" t="s">
        <v>8</v>
      </c>
      <c r="N283" s="20">
        <f t="shared" si="4"/>
        <v>1103.0393055954</v>
      </c>
      <c r="O283" s="20" t="s">
        <v>451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</row>
    <row r="284" spans="1:119" s="22" customFormat="1" ht="16" customHeight="1" x14ac:dyDescent="0.2">
      <c r="A284" s="20">
        <v>131</v>
      </c>
      <c r="B284" s="20" t="s">
        <v>551</v>
      </c>
      <c r="C284" s="20" t="s">
        <v>870</v>
      </c>
      <c r="D284" s="20" t="s">
        <v>871</v>
      </c>
      <c r="E284" s="20" t="s">
        <v>553</v>
      </c>
      <c r="F284" s="20" t="s">
        <v>638</v>
      </c>
      <c r="G284" s="20" t="s">
        <v>874</v>
      </c>
      <c r="H284" s="21">
        <v>44333</v>
      </c>
      <c r="I284" s="20">
        <v>5</v>
      </c>
      <c r="J284" s="20">
        <v>100</v>
      </c>
      <c r="K284" s="20">
        <v>19.505803416630801</v>
      </c>
      <c r="L284" s="20" t="s">
        <v>490</v>
      </c>
      <c r="M284" s="20" t="s">
        <v>8</v>
      </c>
      <c r="N284" s="20">
        <f t="shared" si="4"/>
        <v>975.29017083154008</v>
      </c>
      <c r="O284" s="20" t="s">
        <v>451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</row>
    <row r="285" spans="1:119" s="22" customFormat="1" ht="16" customHeight="1" x14ac:dyDescent="0.2">
      <c r="A285" s="20">
        <v>137</v>
      </c>
      <c r="B285" s="20" t="s">
        <v>551</v>
      </c>
      <c r="C285" s="20" t="s">
        <v>870</v>
      </c>
      <c r="D285" s="20" t="s">
        <v>871</v>
      </c>
      <c r="E285" s="20" t="s">
        <v>553</v>
      </c>
      <c r="F285" s="20" t="s">
        <v>638</v>
      </c>
      <c r="G285" s="20" t="s">
        <v>874</v>
      </c>
      <c r="H285" s="21">
        <v>44333</v>
      </c>
      <c r="I285" s="20">
        <v>5</v>
      </c>
      <c r="J285" s="20">
        <v>100</v>
      </c>
      <c r="K285" s="20">
        <v>24.675869340197501</v>
      </c>
      <c r="L285" s="20" t="s">
        <v>490</v>
      </c>
      <c r="M285" s="20" t="s">
        <v>8</v>
      </c>
      <c r="N285" s="20">
        <f t="shared" si="4"/>
        <v>1233.793467009875</v>
      </c>
      <c r="O285" s="20" t="s">
        <v>451</v>
      </c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</row>
    <row r="286" spans="1:119" s="22" customFormat="1" ht="16" customHeight="1" x14ac:dyDescent="0.2">
      <c r="A286" s="22">
        <v>143</v>
      </c>
      <c r="B286" s="22" t="s">
        <v>555</v>
      </c>
      <c r="C286" s="22" t="s">
        <v>870</v>
      </c>
      <c r="D286" s="22" t="s">
        <v>875</v>
      </c>
      <c r="E286" s="22" t="s">
        <v>553</v>
      </c>
      <c r="F286" s="22" t="s">
        <v>638</v>
      </c>
      <c r="G286" s="22" t="s">
        <v>876</v>
      </c>
      <c r="H286" s="23">
        <v>44333</v>
      </c>
      <c r="I286" s="22">
        <v>5</v>
      </c>
      <c r="J286" s="22">
        <v>100</v>
      </c>
      <c r="K286" s="22">
        <v>26.2151827697115</v>
      </c>
      <c r="L286" s="22" t="s">
        <v>490</v>
      </c>
      <c r="M286" s="22" t="s">
        <v>8</v>
      </c>
      <c r="N286" s="22">
        <f t="shared" si="4"/>
        <v>1310.759138485575</v>
      </c>
      <c r="O286" s="22" t="s">
        <v>451</v>
      </c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</row>
    <row r="287" spans="1:119" s="22" customFormat="1" ht="16" customHeight="1" x14ac:dyDescent="0.2">
      <c r="A287" s="22">
        <v>149</v>
      </c>
      <c r="B287" s="22" t="s">
        <v>555</v>
      </c>
      <c r="C287" s="22" t="s">
        <v>870</v>
      </c>
      <c r="D287" s="22" t="s">
        <v>875</v>
      </c>
      <c r="E287" s="22" t="s">
        <v>553</v>
      </c>
      <c r="F287" s="22" t="s">
        <v>638</v>
      </c>
      <c r="G287" s="22" t="s">
        <v>876</v>
      </c>
      <c r="H287" s="23">
        <v>44333</v>
      </c>
      <c r="I287" s="22">
        <v>5</v>
      </c>
      <c r="J287" s="22">
        <v>100</v>
      </c>
      <c r="K287" s="22">
        <v>20.082396221663199</v>
      </c>
      <c r="L287" s="22" t="s">
        <v>490</v>
      </c>
      <c r="M287" s="22" t="s">
        <v>8</v>
      </c>
      <c r="N287" s="22">
        <f t="shared" si="4"/>
        <v>1004.11981108316</v>
      </c>
      <c r="O287" s="22" t="s">
        <v>451</v>
      </c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</row>
    <row r="288" spans="1:119" s="22" customFormat="1" ht="16" customHeight="1" x14ac:dyDescent="0.2">
      <c r="A288" s="22">
        <v>155</v>
      </c>
      <c r="B288" s="22" t="s">
        <v>555</v>
      </c>
      <c r="C288" s="22" t="s">
        <v>870</v>
      </c>
      <c r="D288" s="22" t="s">
        <v>875</v>
      </c>
      <c r="E288" s="22" t="s">
        <v>553</v>
      </c>
      <c r="F288" s="22" t="s">
        <v>638</v>
      </c>
      <c r="G288" s="22" t="s">
        <v>876</v>
      </c>
      <c r="H288" s="23">
        <v>44333</v>
      </c>
      <c r="I288" s="22">
        <v>5</v>
      </c>
      <c r="J288" s="22">
        <v>100</v>
      </c>
      <c r="K288" s="22">
        <v>11.6193152065786</v>
      </c>
      <c r="L288" s="22" t="s">
        <v>490</v>
      </c>
      <c r="M288" s="22" t="s">
        <v>8</v>
      </c>
      <c r="N288" s="22">
        <f t="shared" si="4"/>
        <v>580.96576032892995</v>
      </c>
      <c r="O288" s="22" t="s">
        <v>451</v>
      </c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</row>
    <row r="289" spans="1:119" s="22" customFormat="1" ht="16" customHeight="1" x14ac:dyDescent="0.2">
      <c r="A289" s="22">
        <v>126</v>
      </c>
      <c r="B289" s="22" t="s">
        <v>555</v>
      </c>
      <c r="C289" s="22" t="s">
        <v>870</v>
      </c>
      <c r="D289" s="22" t="s">
        <v>875</v>
      </c>
      <c r="E289" s="22" t="s">
        <v>553</v>
      </c>
      <c r="F289" s="22" t="s">
        <v>638</v>
      </c>
      <c r="G289" s="22" t="s">
        <v>877</v>
      </c>
      <c r="H289" s="23">
        <v>44333</v>
      </c>
      <c r="I289" s="22">
        <v>5</v>
      </c>
      <c r="J289" s="22">
        <v>100</v>
      </c>
      <c r="K289" s="22">
        <v>0</v>
      </c>
      <c r="L289" s="22" t="s">
        <v>490</v>
      </c>
      <c r="M289" s="22" t="s">
        <v>8</v>
      </c>
      <c r="N289" s="22">
        <f t="shared" si="4"/>
        <v>0</v>
      </c>
      <c r="O289" s="22" t="s">
        <v>451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</row>
    <row r="290" spans="1:119" s="20" customFormat="1" ht="16" customHeight="1" x14ac:dyDescent="0.2">
      <c r="A290" s="22">
        <v>132</v>
      </c>
      <c r="B290" s="22" t="s">
        <v>555</v>
      </c>
      <c r="C290" s="22" t="s">
        <v>870</v>
      </c>
      <c r="D290" s="22" t="s">
        <v>875</v>
      </c>
      <c r="E290" s="22" t="s">
        <v>553</v>
      </c>
      <c r="F290" s="22" t="s">
        <v>638</v>
      </c>
      <c r="G290" s="22" t="s">
        <v>877</v>
      </c>
      <c r="H290" s="23">
        <v>44333</v>
      </c>
      <c r="I290" s="22">
        <v>5</v>
      </c>
      <c r="J290" s="22">
        <v>100</v>
      </c>
      <c r="K290" s="22">
        <v>0</v>
      </c>
      <c r="L290" s="22" t="s">
        <v>490</v>
      </c>
      <c r="M290" s="22" t="s">
        <v>8</v>
      </c>
      <c r="N290" s="22">
        <f t="shared" si="4"/>
        <v>0</v>
      </c>
      <c r="O290" s="22" t="s">
        <v>451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</row>
    <row r="291" spans="1:119" s="20" customFormat="1" ht="16" customHeight="1" x14ac:dyDescent="0.2">
      <c r="A291" s="22">
        <v>138</v>
      </c>
      <c r="B291" s="22" t="s">
        <v>555</v>
      </c>
      <c r="C291" s="22" t="s">
        <v>870</v>
      </c>
      <c r="D291" s="22" t="s">
        <v>875</v>
      </c>
      <c r="E291" s="22" t="s">
        <v>553</v>
      </c>
      <c r="F291" s="22" t="s">
        <v>638</v>
      </c>
      <c r="G291" s="22" t="s">
        <v>877</v>
      </c>
      <c r="H291" s="23">
        <v>44333</v>
      </c>
      <c r="I291" s="22">
        <v>5</v>
      </c>
      <c r="J291" s="22">
        <v>100</v>
      </c>
      <c r="K291" s="22">
        <v>0</v>
      </c>
      <c r="L291" s="22" t="s">
        <v>490</v>
      </c>
      <c r="M291" s="22" t="s">
        <v>8</v>
      </c>
      <c r="N291" s="22">
        <f t="shared" si="4"/>
        <v>0</v>
      </c>
      <c r="O291" s="22" t="s">
        <v>451</v>
      </c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</row>
    <row r="292" spans="1:119" s="20" customFormat="1" ht="16" customHeight="1" x14ac:dyDescent="0.2">
      <c r="A292" s="22">
        <v>144</v>
      </c>
      <c r="B292" s="22" t="s">
        <v>555</v>
      </c>
      <c r="C292" s="22" t="s">
        <v>870</v>
      </c>
      <c r="D292" s="22" t="s">
        <v>875</v>
      </c>
      <c r="E292" s="22" t="s">
        <v>553</v>
      </c>
      <c r="F292" s="22" t="s">
        <v>638</v>
      </c>
      <c r="G292" s="22" t="s">
        <v>878</v>
      </c>
      <c r="H292" s="23">
        <v>44333</v>
      </c>
      <c r="I292" s="22">
        <v>5</v>
      </c>
      <c r="J292" s="22">
        <v>100</v>
      </c>
      <c r="K292" s="22">
        <v>6.8547229557538998</v>
      </c>
      <c r="L292" s="22" t="s">
        <v>490</v>
      </c>
      <c r="M292" s="22" t="s">
        <v>8</v>
      </c>
      <c r="N292" s="22">
        <f t="shared" si="4"/>
        <v>342.73614778769502</v>
      </c>
      <c r="O292" s="22" t="s">
        <v>451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</row>
    <row r="293" spans="1:119" s="20" customFormat="1" ht="16" customHeight="1" x14ac:dyDescent="0.2">
      <c r="A293" s="22">
        <v>150</v>
      </c>
      <c r="B293" s="22" t="s">
        <v>555</v>
      </c>
      <c r="C293" s="22" t="s">
        <v>870</v>
      </c>
      <c r="D293" s="22" t="s">
        <v>875</v>
      </c>
      <c r="E293" s="22" t="s">
        <v>553</v>
      </c>
      <c r="F293" s="22" t="s">
        <v>638</v>
      </c>
      <c r="G293" s="22" t="s">
        <v>878</v>
      </c>
      <c r="H293" s="23">
        <v>44333</v>
      </c>
      <c r="I293" s="22">
        <v>5</v>
      </c>
      <c r="J293" s="22">
        <v>100</v>
      </c>
      <c r="K293" s="22">
        <v>9.7854270548647193</v>
      </c>
      <c r="L293" s="22" t="s">
        <v>490</v>
      </c>
      <c r="M293" s="22" t="s">
        <v>8</v>
      </c>
      <c r="N293" s="22">
        <f t="shared" si="4"/>
        <v>489.27135274323598</v>
      </c>
      <c r="O293" s="22" t="s">
        <v>451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</row>
    <row r="294" spans="1:119" s="20" customFormat="1" ht="16" customHeight="1" x14ac:dyDescent="0.2">
      <c r="A294" s="22">
        <v>156</v>
      </c>
      <c r="B294" s="22" t="s">
        <v>555</v>
      </c>
      <c r="C294" s="22" t="s">
        <v>870</v>
      </c>
      <c r="D294" s="22" t="s">
        <v>875</v>
      </c>
      <c r="E294" s="22" t="s">
        <v>553</v>
      </c>
      <c r="F294" s="22" t="s">
        <v>638</v>
      </c>
      <c r="G294" s="22" t="s">
        <v>878</v>
      </c>
      <c r="H294" s="23">
        <v>44333</v>
      </c>
      <c r="I294" s="22">
        <v>5</v>
      </c>
      <c r="J294" s="22">
        <v>100</v>
      </c>
      <c r="K294" s="22">
        <v>2.2530658453501999</v>
      </c>
      <c r="L294" s="22" t="s">
        <v>490</v>
      </c>
      <c r="M294" s="22" t="s">
        <v>8</v>
      </c>
      <c r="N294" s="22">
        <f t="shared" si="4"/>
        <v>112.65329226751</v>
      </c>
      <c r="O294" s="22" t="s">
        <v>451</v>
      </c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</row>
    <row r="295" spans="1:119" s="20" customFormat="1" ht="16" customHeight="1" x14ac:dyDescent="0.2">
      <c r="A295" s="20">
        <v>178</v>
      </c>
      <c r="B295" s="20" t="s">
        <v>557</v>
      </c>
      <c r="C295" s="20" t="s">
        <v>879</v>
      </c>
      <c r="D295" s="20" t="s">
        <v>880</v>
      </c>
      <c r="E295" s="20" t="s">
        <v>559</v>
      </c>
      <c r="F295" s="20" t="s">
        <v>638</v>
      </c>
      <c r="G295" s="20" t="s">
        <v>881</v>
      </c>
      <c r="H295" s="21">
        <v>44334</v>
      </c>
      <c r="I295" s="20">
        <v>5</v>
      </c>
      <c r="J295" s="20">
        <v>100</v>
      </c>
      <c r="K295" s="20">
        <v>25.354277210612899</v>
      </c>
      <c r="L295" s="20" t="s">
        <v>490</v>
      </c>
      <c r="M295" s="20" t="s">
        <v>8</v>
      </c>
      <c r="N295" s="20">
        <f t="shared" si="4"/>
        <v>1267.713860530645</v>
      </c>
      <c r="O295" s="20" t="s">
        <v>451</v>
      </c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</row>
    <row r="296" spans="1:119" s="20" customFormat="1" ht="16" customHeight="1" x14ac:dyDescent="0.2">
      <c r="A296" s="20">
        <v>185</v>
      </c>
      <c r="B296" s="20" t="s">
        <v>557</v>
      </c>
      <c r="C296" s="20" t="s">
        <v>879</v>
      </c>
      <c r="D296" s="20" t="s">
        <v>880</v>
      </c>
      <c r="E296" s="20" t="s">
        <v>559</v>
      </c>
      <c r="F296" s="20" t="s">
        <v>638</v>
      </c>
      <c r="G296" s="20" t="s">
        <v>881</v>
      </c>
      <c r="H296" s="21">
        <v>44334</v>
      </c>
      <c r="I296" s="20">
        <v>5</v>
      </c>
      <c r="J296" s="20">
        <v>100</v>
      </c>
      <c r="K296" s="20">
        <v>30.5446777339879</v>
      </c>
      <c r="L296" s="20" t="s">
        <v>490</v>
      </c>
      <c r="M296" s="20" t="s">
        <v>8</v>
      </c>
      <c r="N296" s="20">
        <f t="shared" si="4"/>
        <v>1527.233886699395</v>
      </c>
      <c r="O296" s="20" t="s">
        <v>451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</row>
    <row r="297" spans="1:119" s="20" customFormat="1" ht="16" customHeight="1" x14ac:dyDescent="0.2">
      <c r="A297" s="20">
        <v>192</v>
      </c>
      <c r="B297" s="20" t="s">
        <v>557</v>
      </c>
      <c r="C297" s="20" t="s">
        <v>879</v>
      </c>
      <c r="D297" s="20" t="s">
        <v>880</v>
      </c>
      <c r="E297" s="20" t="s">
        <v>559</v>
      </c>
      <c r="F297" s="20" t="s">
        <v>638</v>
      </c>
      <c r="G297" s="20" t="s">
        <v>881</v>
      </c>
      <c r="H297" s="21">
        <v>44334</v>
      </c>
      <c r="I297" s="20">
        <v>5</v>
      </c>
      <c r="J297" s="20">
        <v>100</v>
      </c>
      <c r="K297" s="20">
        <v>41.958838764997701</v>
      </c>
      <c r="L297" s="20" t="s">
        <v>490</v>
      </c>
      <c r="M297" s="20" t="s">
        <v>8</v>
      </c>
      <c r="N297" s="20">
        <f t="shared" si="4"/>
        <v>2097.941938249885</v>
      </c>
      <c r="O297" s="20" t="s">
        <v>451</v>
      </c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</row>
    <row r="298" spans="1:119" s="20" customFormat="1" ht="16" customHeight="1" x14ac:dyDescent="0.2">
      <c r="A298" s="20">
        <v>160</v>
      </c>
      <c r="B298" s="20" t="s">
        <v>557</v>
      </c>
      <c r="C298" s="20" t="s">
        <v>879</v>
      </c>
      <c r="D298" s="20" t="s">
        <v>880</v>
      </c>
      <c r="E298" s="20" t="s">
        <v>559</v>
      </c>
      <c r="F298" s="20" t="s">
        <v>638</v>
      </c>
      <c r="G298" s="20" t="s">
        <v>882</v>
      </c>
      <c r="H298" s="21">
        <v>44334</v>
      </c>
      <c r="I298" s="20">
        <v>5</v>
      </c>
      <c r="J298" s="20">
        <v>100</v>
      </c>
      <c r="K298" s="20">
        <v>94.145026702683793</v>
      </c>
      <c r="L298" s="20" t="s">
        <v>490</v>
      </c>
      <c r="M298" s="20" t="s">
        <v>8</v>
      </c>
      <c r="N298" s="20">
        <f t="shared" si="4"/>
        <v>4707.2513351341895</v>
      </c>
      <c r="O298" s="20" t="s">
        <v>451</v>
      </c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</row>
    <row r="299" spans="1:119" s="22" customFormat="1" ht="16" customHeight="1" x14ac:dyDescent="0.2">
      <c r="A299" s="20">
        <v>166</v>
      </c>
      <c r="B299" s="20" t="s">
        <v>557</v>
      </c>
      <c r="C299" s="20" t="s">
        <v>879</v>
      </c>
      <c r="D299" s="20" t="s">
        <v>880</v>
      </c>
      <c r="E299" s="20" t="s">
        <v>559</v>
      </c>
      <c r="F299" s="20" t="s">
        <v>638</v>
      </c>
      <c r="G299" s="20" t="s">
        <v>882</v>
      </c>
      <c r="H299" s="21">
        <v>44334</v>
      </c>
      <c r="I299" s="20">
        <v>5</v>
      </c>
      <c r="J299" s="20">
        <v>100</v>
      </c>
      <c r="K299" s="20">
        <v>77.320730045357905</v>
      </c>
      <c r="L299" s="20" t="s">
        <v>490</v>
      </c>
      <c r="M299" s="20" t="s">
        <v>8</v>
      </c>
      <c r="N299" s="20">
        <f t="shared" si="4"/>
        <v>3866.0365022678952</v>
      </c>
      <c r="O299" s="20" t="s">
        <v>451</v>
      </c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</row>
    <row r="300" spans="1:119" s="22" customFormat="1" ht="16" customHeight="1" x14ac:dyDescent="0.2">
      <c r="A300" s="20">
        <v>172</v>
      </c>
      <c r="B300" s="20" t="s">
        <v>557</v>
      </c>
      <c r="C300" s="20" t="s">
        <v>879</v>
      </c>
      <c r="D300" s="20" t="s">
        <v>880</v>
      </c>
      <c r="E300" s="20" t="s">
        <v>559</v>
      </c>
      <c r="F300" s="20" t="s">
        <v>638</v>
      </c>
      <c r="G300" s="20" t="s">
        <v>882</v>
      </c>
      <c r="H300" s="21">
        <v>44334</v>
      </c>
      <c r="I300" s="20">
        <v>5</v>
      </c>
      <c r="J300" s="20">
        <v>100</v>
      </c>
      <c r="K300" s="20">
        <v>76.989645163821294</v>
      </c>
      <c r="L300" s="20" t="s">
        <v>490</v>
      </c>
      <c r="M300" s="20" t="s">
        <v>8</v>
      </c>
      <c r="N300" s="20">
        <f t="shared" si="4"/>
        <v>3849.4822581910648</v>
      </c>
      <c r="O300" s="20" t="s">
        <v>451</v>
      </c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</row>
    <row r="301" spans="1:119" s="22" customFormat="1" ht="16" customHeight="1" x14ac:dyDescent="0.2">
      <c r="A301" s="20">
        <v>179</v>
      </c>
      <c r="B301" s="20" t="s">
        <v>557</v>
      </c>
      <c r="C301" s="20" t="s">
        <v>879</v>
      </c>
      <c r="D301" s="20" t="s">
        <v>880</v>
      </c>
      <c r="E301" s="20" t="s">
        <v>559</v>
      </c>
      <c r="F301" s="20" t="s">
        <v>638</v>
      </c>
      <c r="G301" s="20" t="s">
        <v>883</v>
      </c>
      <c r="H301" s="21">
        <v>44334</v>
      </c>
      <c r="I301" s="20">
        <v>5</v>
      </c>
      <c r="J301" s="20">
        <v>100</v>
      </c>
      <c r="K301" s="20">
        <v>55.696925374247897</v>
      </c>
      <c r="L301" s="20" t="s">
        <v>490</v>
      </c>
      <c r="M301" s="20" t="s">
        <v>8</v>
      </c>
      <c r="N301" s="20">
        <f t="shared" si="4"/>
        <v>2784.8462687123947</v>
      </c>
      <c r="O301" s="20" t="s">
        <v>451</v>
      </c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</row>
    <row r="302" spans="1:119" s="22" customFormat="1" ht="16" customHeight="1" x14ac:dyDescent="0.2">
      <c r="A302" s="20">
        <v>186</v>
      </c>
      <c r="B302" s="20" t="s">
        <v>557</v>
      </c>
      <c r="C302" s="20" t="s">
        <v>879</v>
      </c>
      <c r="D302" s="20" t="s">
        <v>880</v>
      </c>
      <c r="E302" s="20" t="s">
        <v>559</v>
      </c>
      <c r="F302" s="20" t="s">
        <v>638</v>
      </c>
      <c r="G302" s="20" t="s">
        <v>883</v>
      </c>
      <c r="H302" s="21">
        <v>44334</v>
      </c>
      <c r="I302" s="20">
        <v>5</v>
      </c>
      <c r="J302" s="20">
        <v>100</v>
      </c>
      <c r="K302" s="20">
        <v>54.290567239200499</v>
      </c>
      <c r="L302" s="20" t="s">
        <v>490</v>
      </c>
      <c r="M302" s="20" t="s">
        <v>8</v>
      </c>
      <c r="N302" s="20">
        <f t="shared" si="4"/>
        <v>2714.528361960025</v>
      </c>
      <c r="O302" s="20" t="s">
        <v>451</v>
      </c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</row>
    <row r="303" spans="1:119" s="22" customFormat="1" ht="16" customHeight="1" x14ac:dyDescent="0.2">
      <c r="A303" s="20">
        <v>193</v>
      </c>
      <c r="B303" s="20" t="s">
        <v>557</v>
      </c>
      <c r="C303" s="20" t="s">
        <v>879</v>
      </c>
      <c r="D303" s="20" t="s">
        <v>880</v>
      </c>
      <c r="E303" s="20" t="s">
        <v>559</v>
      </c>
      <c r="F303" s="20" t="s">
        <v>638</v>
      </c>
      <c r="G303" s="20" t="s">
        <v>883</v>
      </c>
      <c r="H303" s="21">
        <v>44334</v>
      </c>
      <c r="I303" s="20">
        <v>5</v>
      </c>
      <c r="J303" s="20">
        <v>100</v>
      </c>
      <c r="K303" s="20">
        <v>37.099597330314303</v>
      </c>
      <c r="L303" s="20" t="s">
        <v>490</v>
      </c>
      <c r="M303" s="20" t="s">
        <v>8</v>
      </c>
      <c r="N303" s="20">
        <f t="shared" si="4"/>
        <v>1854.9798665157152</v>
      </c>
      <c r="O303" s="20" t="s">
        <v>451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</row>
    <row r="304" spans="1:119" s="22" customFormat="1" ht="16" customHeight="1" x14ac:dyDescent="0.2">
      <c r="A304" s="22">
        <v>161</v>
      </c>
      <c r="B304" s="22" t="s">
        <v>561</v>
      </c>
      <c r="C304" s="22" t="s">
        <v>879</v>
      </c>
      <c r="D304" s="22" t="s">
        <v>884</v>
      </c>
      <c r="E304" s="22" t="s">
        <v>559</v>
      </c>
      <c r="F304" s="22" t="s">
        <v>638</v>
      </c>
      <c r="G304" s="22" t="s">
        <v>885</v>
      </c>
      <c r="H304" s="23">
        <v>44334</v>
      </c>
      <c r="I304" s="22">
        <v>5</v>
      </c>
      <c r="J304" s="22">
        <v>100</v>
      </c>
      <c r="K304" s="22">
        <v>0</v>
      </c>
      <c r="L304" s="22" t="s">
        <v>490</v>
      </c>
      <c r="M304" s="22" t="s">
        <v>8</v>
      </c>
      <c r="N304" s="22">
        <f t="shared" si="4"/>
        <v>0</v>
      </c>
      <c r="O304" s="22" t="s">
        <v>750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</row>
    <row r="305" spans="1:119" s="22" customFormat="1" ht="16" customHeight="1" x14ac:dyDescent="0.2">
      <c r="A305" s="22">
        <v>167</v>
      </c>
      <c r="B305" s="22" t="s">
        <v>561</v>
      </c>
      <c r="C305" s="22" t="s">
        <v>879</v>
      </c>
      <c r="D305" s="22" t="s">
        <v>884</v>
      </c>
      <c r="E305" s="22" t="s">
        <v>559</v>
      </c>
      <c r="F305" s="22" t="s">
        <v>638</v>
      </c>
      <c r="G305" s="22" t="s">
        <v>885</v>
      </c>
      <c r="H305" s="23">
        <v>44334</v>
      </c>
      <c r="I305" s="22">
        <v>5</v>
      </c>
      <c r="J305" s="22">
        <v>100</v>
      </c>
      <c r="K305" s="22">
        <v>0</v>
      </c>
      <c r="L305" s="22" t="s">
        <v>490</v>
      </c>
      <c r="M305" s="22" t="s">
        <v>8</v>
      </c>
      <c r="N305" s="22">
        <f t="shared" si="4"/>
        <v>0</v>
      </c>
      <c r="O305" s="22" t="s">
        <v>750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</row>
    <row r="306" spans="1:119" s="22" customFormat="1" ht="16" customHeight="1" x14ac:dyDescent="0.2">
      <c r="A306" s="22">
        <v>173</v>
      </c>
      <c r="B306" s="22" t="s">
        <v>561</v>
      </c>
      <c r="C306" s="22" t="s">
        <v>879</v>
      </c>
      <c r="D306" s="22" t="s">
        <v>884</v>
      </c>
      <c r="E306" s="22" t="s">
        <v>559</v>
      </c>
      <c r="F306" s="22" t="s">
        <v>638</v>
      </c>
      <c r="G306" s="22" t="s">
        <v>885</v>
      </c>
      <c r="H306" s="23">
        <v>44334</v>
      </c>
      <c r="I306" s="22">
        <v>5</v>
      </c>
      <c r="J306" s="22">
        <v>100</v>
      </c>
      <c r="K306" s="22">
        <v>0</v>
      </c>
      <c r="L306" s="22" t="s">
        <v>490</v>
      </c>
      <c r="M306" s="22" t="s">
        <v>8</v>
      </c>
      <c r="N306" s="22">
        <f t="shared" si="4"/>
        <v>0</v>
      </c>
      <c r="O306" s="22" t="s">
        <v>750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</row>
    <row r="307" spans="1:119" s="22" customFormat="1" ht="16" customHeight="1" x14ac:dyDescent="0.2">
      <c r="A307" s="20">
        <v>180</v>
      </c>
      <c r="B307" s="20" t="s">
        <v>563</v>
      </c>
      <c r="C307" s="20" t="s">
        <v>879</v>
      </c>
      <c r="D307" s="20" t="s">
        <v>886</v>
      </c>
      <c r="E307" s="20" t="s">
        <v>559</v>
      </c>
      <c r="F307" s="20" t="s">
        <v>638</v>
      </c>
      <c r="G307" s="20" t="s">
        <v>887</v>
      </c>
      <c r="H307" s="21">
        <v>44334</v>
      </c>
      <c r="I307" s="20">
        <v>5</v>
      </c>
      <c r="J307" s="20">
        <v>80</v>
      </c>
      <c r="K307" s="20">
        <v>112.36941032877399</v>
      </c>
      <c r="L307" s="20" t="s">
        <v>490</v>
      </c>
      <c r="M307" s="20" t="s">
        <v>8</v>
      </c>
      <c r="N307" s="20">
        <f t="shared" si="4"/>
        <v>7023.0881455483741</v>
      </c>
      <c r="O307" s="20" t="s">
        <v>750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</row>
    <row r="308" spans="1:119" s="20" customFormat="1" ht="16" customHeight="1" x14ac:dyDescent="0.2">
      <c r="A308" s="20">
        <v>187</v>
      </c>
      <c r="B308" s="20" t="s">
        <v>563</v>
      </c>
      <c r="C308" s="20" t="s">
        <v>879</v>
      </c>
      <c r="D308" s="20" t="s">
        <v>886</v>
      </c>
      <c r="E308" s="20" t="s">
        <v>559</v>
      </c>
      <c r="F308" s="20" t="s">
        <v>638</v>
      </c>
      <c r="G308" s="20" t="s">
        <v>887</v>
      </c>
      <c r="H308" s="21">
        <v>44334</v>
      </c>
      <c r="I308" s="20">
        <v>5</v>
      </c>
      <c r="J308" s="20">
        <v>80</v>
      </c>
      <c r="K308" s="20">
        <v>113.56110087499999</v>
      </c>
      <c r="L308" s="20" t="s">
        <v>490</v>
      </c>
      <c r="M308" s="20" t="s">
        <v>8</v>
      </c>
      <c r="N308" s="20">
        <f t="shared" si="4"/>
        <v>7097.5688046874993</v>
      </c>
      <c r="O308" s="20" t="s">
        <v>750</v>
      </c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</row>
    <row r="309" spans="1:119" s="20" customFormat="1" ht="16" customHeight="1" x14ac:dyDescent="0.2">
      <c r="A309" s="20">
        <v>194</v>
      </c>
      <c r="B309" s="20" t="s">
        <v>563</v>
      </c>
      <c r="C309" s="20" t="s">
        <v>879</v>
      </c>
      <c r="D309" s="20" t="s">
        <v>886</v>
      </c>
      <c r="E309" s="20" t="s">
        <v>559</v>
      </c>
      <c r="F309" s="20" t="s">
        <v>638</v>
      </c>
      <c r="G309" s="20" t="s">
        <v>887</v>
      </c>
      <c r="H309" s="21">
        <v>44334</v>
      </c>
      <c r="I309" s="20">
        <v>5</v>
      </c>
      <c r="J309" s="20">
        <v>80</v>
      </c>
      <c r="K309" s="20">
        <v>193.56024971328</v>
      </c>
      <c r="L309" s="20" t="s">
        <v>490</v>
      </c>
      <c r="M309" s="20" t="s">
        <v>8</v>
      </c>
      <c r="N309" s="20">
        <f t="shared" si="4"/>
        <v>12097.51560708</v>
      </c>
      <c r="O309" s="20" t="s">
        <v>750</v>
      </c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</row>
    <row r="310" spans="1:119" s="20" customFormat="1" ht="16" customHeight="1" x14ac:dyDescent="0.2">
      <c r="A310" s="22">
        <v>197</v>
      </c>
      <c r="B310" s="22" t="s">
        <v>565</v>
      </c>
      <c r="C310" s="22" t="s">
        <v>888</v>
      </c>
      <c r="D310" s="22" t="s">
        <v>889</v>
      </c>
      <c r="E310" s="22" t="s">
        <v>568</v>
      </c>
      <c r="F310" s="22" t="s">
        <v>638</v>
      </c>
      <c r="G310" s="22" t="s">
        <v>890</v>
      </c>
      <c r="H310" s="23">
        <v>44335</v>
      </c>
      <c r="I310" s="22">
        <v>5</v>
      </c>
      <c r="J310" s="22">
        <v>100</v>
      </c>
      <c r="K310" s="22">
        <v>51.220246250473899</v>
      </c>
      <c r="L310" s="22" t="s">
        <v>490</v>
      </c>
      <c r="M310" s="22" t="s">
        <v>8</v>
      </c>
      <c r="N310" s="22">
        <f t="shared" si="4"/>
        <v>2561.0123125236946</v>
      </c>
      <c r="O310" s="22" t="s">
        <v>451</v>
      </c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</row>
    <row r="311" spans="1:119" s="20" customFormat="1" ht="16" customHeight="1" x14ac:dyDescent="0.2">
      <c r="A311" s="22">
        <v>204</v>
      </c>
      <c r="B311" s="22" t="s">
        <v>565</v>
      </c>
      <c r="C311" s="22" t="s">
        <v>888</v>
      </c>
      <c r="D311" s="22" t="s">
        <v>889</v>
      </c>
      <c r="E311" s="22" t="s">
        <v>568</v>
      </c>
      <c r="F311" s="22" t="s">
        <v>638</v>
      </c>
      <c r="G311" s="22" t="s">
        <v>890</v>
      </c>
      <c r="H311" s="23">
        <v>44335</v>
      </c>
      <c r="I311" s="22">
        <v>5</v>
      </c>
      <c r="J311" s="22">
        <v>100</v>
      </c>
      <c r="K311" s="22">
        <v>40.299662958174899</v>
      </c>
      <c r="L311" s="22" t="s">
        <v>490</v>
      </c>
      <c r="M311" s="22" t="s">
        <v>8</v>
      </c>
      <c r="N311" s="22">
        <f t="shared" si="4"/>
        <v>2014.983147908745</v>
      </c>
      <c r="O311" s="22" t="s">
        <v>451</v>
      </c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</row>
    <row r="312" spans="1:119" s="20" customFormat="1" ht="16" customHeight="1" x14ac:dyDescent="0.2">
      <c r="A312" s="22">
        <v>211</v>
      </c>
      <c r="B312" s="22" t="s">
        <v>565</v>
      </c>
      <c r="C312" s="22" t="s">
        <v>888</v>
      </c>
      <c r="D312" s="22" t="s">
        <v>889</v>
      </c>
      <c r="E312" s="22" t="s">
        <v>568</v>
      </c>
      <c r="F312" s="22" t="s">
        <v>638</v>
      </c>
      <c r="G312" s="22" t="s">
        <v>890</v>
      </c>
      <c r="H312" s="23">
        <v>44335</v>
      </c>
      <c r="I312" s="22">
        <v>5</v>
      </c>
      <c r="J312" s="22">
        <v>100</v>
      </c>
      <c r="K312" s="22">
        <v>84.641517185277607</v>
      </c>
      <c r="L312" s="22" t="s">
        <v>490</v>
      </c>
      <c r="M312" s="22" t="s">
        <v>8</v>
      </c>
      <c r="N312" s="22">
        <f t="shared" si="4"/>
        <v>4232.0758592638804</v>
      </c>
      <c r="O312" s="22" t="s">
        <v>451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</row>
    <row r="313" spans="1:119" s="20" customFormat="1" ht="16" customHeight="1" x14ac:dyDescent="0.2">
      <c r="A313" s="22">
        <v>217</v>
      </c>
      <c r="B313" s="22" t="s">
        <v>565</v>
      </c>
      <c r="C313" s="22" t="s">
        <v>888</v>
      </c>
      <c r="D313" s="22" t="s">
        <v>889</v>
      </c>
      <c r="E313" s="22" t="s">
        <v>568</v>
      </c>
      <c r="F313" s="22" t="s">
        <v>638</v>
      </c>
      <c r="G313" s="22" t="s">
        <v>891</v>
      </c>
      <c r="H313" s="23">
        <v>44335</v>
      </c>
      <c r="I313" s="22">
        <v>5</v>
      </c>
      <c r="J313" s="22">
        <v>100</v>
      </c>
      <c r="K313" s="22">
        <v>98.246999467592701</v>
      </c>
      <c r="L313" s="22" t="s">
        <v>490</v>
      </c>
      <c r="M313" s="22" t="s">
        <v>8</v>
      </c>
      <c r="N313" s="22">
        <f t="shared" si="4"/>
        <v>4912.3499733796343</v>
      </c>
      <c r="O313" s="22" t="s">
        <v>451</v>
      </c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</row>
    <row r="314" spans="1:119" s="20" customFormat="1" ht="16" customHeight="1" x14ac:dyDescent="0.2">
      <c r="A314" s="22">
        <v>223</v>
      </c>
      <c r="B314" s="22" t="s">
        <v>565</v>
      </c>
      <c r="C314" s="22" t="s">
        <v>888</v>
      </c>
      <c r="D314" s="22" t="s">
        <v>889</v>
      </c>
      <c r="E314" s="22" t="s">
        <v>568</v>
      </c>
      <c r="F314" s="22" t="s">
        <v>638</v>
      </c>
      <c r="G314" s="22" t="s">
        <v>891</v>
      </c>
      <c r="H314" s="23">
        <v>44335</v>
      </c>
      <c r="I314" s="22">
        <v>5</v>
      </c>
      <c r="J314" s="22">
        <v>100</v>
      </c>
      <c r="K314" s="22">
        <v>112.639175784556</v>
      </c>
      <c r="L314" s="22" t="s">
        <v>490</v>
      </c>
      <c r="M314" s="22" t="s">
        <v>8</v>
      </c>
      <c r="N314" s="22">
        <f t="shared" si="4"/>
        <v>5631.9587892278005</v>
      </c>
      <c r="O314" s="22" t="s">
        <v>451</v>
      </c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</row>
    <row r="315" spans="1:119" s="20" customFormat="1" ht="16" customHeight="1" x14ac:dyDescent="0.2">
      <c r="A315" s="22">
        <v>229</v>
      </c>
      <c r="B315" s="22" t="s">
        <v>565</v>
      </c>
      <c r="C315" s="22" t="s">
        <v>888</v>
      </c>
      <c r="D315" s="22" t="s">
        <v>889</v>
      </c>
      <c r="E315" s="22" t="s">
        <v>568</v>
      </c>
      <c r="F315" s="22" t="s">
        <v>638</v>
      </c>
      <c r="G315" s="22" t="s">
        <v>891</v>
      </c>
      <c r="H315" s="23">
        <v>44335</v>
      </c>
      <c r="I315" s="22">
        <v>5</v>
      </c>
      <c r="J315" s="22">
        <v>100</v>
      </c>
      <c r="K315" s="22">
        <v>78.443102279898</v>
      </c>
      <c r="L315" s="22" t="s">
        <v>490</v>
      </c>
      <c r="M315" s="22" t="s">
        <v>8</v>
      </c>
      <c r="N315" s="22">
        <f t="shared" si="4"/>
        <v>3922.1551139948997</v>
      </c>
      <c r="O315" s="22" t="s">
        <v>451</v>
      </c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</row>
    <row r="316" spans="1:119" s="20" customFormat="1" ht="16" customHeight="1" x14ac:dyDescent="0.2">
      <c r="A316" s="22">
        <v>198</v>
      </c>
      <c r="B316" s="22" t="s">
        <v>565</v>
      </c>
      <c r="C316" s="22" t="s">
        <v>888</v>
      </c>
      <c r="D316" s="22" t="s">
        <v>889</v>
      </c>
      <c r="E316" s="22" t="s">
        <v>568</v>
      </c>
      <c r="F316" s="22" t="s">
        <v>638</v>
      </c>
      <c r="G316" s="22" t="s">
        <v>892</v>
      </c>
      <c r="H316" s="23">
        <v>44335</v>
      </c>
      <c r="I316" s="22">
        <v>5</v>
      </c>
      <c r="J316" s="22">
        <v>100</v>
      </c>
      <c r="K316" s="22">
        <v>66.439306966398902</v>
      </c>
      <c r="L316" s="22" t="s">
        <v>490</v>
      </c>
      <c r="M316" s="22" t="s">
        <v>8</v>
      </c>
      <c r="N316" s="22">
        <f t="shared" si="4"/>
        <v>3321.9653483199454</v>
      </c>
      <c r="O316" s="22" t="s">
        <v>451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</row>
    <row r="317" spans="1:119" s="22" customFormat="1" ht="16" customHeight="1" x14ac:dyDescent="0.2">
      <c r="A317" s="22">
        <v>205</v>
      </c>
      <c r="B317" s="22" t="s">
        <v>565</v>
      </c>
      <c r="C317" s="22" t="s">
        <v>888</v>
      </c>
      <c r="D317" s="22" t="s">
        <v>889</v>
      </c>
      <c r="E317" s="22" t="s">
        <v>568</v>
      </c>
      <c r="F317" s="22" t="s">
        <v>638</v>
      </c>
      <c r="G317" s="22" t="s">
        <v>892</v>
      </c>
      <c r="H317" s="23">
        <v>44335</v>
      </c>
      <c r="I317" s="22">
        <v>5</v>
      </c>
      <c r="J317" s="22">
        <v>100</v>
      </c>
      <c r="K317" s="22">
        <v>46.789886047462403</v>
      </c>
      <c r="L317" s="22" t="s">
        <v>490</v>
      </c>
      <c r="M317" s="22" t="s">
        <v>8</v>
      </c>
      <c r="N317" s="22">
        <f t="shared" si="4"/>
        <v>2339.4943023731203</v>
      </c>
      <c r="O317" s="22" t="s">
        <v>451</v>
      </c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</row>
    <row r="318" spans="1:119" s="22" customFormat="1" ht="16" customHeight="1" x14ac:dyDescent="0.2">
      <c r="A318" s="22">
        <v>212</v>
      </c>
      <c r="B318" s="22" t="s">
        <v>565</v>
      </c>
      <c r="C318" s="22" t="s">
        <v>888</v>
      </c>
      <c r="D318" s="22" t="s">
        <v>889</v>
      </c>
      <c r="E318" s="22" t="s">
        <v>568</v>
      </c>
      <c r="F318" s="22" t="s">
        <v>638</v>
      </c>
      <c r="G318" s="22" t="s">
        <v>892</v>
      </c>
      <c r="H318" s="23">
        <v>44335</v>
      </c>
      <c r="I318" s="22">
        <v>5</v>
      </c>
      <c r="J318" s="22">
        <v>100</v>
      </c>
      <c r="K318" s="22">
        <v>55.259784276311898</v>
      </c>
      <c r="L318" s="22" t="s">
        <v>490</v>
      </c>
      <c r="M318" s="22" t="s">
        <v>8</v>
      </c>
      <c r="N318" s="22">
        <f t="shared" si="4"/>
        <v>2762.9892138155947</v>
      </c>
      <c r="O318" s="22" t="s">
        <v>451</v>
      </c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</row>
    <row r="319" spans="1:119" s="22" customFormat="1" ht="16" customHeight="1" x14ac:dyDescent="0.2">
      <c r="A319" s="20">
        <v>162</v>
      </c>
      <c r="B319" s="20" t="s">
        <v>570</v>
      </c>
      <c r="C319" s="20" t="s">
        <v>888</v>
      </c>
      <c r="D319" s="20" t="s">
        <v>893</v>
      </c>
      <c r="E319" s="20" t="s">
        <v>568</v>
      </c>
      <c r="F319" s="20" t="s">
        <v>638</v>
      </c>
      <c r="G319" s="20" t="s">
        <v>894</v>
      </c>
      <c r="H319" s="21">
        <v>44334</v>
      </c>
      <c r="I319" s="20">
        <v>5</v>
      </c>
      <c r="J319" s="20">
        <v>100</v>
      </c>
      <c r="K319" s="20">
        <v>58.146663689596998</v>
      </c>
      <c r="L319" s="20" t="s">
        <v>490</v>
      </c>
      <c r="M319" s="20" t="s">
        <v>8</v>
      </c>
      <c r="N319" s="20">
        <f t="shared" si="4"/>
        <v>2907.3331844798495</v>
      </c>
      <c r="O319" s="20" t="s">
        <v>451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</row>
    <row r="320" spans="1:119" s="22" customFormat="1" ht="16" customHeight="1" x14ac:dyDescent="0.2">
      <c r="A320" s="20">
        <v>168</v>
      </c>
      <c r="B320" s="20" t="s">
        <v>570</v>
      </c>
      <c r="C320" s="20" t="s">
        <v>888</v>
      </c>
      <c r="D320" s="20" t="s">
        <v>893</v>
      </c>
      <c r="E320" s="20" t="s">
        <v>568</v>
      </c>
      <c r="F320" s="20" t="s">
        <v>638</v>
      </c>
      <c r="G320" s="20" t="s">
        <v>894</v>
      </c>
      <c r="H320" s="21">
        <v>44334</v>
      </c>
      <c r="I320" s="20">
        <v>5</v>
      </c>
      <c r="J320" s="20">
        <v>100</v>
      </c>
      <c r="K320" s="20">
        <v>30.015858404094601</v>
      </c>
      <c r="L320" s="20" t="s">
        <v>490</v>
      </c>
      <c r="M320" s="20" t="s">
        <v>8</v>
      </c>
      <c r="N320" s="20">
        <f t="shared" si="4"/>
        <v>1500.7929202047303</v>
      </c>
      <c r="O320" s="20" t="s">
        <v>451</v>
      </c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</row>
    <row r="321" spans="1:119" s="22" customFormat="1" ht="16" customHeight="1" x14ac:dyDescent="0.2">
      <c r="A321" s="20">
        <v>174</v>
      </c>
      <c r="B321" s="20" t="s">
        <v>570</v>
      </c>
      <c r="C321" s="20" t="s">
        <v>888</v>
      </c>
      <c r="D321" s="20" t="s">
        <v>893</v>
      </c>
      <c r="E321" s="20" t="s">
        <v>568</v>
      </c>
      <c r="F321" s="20" t="s">
        <v>638</v>
      </c>
      <c r="G321" s="20" t="s">
        <v>894</v>
      </c>
      <c r="H321" s="21">
        <v>44334</v>
      </c>
      <c r="I321" s="20">
        <v>5</v>
      </c>
      <c r="J321" s="20">
        <v>100</v>
      </c>
      <c r="K321" s="20">
        <v>43.150296476514299</v>
      </c>
      <c r="L321" s="20" t="s">
        <v>490</v>
      </c>
      <c r="M321" s="20" t="s">
        <v>8</v>
      </c>
      <c r="N321" s="20">
        <f t="shared" si="4"/>
        <v>2157.5148238257152</v>
      </c>
      <c r="O321" s="20" t="s">
        <v>451</v>
      </c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</row>
    <row r="322" spans="1:119" s="22" customFormat="1" ht="16" customHeight="1" x14ac:dyDescent="0.2">
      <c r="A322" s="20">
        <v>181</v>
      </c>
      <c r="B322" s="20" t="s">
        <v>570</v>
      </c>
      <c r="C322" s="20" t="s">
        <v>888</v>
      </c>
      <c r="D322" s="20" t="s">
        <v>893</v>
      </c>
      <c r="E322" s="20" t="s">
        <v>568</v>
      </c>
      <c r="F322" s="20" t="s">
        <v>638</v>
      </c>
      <c r="G322" s="20" t="s">
        <v>895</v>
      </c>
      <c r="H322" s="21">
        <v>44334</v>
      </c>
      <c r="I322" s="20">
        <v>5</v>
      </c>
      <c r="J322" s="20">
        <v>100</v>
      </c>
      <c r="K322" s="20">
        <v>43.808648882613298</v>
      </c>
      <c r="L322" s="20" t="s">
        <v>490</v>
      </c>
      <c r="M322" s="20" t="s">
        <v>8</v>
      </c>
      <c r="N322" s="20">
        <f t="shared" si="4"/>
        <v>2190.4324441306649</v>
      </c>
      <c r="O322" s="20" t="s">
        <v>451</v>
      </c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</row>
    <row r="323" spans="1:119" s="22" customFormat="1" ht="16" customHeight="1" x14ac:dyDescent="0.2">
      <c r="A323" s="20">
        <v>188</v>
      </c>
      <c r="B323" s="20" t="s">
        <v>570</v>
      </c>
      <c r="C323" s="20" t="s">
        <v>888</v>
      </c>
      <c r="D323" s="20" t="s">
        <v>893</v>
      </c>
      <c r="E323" s="20" t="s">
        <v>568</v>
      </c>
      <c r="F323" s="20" t="s">
        <v>638</v>
      </c>
      <c r="G323" s="20" t="s">
        <v>895</v>
      </c>
      <c r="H323" s="21">
        <v>44334</v>
      </c>
      <c r="I323" s="20">
        <v>5</v>
      </c>
      <c r="J323" s="20">
        <v>100</v>
      </c>
      <c r="K323" s="20">
        <v>33.420750858923398</v>
      </c>
      <c r="L323" s="20" t="s">
        <v>490</v>
      </c>
      <c r="M323" s="20" t="s">
        <v>8</v>
      </c>
      <c r="N323" s="20">
        <f t="shared" si="4"/>
        <v>1671.0375429461697</v>
      </c>
      <c r="O323" s="20" t="s">
        <v>451</v>
      </c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</row>
    <row r="324" spans="1:119" s="22" customFormat="1" ht="16" customHeight="1" x14ac:dyDescent="0.2">
      <c r="A324" s="20">
        <v>195</v>
      </c>
      <c r="B324" s="20" t="s">
        <v>570</v>
      </c>
      <c r="C324" s="20" t="s">
        <v>888</v>
      </c>
      <c r="D324" s="20" t="s">
        <v>893</v>
      </c>
      <c r="E324" s="20" t="s">
        <v>568</v>
      </c>
      <c r="F324" s="20" t="s">
        <v>638</v>
      </c>
      <c r="G324" s="20" t="s">
        <v>895</v>
      </c>
      <c r="H324" s="21">
        <v>44334</v>
      </c>
      <c r="I324" s="20">
        <v>5</v>
      </c>
      <c r="J324" s="20">
        <v>100</v>
      </c>
      <c r="K324" s="20">
        <v>31.213548583702401</v>
      </c>
      <c r="L324" s="20" t="s">
        <v>490</v>
      </c>
      <c r="M324" s="20" t="s">
        <v>8</v>
      </c>
      <c r="N324" s="20">
        <f t="shared" ref="N324:N387" si="5">K324*I324*(1000/J324)</f>
        <v>1560.6774291851202</v>
      </c>
      <c r="O324" s="20" t="s">
        <v>451</v>
      </c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</row>
    <row r="325" spans="1:119" s="22" customFormat="1" ht="16" customHeight="1" x14ac:dyDescent="0.2">
      <c r="A325" s="20">
        <v>196</v>
      </c>
      <c r="B325" s="20" t="s">
        <v>570</v>
      </c>
      <c r="C325" s="20" t="s">
        <v>888</v>
      </c>
      <c r="D325" s="20" t="s">
        <v>893</v>
      </c>
      <c r="E325" s="20" t="s">
        <v>568</v>
      </c>
      <c r="F325" s="20" t="s">
        <v>638</v>
      </c>
      <c r="G325" s="20" t="s">
        <v>896</v>
      </c>
      <c r="H325" s="21">
        <v>44334</v>
      </c>
      <c r="I325" s="20">
        <v>5</v>
      </c>
      <c r="J325" s="20">
        <v>100</v>
      </c>
      <c r="K325" s="20">
        <v>32.243871252185301</v>
      </c>
      <c r="L325" s="20" t="s">
        <v>490</v>
      </c>
      <c r="M325" s="20" t="s">
        <v>8</v>
      </c>
      <c r="N325" s="20">
        <f t="shared" si="5"/>
        <v>1612.193562609265</v>
      </c>
      <c r="O325" s="20" t="s">
        <v>451</v>
      </c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</row>
    <row r="326" spans="1:119" s="22" customFormat="1" ht="16" customHeight="1" x14ac:dyDescent="0.2">
      <c r="A326" s="20">
        <v>203</v>
      </c>
      <c r="B326" s="20" t="s">
        <v>570</v>
      </c>
      <c r="C326" s="20" t="s">
        <v>888</v>
      </c>
      <c r="D326" s="20" t="s">
        <v>893</v>
      </c>
      <c r="E326" s="20" t="s">
        <v>568</v>
      </c>
      <c r="F326" s="20" t="s">
        <v>638</v>
      </c>
      <c r="G326" s="20" t="s">
        <v>896</v>
      </c>
      <c r="H326" s="21">
        <v>44334</v>
      </c>
      <c r="I326" s="20">
        <v>5</v>
      </c>
      <c r="J326" s="20">
        <v>100</v>
      </c>
      <c r="K326" s="20">
        <v>58.693503798715199</v>
      </c>
      <c r="L326" s="20" t="s">
        <v>490</v>
      </c>
      <c r="M326" s="20" t="s">
        <v>8</v>
      </c>
      <c r="N326" s="20">
        <f t="shared" si="5"/>
        <v>2934.67518993576</v>
      </c>
      <c r="O326" s="20" t="s">
        <v>451</v>
      </c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</row>
    <row r="327" spans="1:119" s="22" customFormat="1" ht="16" customHeight="1" x14ac:dyDescent="0.2">
      <c r="A327" s="20">
        <v>210</v>
      </c>
      <c r="B327" s="20" t="s">
        <v>570</v>
      </c>
      <c r="C327" s="20" t="s">
        <v>888</v>
      </c>
      <c r="D327" s="20" t="s">
        <v>893</v>
      </c>
      <c r="E327" s="20" t="s">
        <v>568</v>
      </c>
      <c r="F327" s="20" t="s">
        <v>638</v>
      </c>
      <c r="G327" s="20" t="s">
        <v>896</v>
      </c>
      <c r="H327" s="21">
        <v>44334</v>
      </c>
      <c r="I327" s="20">
        <v>5</v>
      </c>
      <c r="J327" s="20">
        <v>100</v>
      </c>
      <c r="K327" s="20">
        <v>66.198505494972807</v>
      </c>
      <c r="L327" s="20" t="s">
        <v>490</v>
      </c>
      <c r="M327" s="20" t="s">
        <v>8</v>
      </c>
      <c r="N327" s="20">
        <f t="shared" si="5"/>
        <v>3309.9252747486398</v>
      </c>
      <c r="O327" s="20" t="s">
        <v>451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</row>
    <row r="328" spans="1:119" s="22" customFormat="1" ht="16" customHeight="1" x14ac:dyDescent="0.2">
      <c r="A328" s="22">
        <v>218</v>
      </c>
      <c r="B328" s="22" t="s">
        <v>572</v>
      </c>
      <c r="C328" s="22" t="s">
        <v>897</v>
      </c>
      <c r="D328" s="22" t="s">
        <v>898</v>
      </c>
      <c r="E328" s="22" t="s">
        <v>574</v>
      </c>
      <c r="F328" s="22" t="s">
        <v>638</v>
      </c>
      <c r="G328" s="22" t="s">
        <v>899</v>
      </c>
      <c r="H328" s="23">
        <v>44335</v>
      </c>
      <c r="I328" s="22">
        <v>5</v>
      </c>
      <c r="J328" s="22">
        <v>100</v>
      </c>
      <c r="K328" s="22">
        <v>24.2336753650021</v>
      </c>
      <c r="L328" s="22" t="s">
        <v>490</v>
      </c>
      <c r="M328" s="22" t="s">
        <v>8</v>
      </c>
      <c r="N328" s="22">
        <f t="shared" si="5"/>
        <v>1211.683768250105</v>
      </c>
      <c r="O328" s="22" t="s">
        <v>451</v>
      </c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</row>
    <row r="329" spans="1:119" s="22" customFormat="1" ht="16" customHeight="1" x14ac:dyDescent="0.2">
      <c r="A329" s="22">
        <v>224</v>
      </c>
      <c r="B329" s="22" t="s">
        <v>572</v>
      </c>
      <c r="C329" s="22" t="s">
        <v>897</v>
      </c>
      <c r="D329" s="22" t="s">
        <v>898</v>
      </c>
      <c r="E329" s="22" t="s">
        <v>574</v>
      </c>
      <c r="F329" s="22" t="s">
        <v>638</v>
      </c>
      <c r="G329" s="22" t="s">
        <v>899</v>
      </c>
      <c r="H329" s="23">
        <v>44335</v>
      </c>
      <c r="I329" s="22">
        <v>5</v>
      </c>
      <c r="J329" s="22">
        <v>100</v>
      </c>
      <c r="K329" s="22">
        <v>21.0049898105738</v>
      </c>
      <c r="L329" s="22" t="s">
        <v>490</v>
      </c>
      <c r="M329" s="22" t="s">
        <v>8</v>
      </c>
      <c r="N329" s="22">
        <f t="shared" si="5"/>
        <v>1050.2494905286901</v>
      </c>
      <c r="O329" s="22" t="s">
        <v>451</v>
      </c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</row>
    <row r="330" spans="1:119" s="22" customFormat="1" ht="16" customHeight="1" x14ac:dyDescent="0.2">
      <c r="A330" s="22">
        <v>230</v>
      </c>
      <c r="B330" s="22" t="s">
        <v>572</v>
      </c>
      <c r="C330" s="22" t="s">
        <v>897</v>
      </c>
      <c r="D330" s="22" t="s">
        <v>898</v>
      </c>
      <c r="E330" s="22" t="s">
        <v>574</v>
      </c>
      <c r="F330" s="22" t="s">
        <v>638</v>
      </c>
      <c r="G330" s="22" t="s">
        <v>899</v>
      </c>
      <c r="H330" s="23">
        <v>44335</v>
      </c>
      <c r="I330" s="22">
        <v>5</v>
      </c>
      <c r="J330" s="22">
        <v>100</v>
      </c>
      <c r="K330" s="22">
        <v>29.7651989424341</v>
      </c>
      <c r="L330" s="22" t="s">
        <v>490</v>
      </c>
      <c r="M330" s="22" t="s">
        <v>8</v>
      </c>
      <c r="N330" s="22">
        <f t="shared" si="5"/>
        <v>1488.2599471217052</v>
      </c>
      <c r="O330" s="22" t="s">
        <v>451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</row>
    <row r="331" spans="1:119" s="22" customFormat="1" ht="16" customHeight="1" x14ac:dyDescent="0.2">
      <c r="A331" s="22">
        <v>199</v>
      </c>
      <c r="B331" s="22" t="s">
        <v>572</v>
      </c>
      <c r="C331" s="22" t="s">
        <v>897</v>
      </c>
      <c r="D331" s="22" t="s">
        <v>898</v>
      </c>
      <c r="E331" s="22" t="s">
        <v>574</v>
      </c>
      <c r="F331" s="22" t="s">
        <v>638</v>
      </c>
      <c r="G331" s="22" t="s">
        <v>900</v>
      </c>
      <c r="H331" s="23">
        <v>44335</v>
      </c>
      <c r="I331" s="22">
        <v>5</v>
      </c>
      <c r="J331" s="22">
        <v>100</v>
      </c>
      <c r="K331" s="22">
        <v>29.778331008325502</v>
      </c>
      <c r="L331" s="22" t="s">
        <v>490</v>
      </c>
      <c r="M331" s="22" t="s">
        <v>8</v>
      </c>
      <c r="N331" s="22">
        <f t="shared" si="5"/>
        <v>1488.916550416275</v>
      </c>
      <c r="O331" s="22" t="s">
        <v>451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</row>
    <row r="332" spans="1:119" s="20" customFormat="1" ht="16" customHeight="1" x14ac:dyDescent="0.2">
      <c r="A332" s="22">
        <v>206</v>
      </c>
      <c r="B332" s="22" t="s">
        <v>572</v>
      </c>
      <c r="C332" s="22" t="s">
        <v>897</v>
      </c>
      <c r="D332" s="22" t="s">
        <v>898</v>
      </c>
      <c r="E332" s="22" t="s">
        <v>574</v>
      </c>
      <c r="F332" s="22" t="s">
        <v>638</v>
      </c>
      <c r="G332" s="22" t="s">
        <v>900</v>
      </c>
      <c r="H332" s="23">
        <v>44335</v>
      </c>
      <c r="I332" s="22">
        <v>5</v>
      </c>
      <c r="J332" s="22">
        <v>100</v>
      </c>
      <c r="K332" s="22">
        <v>31.044155704527</v>
      </c>
      <c r="L332" s="22" t="s">
        <v>490</v>
      </c>
      <c r="M332" s="22" t="s">
        <v>8</v>
      </c>
      <c r="N332" s="22">
        <f t="shared" si="5"/>
        <v>1552.2077852263499</v>
      </c>
      <c r="O332" s="22" t="s">
        <v>451</v>
      </c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</row>
    <row r="333" spans="1:119" s="20" customFormat="1" ht="16" customHeight="1" x14ac:dyDescent="0.2">
      <c r="A333" s="22">
        <v>213</v>
      </c>
      <c r="B333" s="22" t="s">
        <v>572</v>
      </c>
      <c r="C333" s="22" t="s">
        <v>897</v>
      </c>
      <c r="D333" s="22" t="s">
        <v>898</v>
      </c>
      <c r="E333" s="22" t="s">
        <v>574</v>
      </c>
      <c r="F333" s="22" t="s">
        <v>638</v>
      </c>
      <c r="G333" s="22" t="s">
        <v>900</v>
      </c>
      <c r="H333" s="23">
        <v>44335</v>
      </c>
      <c r="I333" s="22">
        <v>5</v>
      </c>
      <c r="J333" s="22">
        <v>100</v>
      </c>
      <c r="K333" s="22">
        <v>29.350429974494901</v>
      </c>
      <c r="L333" s="22" t="s">
        <v>490</v>
      </c>
      <c r="M333" s="22" t="s">
        <v>8</v>
      </c>
      <c r="N333" s="22">
        <f t="shared" si="5"/>
        <v>1467.521498724745</v>
      </c>
      <c r="O333" s="22" t="s">
        <v>451</v>
      </c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</row>
    <row r="334" spans="1:119" s="20" customFormat="1" ht="16" customHeight="1" x14ac:dyDescent="0.2">
      <c r="A334" s="22">
        <v>219</v>
      </c>
      <c r="B334" s="22" t="s">
        <v>572</v>
      </c>
      <c r="C334" s="22" t="s">
        <v>897</v>
      </c>
      <c r="D334" s="22" t="s">
        <v>898</v>
      </c>
      <c r="E334" s="22" t="s">
        <v>574</v>
      </c>
      <c r="F334" s="22" t="s">
        <v>638</v>
      </c>
      <c r="G334" s="22" t="s">
        <v>901</v>
      </c>
      <c r="H334" s="23">
        <v>44335</v>
      </c>
      <c r="I334" s="22">
        <v>5</v>
      </c>
      <c r="J334" s="22">
        <v>100</v>
      </c>
      <c r="K334" s="22">
        <v>22.5704746772319</v>
      </c>
      <c r="L334" s="22" t="s">
        <v>490</v>
      </c>
      <c r="M334" s="22" t="s">
        <v>8</v>
      </c>
      <c r="N334" s="22">
        <f t="shared" si="5"/>
        <v>1128.523733861595</v>
      </c>
      <c r="O334" s="22" t="s">
        <v>451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</row>
    <row r="335" spans="1:119" s="20" customFormat="1" ht="16" customHeight="1" x14ac:dyDescent="0.2">
      <c r="A335" s="22">
        <v>225</v>
      </c>
      <c r="B335" s="22" t="s">
        <v>572</v>
      </c>
      <c r="C335" s="22" t="s">
        <v>897</v>
      </c>
      <c r="D335" s="22" t="s">
        <v>898</v>
      </c>
      <c r="E335" s="22" t="s">
        <v>574</v>
      </c>
      <c r="F335" s="22" t="s">
        <v>638</v>
      </c>
      <c r="G335" s="22" t="s">
        <v>901</v>
      </c>
      <c r="H335" s="23">
        <v>44335</v>
      </c>
      <c r="I335" s="22">
        <v>5</v>
      </c>
      <c r="J335" s="22">
        <v>100</v>
      </c>
      <c r="K335" s="22">
        <v>6.8838169674763501</v>
      </c>
      <c r="L335" s="22" t="s">
        <v>490</v>
      </c>
      <c r="M335" s="22" t="s">
        <v>8</v>
      </c>
      <c r="N335" s="22">
        <f t="shared" si="5"/>
        <v>344.19084837381752</v>
      </c>
      <c r="O335" s="22" t="s">
        <v>451</v>
      </c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</row>
    <row r="336" spans="1:119" s="20" customFormat="1" ht="16" customHeight="1" x14ac:dyDescent="0.2">
      <c r="A336" s="22">
        <v>231</v>
      </c>
      <c r="B336" s="22" t="s">
        <v>572</v>
      </c>
      <c r="C336" s="22" t="s">
        <v>897</v>
      </c>
      <c r="D336" s="22" t="s">
        <v>898</v>
      </c>
      <c r="E336" s="22" t="s">
        <v>574</v>
      </c>
      <c r="F336" s="22" t="s">
        <v>638</v>
      </c>
      <c r="G336" s="22" t="s">
        <v>901</v>
      </c>
      <c r="H336" s="23">
        <v>44335</v>
      </c>
      <c r="I336" s="22">
        <v>5</v>
      </c>
      <c r="J336" s="22">
        <v>100</v>
      </c>
      <c r="K336" s="22">
        <v>44.864255700131601</v>
      </c>
      <c r="L336" s="22" t="s">
        <v>490</v>
      </c>
      <c r="M336" s="22" t="s">
        <v>8</v>
      </c>
      <c r="N336" s="22">
        <f t="shared" si="5"/>
        <v>2243.2127850065799</v>
      </c>
      <c r="O336" s="22" t="s">
        <v>451</v>
      </c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</row>
    <row r="337" spans="1:119" s="20" customFormat="1" ht="16" customHeight="1" x14ac:dyDescent="0.2">
      <c r="A337" s="20">
        <v>200</v>
      </c>
      <c r="B337" s="20" t="s">
        <v>576</v>
      </c>
      <c r="C337" s="20" t="s">
        <v>897</v>
      </c>
      <c r="D337" s="20" t="s">
        <v>902</v>
      </c>
      <c r="E337" s="20" t="s">
        <v>574</v>
      </c>
      <c r="F337" s="20" t="s">
        <v>638</v>
      </c>
      <c r="G337" s="20" t="s">
        <v>903</v>
      </c>
      <c r="H337" s="21">
        <v>44335</v>
      </c>
      <c r="I337" s="20">
        <v>5</v>
      </c>
      <c r="J337" s="20">
        <v>100</v>
      </c>
      <c r="K337" s="20">
        <v>5.6243645765033499</v>
      </c>
      <c r="L337" s="20" t="s">
        <v>490</v>
      </c>
      <c r="M337" s="20" t="s">
        <v>8</v>
      </c>
      <c r="N337" s="20">
        <f t="shared" si="5"/>
        <v>281.2182288251675</v>
      </c>
      <c r="O337" s="20" t="s">
        <v>451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</row>
    <row r="338" spans="1:119" s="20" customFormat="1" ht="16" customHeight="1" x14ac:dyDescent="0.2">
      <c r="A338" s="20">
        <v>207</v>
      </c>
      <c r="B338" s="20" t="s">
        <v>576</v>
      </c>
      <c r="C338" s="20" t="s">
        <v>897</v>
      </c>
      <c r="D338" s="20" t="s">
        <v>902</v>
      </c>
      <c r="E338" s="20" t="s">
        <v>574</v>
      </c>
      <c r="F338" s="20" t="s">
        <v>638</v>
      </c>
      <c r="G338" s="20" t="s">
        <v>903</v>
      </c>
      <c r="H338" s="21">
        <v>44335</v>
      </c>
      <c r="I338" s="20">
        <v>5</v>
      </c>
      <c r="J338" s="20">
        <v>100</v>
      </c>
      <c r="K338" s="20">
        <v>16.0386012970508</v>
      </c>
      <c r="L338" s="20" t="s">
        <v>490</v>
      </c>
      <c r="M338" s="20" t="s">
        <v>8</v>
      </c>
      <c r="N338" s="20">
        <f t="shared" si="5"/>
        <v>801.93006485254</v>
      </c>
      <c r="O338" s="20" t="s">
        <v>451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</row>
    <row r="339" spans="1:119" s="20" customFormat="1" ht="16" customHeight="1" x14ac:dyDescent="0.2">
      <c r="A339" s="20">
        <v>214</v>
      </c>
      <c r="B339" s="20" t="s">
        <v>576</v>
      </c>
      <c r="C339" s="20" t="s">
        <v>897</v>
      </c>
      <c r="D339" s="20" t="s">
        <v>902</v>
      </c>
      <c r="E339" s="20" t="s">
        <v>574</v>
      </c>
      <c r="F339" s="20" t="s">
        <v>638</v>
      </c>
      <c r="G339" s="20" t="s">
        <v>903</v>
      </c>
      <c r="H339" s="21">
        <v>44335</v>
      </c>
      <c r="I339" s="20">
        <v>5</v>
      </c>
      <c r="J339" s="20">
        <v>100</v>
      </c>
      <c r="K339" s="20">
        <v>1.5143085068847999</v>
      </c>
      <c r="L339" s="20" t="s">
        <v>490</v>
      </c>
      <c r="M339" s="20" t="s">
        <v>8</v>
      </c>
      <c r="N339" s="20">
        <f t="shared" si="5"/>
        <v>75.715425344239989</v>
      </c>
      <c r="O339" s="20" t="s">
        <v>451</v>
      </c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</row>
    <row r="340" spans="1:119" s="20" customFormat="1" ht="16" customHeight="1" x14ac:dyDescent="0.2">
      <c r="A340" s="20">
        <v>220</v>
      </c>
      <c r="B340" s="20" t="s">
        <v>576</v>
      </c>
      <c r="C340" s="20" t="s">
        <v>897</v>
      </c>
      <c r="D340" s="20" t="s">
        <v>902</v>
      </c>
      <c r="E340" s="20" t="s">
        <v>574</v>
      </c>
      <c r="F340" s="20" t="s">
        <v>638</v>
      </c>
      <c r="G340" s="20" t="s">
        <v>904</v>
      </c>
      <c r="H340" s="21">
        <v>44335</v>
      </c>
      <c r="I340" s="20">
        <v>5</v>
      </c>
      <c r="J340" s="20">
        <v>100</v>
      </c>
      <c r="K340" s="20">
        <v>21.8897777606084</v>
      </c>
      <c r="L340" s="20" t="s">
        <v>490</v>
      </c>
      <c r="M340" s="20" t="s">
        <v>8</v>
      </c>
      <c r="N340" s="20">
        <f t="shared" si="5"/>
        <v>1094.48888803042</v>
      </c>
      <c r="O340" s="20" t="s">
        <v>451</v>
      </c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</row>
    <row r="341" spans="1:119" s="22" customFormat="1" ht="16" customHeight="1" x14ac:dyDescent="0.2">
      <c r="A341" s="20">
        <v>226</v>
      </c>
      <c r="B341" s="20" t="s">
        <v>576</v>
      </c>
      <c r="C341" s="20" t="s">
        <v>897</v>
      </c>
      <c r="D341" s="20" t="s">
        <v>902</v>
      </c>
      <c r="E341" s="20" t="s">
        <v>574</v>
      </c>
      <c r="F341" s="20" t="s">
        <v>638</v>
      </c>
      <c r="G341" s="20" t="s">
        <v>904</v>
      </c>
      <c r="H341" s="21">
        <v>44335</v>
      </c>
      <c r="I341" s="20">
        <v>5</v>
      </c>
      <c r="J341" s="20">
        <v>100</v>
      </c>
      <c r="K341" s="20">
        <v>27.503374331503998</v>
      </c>
      <c r="L341" s="20" t="s">
        <v>490</v>
      </c>
      <c r="M341" s="20" t="s">
        <v>8</v>
      </c>
      <c r="N341" s="20">
        <f t="shared" si="5"/>
        <v>1375.1687165752001</v>
      </c>
      <c r="O341" s="20" t="s">
        <v>451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</row>
    <row r="342" spans="1:119" s="22" customFormat="1" ht="16" customHeight="1" x14ac:dyDescent="0.2">
      <c r="A342" s="20">
        <v>232</v>
      </c>
      <c r="B342" s="20" t="s">
        <v>576</v>
      </c>
      <c r="C342" s="20" t="s">
        <v>897</v>
      </c>
      <c r="D342" s="20" t="s">
        <v>902</v>
      </c>
      <c r="E342" s="20" t="s">
        <v>574</v>
      </c>
      <c r="F342" s="20" t="s">
        <v>638</v>
      </c>
      <c r="G342" s="20" t="s">
        <v>904</v>
      </c>
      <c r="H342" s="21">
        <v>44335</v>
      </c>
      <c r="I342" s="20">
        <v>5</v>
      </c>
      <c r="J342" s="20">
        <v>100</v>
      </c>
      <c r="K342" s="20">
        <v>32.160067205769202</v>
      </c>
      <c r="L342" s="20" t="s">
        <v>490</v>
      </c>
      <c r="M342" s="20" t="s">
        <v>8</v>
      </c>
      <c r="N342" s="20">
        <f t="shared" si="5"/>
        <v>1608.00336028846</v>
      </c>
      <c r="O342" s="20" t="s">
        <v>451</v>
      </c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</row>
    <row r="343" spans="1:119" s="22" customFormat="1" ht="16" customHeight="1" x14ac:dyDescent="0.2">
      <c r="A343" s="20">
        <v>201</v>
      </c>
      <c r="B343" s="20" t="s">
        <v>576</v>
      </c>
      <c r="C343" s="20" t="s">
        <v>897</v>
      </c>
      <c r="D343" s="20" t="s">
        <v>902</v>
      </c>
      <c r="E343" s="20" t="s">
        <v>574</v>
      </c>
      <c r="F343" s="20" t="s">
        <v>638</v>
      </c>
      <c r="G343" s="20" t="s">
        <v>905</v>
      </c>
      <c r="H343" s="21">
        <v>44335</v>
      </c>
      <c r="I343" s="20">
        <v>5</v>
      </c>
      <c r="J343" s="20">
        <v>100</v>
      </c>
      <c r="K343" s="20">
        <v>24.9469149645676</v>
      </c>
      <c r="L343" s="20" t="s">
        <v>490</v>
      </c>
      <c r="M343" s="20" t="s">
        <v>8</v>
      </c>
      <c r="N343" s="20">
        <f t="shared" si="5"/>
        <v>1247.34574822838</v>
      </c>
      <c r="O343" s="20" t="s">
        <v>451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</row>
    <row r="344" spans="1:119" s="22" customFormat="1" ht="16" customHeight="1" x14ac:dyDescent="0.2">
      <c r="A344" s="20">
        <v>208</v>
      </c>
      <c r="B344" s="20" t="s">
        <v>576</v>
      </c>
      <c r="C344" s="20" t="s">
        <v>897</v>
      </c>
      <c r="D344" s="20" t="s">
        <v>902</v>
      </c>
      <c r="E344" s="20" t="s">
        <v>574</v>
      </c>
      <c r="F344" s="20" t="s">
        <v>638</v>
      </c>
      <c r="G344" s="20" t="s">
        <v>905</v>
      </c>
      <c r="H344" s="21">
        <v>44335</v>
      </c>
      <c r="I344" s="20">
        <v>5</v>
      </c>
      <c r="J344" s="20">
        <v>100</v>
      </c>
      <c r="K344" s="20">
        <v>10.7599304270517</v>
      </c>
      <c r="L344" s="20" t="s">
        <v>490</v>
      </c>
      <c r="M344" s="20" t="s">
        <v>8</v>
      </c>
      <c r="N344" s="20">
        <f t="shared" si="5"/>
        <v>537.99652135258498</v>
      </c>
      <c r="O344" s="20" t="s">
        <v>451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</row>
    <row r="345" spans="1:119" s="22" customFormat="1" ht="16" customHeight="1" x14ac:dyDescent="0.2">
      <c r="A345" s="20">
        <v>215</v>
      </c>
      <c r="B345" s="20" t="s">
        <v>576</v>
      </c>
      <c r="C345" s="20" t="s">
        <v>897</v>
      </c>
      <c r="D345" s="20" t="s">
        <v>902</v>
      </c>
      <c r="E345" s="20" t="s">
        <v>574</v>
      </c>
      <c r="F345" s="20" t="s">
        <v>638</v>
      </c>
      <c r="G345" s="20" t="s">
        <v>905</v>
      </c>
      <c r="H345" s="21">
        <v>44335</v>
      </c>
      <c r="I345" s="20">
        <v>5</v>
      </c>
      <c r="J345" s="20">
        <v>100</v>
      </c>
      <c r="K345" s="20">
        <v>11.4078463697341</v>
      </c>
      <c r="L345" s="20" t="s">
        <v>490</v>
      </c>
      <c r="M345" s="20" t="s">
        <v>8</v>
      </c>
      <c r="N345" s="20">
        <f t="shared" si="5"/>
        <v>570.39231848670499</v>
      </c>
      <c r="O345" s="20" t="s">
        <v>451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</row>
    <row r="346" spans="1:119" s="22" customFormat="1" ht="16" customHeight="1" x14ac:dyDescent="0.2">
      <c r="A346" s="22">
        <v>221</v>
      </c>
      <c r="B346" s="22" t="s">
        <v>578</v>
      </c>
      <c r="C346" s="22" t="s">
        <v>906</v>
      </c>
      <c r="D346" s="22" t="s">
        <v>907</v>
      </c>
      <c r="E346" s="22" t="s">
        <v>580</v>
      </c>
      <c r="F346" s="22" t="s">
        <v>638</v>
      </c>
      <c r="G346" s="22" t="s">
        <v>908</v>
      </c>
      <c r="H346" s="23">
        <v>44335</v>
      </c>
      <c r="I346" s="22">
        <v>5</v>
      </c>
      <c r="J346" s="22">
        <v>100</v>
      </c>
      <c r="K346" s="22">
        <v>58.867390332569002</v>
      </c>
      <c r="L346" s="22" t="s">
        <v>490</v>
      </c>
      <c r="M346" s="22" t="s">
        <v>8</v>
      </c>
      <c r="N346" s="22">
        <f t="shared" si="5"/>
        <v>2943.3695166284501</v>
      </c>
      <c r="O346" s="22" t="s">
        <v>451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</row>
    <row r="347" spans="1:119" s="22" customFormat="1" ht="16" customHeight="1" x14ac:dyDescent="0.2">
      <c r="A347" s="22">
        <v>227</v>
      </c>
      <c r="B347" s="22" t="s">
        <v>578</v>
      </c>
      <c r="C347" s="22" t="s">
        <v>906</v>
      </c>
      <c r="D347" s="22" t="s">
        <v>907</v>
      </c>
      <c r="E347" s="22" t="s">
        <v>580</v>
      </c>
      <c r="F347" s="22" t="s">
        <v>638</v>
      </c>
      <c r="G347" s="22" t="s">
        <v>908</v>
      </c>
      <c r="H347" s="23">
        <v>44335</v>
      </c>
      <c r="I347" s="22">
        <v>5</v>
      </c>
      <c r="J347" s="22">
        <v>100</v>
      </c>
      <c r="K347" s="22">
        <v>52.508696087719699</v>
      </c>
      <c r="L347" s="22" t="s">
        <v>490</v>
      </c>
      <c r="M347" s="22" t="s">
        <v>8</v>
      </c>
      <c r="N347" s="22">
        <f t="shared" si="5"/>
        <v>2625.4348043859854</v>
      </c>
      <c r="O347" s="22" t="s">
        <v>451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</row>
    <row r="348" spans="1:119" s="22" customFormat="1" ht="16" customHeight="1" x14ac:dyDescent="0.2">
      <c r="A348" s="22">
        <v>233</v>
      </c>
      <c r="B348" s="22" t="s">
        <v>578</v>
      </c>
      <c r="C348" s="22" t="s">
        <v>906</v>
      </c>
      <c r="D348" s="22" t="s">
        <v>907</v>
      </c>
      <c r="E348" s="22" t="s">
        <v>580</v>
      </c>
      <c r="F348" s="22" t="s">
        <v>638</v>
      </c>
      <c r="G348" s="22" t="s">
        <v>908</v>
      </c>
      <c r="H348" s="23">
        <v>44335</v>
      </c>
      <c r="I348" s="22">
        <v>5</v>
      </c>
      <c r="J348" s="22">
        <v>100</v>
      </c>
      <c r="K348" s="22">
        <v>82.280044201980502</v>
      </c>
      <c r="L348" s="22" t="s">
        <v>490</v>
      </c>
      <c r="M348" s="22" t="s">
        <v>8</v>
      </c>
      <c r="N348" s="22">
        <f t="shared" si="5"/>
        <v>4114.0022100990254</v>
      </c>
      <c r="O348" s="22" t="s">
        <v>451</v>
      </c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</row>
    <row r="349" spans="1:119" s="22" customFormat="1" ht="16" customHeight="1" x14ac:dyDescent="0.2">
      <c r="A349" s="22">
        <v>202</v>
      </c>
      <c r="B349" s="22" t="s">
        <v>578</v>
      </c>
      <c r="C349" s="22" t="s">
        <v>906</v>
      </c>
      <c r="D349" s="22" t="s">
        <v>907</v>
      </c>
      <c r="E349" s="22" t="s">
        <v>580</v>
      </c>
      <c r="F349" s="22" t="s">
        <v>638</v>
      </c>
      <c r="G349" s="22" t="s">
        <v>909</v>
      </c>
      <c r="H349" s="23">
        <v>44335</v>
      </c>
      <c r="I349" s="22">
        <v>5</v>
      </c>
      <c r="J349" s="22">
        <v>100</v>
      </c>
      <c r="K349" s="22">
        <v>60.014054790018598</v>
      </c>
      <c r="L349" s="22" t="s">
        <v>490</v>
      </c>
      <c r="M349" s="22" t="s">
        <v>8</v>
      </c>
      <c r="N349" s="22">
        <f t="shared" si="5"/>
        <v>3000.70273950093</v>
      </c>
      <c r="O349" s="22" t="s">
        <v>451</v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</row>
    <row r="350" spans="1:119" s="20" customFormat="1" ht="16" customHeight="1" x14ac:dyDescent="0.2">
      <c r="A350" s="22">
        <v>209</v>
      </c>
      <c r="B350" s="22" t="s">
        <v>578</v>
      </c>
      <c r="C350" s="22" t="s">
        <v>906</v>
      </c>
      <c r="D350" s="22" t="s">
        <v>907</v>
      </c>
      <c r="E350" s="22" t="s">
        <v>580</v>
      </c>
      <c r="F350" s="22" t="s">
        <v>638</v>
      </c>
      <c r="G350" s="22" t="s">
        <v>909</v>
      </c>
      <c r="H350" s="23">
        <v>44335</v>
      </c>
      <c r="I350" s="22">
        <v>5</v>
      </c>
      <c r="J350" s="22">
        <v>100</v>
      </c>
      <c r="K350" s="22">
        <v>23.211034122930101</v>
      </c>
      <c r="L350" s="22" t="s">
        <v>490</v>
      </c>
      <c r="M350" s="22" t="s">
        <v>8</v>
      </c>
      <c r="N350" s="22">
        <f t="shared" si="5"/>
        <v>1160.551706146505</v>
      </c>
      <c r="O350" s="22" t="s">
        <v>451</v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</row>
    <row r="351" spans="1:119" s="20" customFormat="1" ht="16" customHeight="1" x14ac:dyDescent="0.2">
      <c r="A351" s="22">
        <v>216</v>
      </c>
      <c r="B351" s="22" t="s">
        <v>578</v>
      </c>
      <c r="C351" s="22" t="s">
        <v>906</v>
      </c>
      <c r="D351" s="22" t="s">
        <v>907</v>
      </c>
      <c r="E351" s="22" t="s">
        <v>580</v>
      </c>
      <c r="F351" s="22" t="s">
        <v>638</v>
      </c>
      <c r="G351" s="22" t="s">
        <v>909</v>
      </c>
      <c r="H351" s="23">
        <v>44335</v>
      </c>
      <c r="I351" s="22">
        <v>5</v>
      </c>
      <c r="J351" s="22">
        <v>100</v>
      </c>
      <c r="K351" s="22">
        <v>61.306490405119902</v>
      </c>
      <c r="L351" s="22" t="s">
        <v>490</v>
      </c>
      <c r="M351" s="22" t="s">
        <v>8</v>
      </c>
      <c r="N351" s="22">
        <f t="shared" si="5"/>
        <v>3065.3245202559951</v>
      </c>
      <c r="O351" s="22" t="s">
        <v>451</v>
      </c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</row>
    <row r="352" spans="1:119" s="20" customFormat="1" ht="16" customHeight="1" x14ac:dyDescent="0.2">
      <c r="A352" s="22">
        <v>222</v>
      </c>
      <c r="B352" s="22" t="s">
        <v>578</v>
      </c>
      <c r="C352" s="22" t="s">
        <v>906</v>
      </c>
      <c r="D352" s="22" t="s">
        <v>907</v>
      </c>
      <c r="E352" s="22" t="s">
        <v>580</v>
      </c>
      <c r="F352" s="22" t="s">
        <v>638</v>
      </c>
      <c r="G352" s="22" t="s">
        <v>910</v>
      </c>
      <c r="H352" s="23">
        <v>44335</v>
      </c>
      <c r="I352" s="22">
        <v>5</v>
      </c>
      <c r="J352" s="22">
        <v>100</v>
      </c>
      <c r="K352" s="22">
        <v>3.2990500226316901</v>
      </c>
      <c r="L352" s="22" t="s">
        <v>490</v>
      </c>
      <c r="M352" s="22" t="s">
        <v>8</v>
      </c>
      <c r="N352" s="22">
        <f t="shared" si="5"/>
        <v>164.95250113158451</v>
      </c>
      <c r="O352" s="22" t="s">
        <v>451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</row>
    <row r="353" spans="1:119" s="20" customFormat="1" ht="16" customHeight="1" x14ac:dyDescent="0.2">
      <c r="A353" s="22">
        <v>228</v>
      </c>
      <c r="B353" s="22" t="s">
        <v>578</v>
      </c>
      <c r="C353" s="22" t="s">
        <v>906</v>
      </c>
      <c r="D353" s="22" t="s">
        <v>907</v>
      </c>
      <c r="E353" s="22" t="s">
        <v>580</v>
      </c>
      <c r="F353" s="22" t="s">
        <v>638</v>
      </c>
      <c r="G353" s="22" t="s">
        <v>910</v>
      </c>
      <c r="H353" s="23">
        <v>44335</v>
      </c>
      <c r="I353" s="22">
        <v>5</v>
      </c>
      <c r="J353" s="22">
        <v>100</v>
      </c>
      <c r="K353" s="22">
        <v>13.9408593803652</v>
      </c>
      <c r="L353" s="22" t="s">
        <v>490</v>
      </c>
      <c r="M353" s="22" t="s">
        <v>8</v>
      </c>
      <c r="N353" s="22">
        <f t="shared" si="5"/>
        <v>697.04296901826001</v>
      </c>
      <c r="O353" s="22" t="s">
        <v>451</v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</row>
    <row r="354" spans="1:119" s="20" customFormat="1" ht="16" customHeight="1" x14ac:dyDescent="0.2">
      <c r="A354" s="22">
        <v>234</v>
      </c>
      <c r="B354" s="22" t="s">
        <v>578</v>
      </c>
      <c r="C354" s="22" t="s">
        <v>906</v>
      </c>
      <c r="D354" s="22" t="s">
        <v>907</v>
      </c>
      <c r="E354" s="22" t="s">
        <v>580</v>
      </c>
      <c r="F354" s="22" t="s">
        <v>638</v>
      </c>
      <c r="G354" s="22" t="s">
        <v>910</v>
      </c>
      <c r="H354" s="23">
        <v>44335</v>
      </c>
      <c r="I354" s="22">
        <v>5</v>
      </c>
      <c r="J354" s="22">
        <v>100</v>
      </c>
      <c r="K354" s="22">
        <v>1.53186130508121</v>
      </c>
      <c r="L354" s="22" t="s">
        <v>490</v>
      </c>
      <c r="M354" s="22" t="s">
        <v>8</v>
      </c>
      <c r="N354" s="22">
        <f t="shared" si="5"/>
        <v>76.593065254060505</v>
      </c>
      <c r="O354" s="22" t="s">
        <v>451</v>
      </c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</row>
    <row r="355" spans="1:119" s="20" customFormat="1" ht="16" customHeight="1" x14ac:dyDescent="0.2">
      <c r="A355" s="20">
        <v>235</v>
      </c>
      <c r="B355" s="20" t="s">
        <v>582</v>
      </c>
      <c r="C355" s="20" t="s">
        <v>906</v>
      </c>
      <c r="D355" s="20" t="s">
        <v>911</v>
      </c>
      <c r="E355" s="20" t="s">
        <v>580</v>
      </c>
      <c r="F355" s="20" t="s">
        <v>638</v>
      </c>
      <c r="G355" s="20" t="s">
        <v>912</v>
      </c>
      <c r="H355" s="21">
        <v>44336</v>
      </c>
      <c r="I355" s="20">
        <v>5</v>
      </c>
      <c r="J355" s="20">
        <v>100</v>
      </c>
      <c r="K355" s="20">
        <v>4.7868586288178401</v>
      </c>
      <c r="L355" s="20" t="s">
        <v>490</v>
      </c>
      <c r="M355" s="20" t="s">
        <v>8</v>
      </c>
      <c r="N355" s="20">
        <f t="shared" si="5"/>
        <v>239.34293144089199</v>
      </c>
      <c r="O355" s="20" t="s">
        <v>451</v>
      </c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</row>
    <row r="356" spans="1:119" s="20" customFormat="1" ht="16" customHeight="1" x14ac:dyDescent="0.2">
      <c r="A356" s="20">
        <v>241</v>
      </c>
      <c r="B356" s="20" t="s">
        <v>582</v>
      </c>
      <c r="C356" s="20" t="s">
        <v>906</v>
      </c>
      <c r="D356" s="20" t="s">
        <v>911</v>
      </c>
      <c r="E356" s="20" t="s">
        <v>580</v>
      </c>
      <c r="F356" s="20" t="s">
        <v>638</v>
      </c>
      <c r="G356" s="20" t="s">
        <v>912</v>
      </c>
      <c r="H356" s="21">
        <v>44336</v>
      </c>
      <c r="I356" s="20">
        <v>5</v>
      </c>
      <c r="J356" s="20">
        <v>100</v>
      </c>
      <c r="K356" s="20">
        <v>12.862466724625101</v>
      </c>
      <c r="L356" s="20" t="s">
        <v>490</v>
      </c>
      <c r="M356" s="20" t="s">
        <v>8</v>
      </c>
      <c r="N356" s="20">
        <f t="shared" si="5"/>
        <v>643.12333623125505</v>
      </c>
      <c r="O356" s="20" t="s">
        <v>451</v>
      </c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</row>
    <row r="357" spans="1:119" s="20" customFormat="1" ht="16" customHeight="1" x14ac:dyDescent="0.2">
      <c r="A357" s="20">
        <v>247</v>
      </c>
      <c r="B357" s="20" t="s">
        <v>582</v>
      </c>
      <c r="C357" s="20" t="s">
        <v>906</v>
      </c>
      <c r="D357" s="20" t="s">
        <v>911</v>
      </c>
      <c r="E357" s="20" t="s">
        <v>580</v>
      </c>
      <c r="F357" s="20" t="s">
        <v>638</v>
      </c>
      <c r="G357" s="20" t="s">
        <v>912</v>
      </c>
      <c r="H357" s="21">
        <v>44336</v>
      </c>
      <c r="I357" s="20">
        <v>5</v>
      </c>
      <c r="J357" s="20">
        <v>100</v>
      </c>
      <c r="K357" s="20">
        <v>0</v>
      </c>
      <c r="L357" s="20" t="s">
        <v>490</v>
      </c>
      <c r="M357" s="20" t="s">
        <v>8</v>
      </c>
      <c r="N357" s="20">
        <f t="shared" si="5"/>
        <v>0</v>
      </c>
      <c r="O357" s="20" t="s">
        <v>451</v>
      </c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</row>
    <row r="358" spans="1:119" s="20" customFormat="1" ht="16" customHeight="1" x14ac:dyDescent="0.2">
      <c r="A358" s="20">
        <v>253</v>
      </c>
      <c r="B358" s="20" t="s">
        <v>582</v>
      </c>
      <c r="C358" s="20" t="s">
        <v>906</v>
      </c>
      <c r="D358" s="20" t="s">
        <v>911</v>
      </c>
      <c r="E358" s="20" t="s">
        <v>580</v>
      </c>
      <c r="F358" s="20" t="s">
        <v>638</v>
      </c>
      <c r="G358" s="20" t="s">
        <v>913</v>
      </c>
      <c r="H358" s="21">
        <v>44336</v>
      </c>
      <c r="I358" s="20">
        <v>5</v>
      </c>
      <c r="J358" s="20">
        <v>100</v>
      </c>
      <c r="K358" s="20">
        <v>18.2365639869037</v>
      </c>
      <c r="L358" s="20" t="s">
        <v>490</v>
      </c>
      <c r="M358" s="20" t="s">
        <v>8</v>
      </c>
      <c r="N358" s="20">
        <f t="shared" si="5"/>
        <v>911.82819934518511</v>
      </c>
      <c r="O358" s="20" t="s">
        <v>451</v>
      </c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</row>
    <row r="359" spans="1:119" s="22" customFormat="1" ht="16" customHeight="1" x14ac:dyDescent="0.2">
      <c r="A359" s="20">
        <v>259</v>
      </c>
      <c r="B359" s="20" t="s">
        <v>582</v>
      </c>
      <c r="C359" s="20" t="s">
        <v>906</v>
      </c>
      <c r="D359" s="20" t="s">
        <v>911</v>
      </c>
      <c r="E359" s="20" t="s">
        <v>580</v>
      </c>
      <c r="F359" s="20" t="s">
        <v>638</v>
      </c>
      <c r="G359" s="20" t="s">
        <v>913</v>
      </c>
      <c r="H359" s="21">
        <v>44336</v>
      </c>
      <c r="I359" s="20">
        <v>5</v>
      </c>
      <c r="J359" s="20">
        <v>100</v>
      </c>
      <c r="K359" s="20">
        <v>11.027361500128301</v>
      </c>
      <c r="L359" s="20" t="s">
        <v>490</v>
      </c>
      <c r="M359" s="20" t="s">
        <v>8</v>
      </c>
      <c r="N359" s="20">
        <f t="shared" si="5"/>
        <v>551.36807500641498</v>
      </c>
      <c r="O359" s="20" t="s">
        <v>451</v>
      </c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</row>
    <row r="360" spans="1:119" s="22" customFormat="1" ht="16" customHeight="1" x14ac:dyDescent="0.2">
      <c r="A360" s="20">
        <v>265</v>
      </c>
      <c r="B360" s="20" t="s">
        <v>582</v>
      </c>
      <c r="C360" s="20" t="s">
        <v>906</v>
      </c>
      <c r="D360" s="20" t="s">
        <v>911</v>
      </c>
      <c r="E360" s="20" t="s">
        <v>580</v>
      </c>
      <c r="F360" s="20" t="s">
        <v>638</v>
      </c>
      <c r="G360" s="20" t="s">
        <v>913</v>
      </c>
      <c r="H360" s="21">
        <v>44336</v>
      </c>
      <c r="I360" s="20">
        <v>5</v>
      </c>
      <c r="J360" s="20">
        <v>100</v>
      </c>
      <c r="K360" s="20">
        <v>16.126827869126402</v>
      </c>
      <c r="L360" s="20" t="s">
        <v>490</v>
      </c>
      <c r="M360" s="20" t="s">
        <v>8</v>
      </c>
      <c r="N360" s="20">
        <f t="shared" si="5"/>
        <v>806.34139345632002</v>
      </c>
      <c r="O360" s="20" t="s">
        <v>451</v>
      </c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</row>
    <row r="361" spans="1:119" s="22" customFormat="1" ht="16" customHeight="1" x14ac:dyDescent="0.2">
      <c r="A361" s="20">
        <v>236</v>
      </c>
      <c r="B361" s="20" t="s">
        <v>582</v>
      </c>
      <c r="C361" s="20" t="s">
        <v>906</v>
      </c>
      <c r="D361" s="20" t="s">
        <v>911</v>
      </c>
      <c r="E361" s="20" t="s">
        <v>580</v>
      </c>
      <c r="F361" s="20" t="s">
        <v>638</v>
      </c>
      <c r="G361" s="20" t="s">
        <v>914</v>
      </c>
      <c r="H361" s="21">
        <v>44336</v>
      </c>
      <c r="I361" s="20">
        <v>5</v>
      </c>
      <c r="J361" s="20">
        <v>100</v>
      </c>
      <c r="K361" s="20">
        <v>15.6240431315292</v>
      </c>
      <c r="L361" s="20" t="s">
        <v>490</v>
      </c>
      <c r="M361" s="20" t="s">
        <v>8</v>
      </c>
      <c r="N361" s="20">
        <f t="shared" si="5"/>
        <v>781.20215657645997</v>
      </c>
      <c r="O361" s="20" t="s">
        <v>451</v>
      </c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</row>
    <row r="362" spans="1:119" s="22" customFormat="1" ht="16" customHeight="1" x14ac:dyDescent="0.2">
      <c r="A362" s="20">
        <v>242</v>
      </c>
      <c r="B362" s="20" t="s">
        <v>582</v>
      </c>
      <c r="C362" s="20" t="s">
        <v>906</v>
      </c>
      <c r="D362" s="20" t="s">
        <v>911</v>
      </c>
      <c r="E362" s="20" t="s">
        <v>580</v>
      </c>
      <c r="F362" s="20" t="s">
        <v>638</v>
      </c>
      <c r="G362" s="20" t="s">
        <v>914</v>
      </c>
      <c r="H362" s="21">
        <v>44336</v>
      </c>
      <c r="I362" s="20">
        <v>5</v>
      </c>
      <c r="J362" s="20">
        <v>100</v>
      </c>
      <c r="K362" s="20">
        <v>17.3457216464152</v>
      </c>
      <c r="L362" s="20" t="s">
        <v>490</v>
      </c>
      <c r="M362" s="20" t="s">
        <v>8</v>
      </c>
      <c r="N362" s="20">
        <f t="shared" si="5"/>
        <v>867.28608232075999</v>
      </c>
      <c r="O362" s="20" t="s">
        <v>451</v>
      </c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</row>
    <row r="363" spans="1:119" s="22" customFormat="1" ht="16" customHeight="1" x14ac:dyDescent="0.2">
      <c r="A363" s="20">
        <v>248</v>
      </c>
      <c r="B363" s="20" t="s">
        <v>582</v>
      </c>
      <c r="C363" s="20" t="s">
        <v>906</v>
      </c>
      <c r="D363" s="20" t="s">
        <v>911</v>
      </c>
      <c r="E363" s="20" t="s">
        <v>580</v>
      </c>
      <c r="F363" s="20" t="s">
        <v>638</v>
      </c>
      <c r="G363" s="20" t="s">
        <v>914</v>
      </c>
      <c r="H363" s="21">
        <v>44336</v>
      </c>
      <c r="I363" s="20">
        <v>5</v>
      </c>
      <c r="J363" s="20">
        <v>100</v>
      </c>
      <c r="K363" s="20">
        <v>12.7416029060453</v>
      </c>
      <c r="L363" s="20" t="s">
        <v>490</v>
      </c>
      <c r="M363" s="20" t="s">
        <v>8</v>
      </c>
      <c r="N363" s="20">
        <f t="shared" si="5"/>
        <v>637.08014530226501</v>
      </c>
      <c r="O363" s="20" t="s">
        <v>451</v>
      </c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</row>
    <row r="364" spans="1:119" s="22" customFormat="1" ht="16" customHeight="1" x14ac:dyDescent="0.2">
      <c r="A364" s="22">
        <v>254</v>
      </c>
      <c r="B364" s="22" t="s">
        <v>584</v>
      </c>
      <c r="C364" s="22" t="s">
        <v>915</v>
      </c>
      <c r="D364" s="22" t="s">
        <v>916</v>
      </c>
      <c r="E364" s="22" t="s">
        <v>586</v>
      </c>
      <c r="F364" s="22" t="s">
        <v>638</v>
      </c>
      <c r="G364" s="22" t="s">
        <v>917</v>
      </c>
      <c r="H364" s="23">
        <v>44336</v>
      </c>
      <c r="I364" s="22">
        <v>5</v>
      </c>
      <c r="J364" s="22">
        <v>100</v>
      </c>
      <c r="K364" s="22">
        <v>0</v>
      </c>
      <c r="L364" s="22" t="s">
        <v>490</v>
      </c>
      <c r="M364" s="22" t="s">
        <v>8</v>
      </c>
      <c r="N364" s="22">
        <f t="shared" si="5"/>
        <v>0</v>
      </c>
      <c r="O364" s="22" t="s">
        <v>451</v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</row>
    <row r="365" spans="1:119" s="22" customFormat="1" ht="16" customHeight="1" x14ac:dyDescent="0.2">
      <c r="A365" s="22">
        <v>260</v>
      </c>
      <c r="B365" s="22" t="s">
        <v>584</v>
      </c>
      <c r="C365" s="22" t="s">
        <v>915</v>
      </c>
      <c r="D365" s="22" t="s">
        <v>916</v>
      </c>
      <c r="E365" s="22" t="s">
        <v>586</v>
      </c>
      <c r="F365" s="22" t="s">
        <v>638</v>
      </c>
      <c r="G365" s="22" t="s">
        <v>917</v>
      </c>
      <c r="H365" s="23">
        <v>44336</v>
      </c>
      <c r="I365" s="22">
        <v>5</v>
      </c>
      <c r="J365" s="22">
        <v>100</v>
      </c>
      <c r="K365" s="22">
        <v>3.7199304597803402</v>
      </c>
      <c r="L365" s="22" t="s">
        <v>490</v>
      </c>
      <c r="M365" s="22" t="s">
        <v>8</v>
      </c>
      <c r="N365" s="22">
        <f t="shared" si="5"/>
        <v>185.99652298901702</v>
      </c>
      <c r="O365" s="22" t="s">
        <v>451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</row>
    <row r="366" spans="1:119" s="22" customFormat="1" ht="16" customHeight="1" x14ac:dyDescent="0.2">
      <c r="A366" s="22">
        <v>266</v>
      </c>
      <c r="B366" s="22" t="s">
        <v>584</v>
      </c>
      <c r="C366" s="22" t="s">
        <v>915</v>
      </c>
      <c r="D366" s="22" t="s">
        <v>916</v>
      </c>
      <c r="E366" s="22" t="s">
        <v>586</v>
      </c>
      <c r="F366" s="22" t="s">
        <v>638</v>
      </c>
      <c r="G366" s="22" t="s">
        <v>917</v>
      </c>
      <c r="H366" s="23">
        <v>44336</v>
      </c>
      <c r="I366" s="22">
        <v>5</v>
      </c>
      <c r="J366" s="22">
        <v>100</v>
      </c>
      <c r="K366" s="22">
        <v>1.90710979886239</v>
      </c>
      <c r="L366" s="22" t="s">
        <v>490</v>
      </c>
      <c r="M366" s="22" t="s">
        <v>8</v>
      </c>
      <c r="N366" s="22">
        <f t="shared" si="5"/>
        <v>95.355489943119508</v>
      </c>
      <c r="O366" s="22" t="s">
        <v>451</v>
      </c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</row>
    <row r="367" spans="1:119" s="22" customFormat="1" ht="16" customHeight="1" x14ac:dyDescent="0.2">
      <c r="A367" s="22">
        <v>237</v>
      </c>
      <c r="B367" s="22" t="s">
        <v>584</v>
      </c>
      <c r="C367" s="22" t="s">
        <v>915</v>
      </c>
      <c r="D367" s="22" t="s">
        <v>916</v>
      </c>
      <c r="E367" s="22" t="s">
        <v>586</v>
      </c>
      <c r="F367" s="22" t="s">
        <v>638</v>
      </c>
      <c r="G367" s="22" t="s">
        <v>918</v>
      </c>
      <c r="H367" s="23">
        <v>44336</v>
      </c>
      <c r="I367" s="22">
        <v>5</v>
      </c>
      <c r="J367" s="22">
        <v>100</v>
      </c>
      <c r="K367" s="22">
        <v>3.5717966699583998</v>
      </c>
      <c r="L367" s="22" t="s">
        <v>490</v>
      </c>
      <c r="M367" s="22" t="s">
        <v>8</v>
      </c>
      <c r="N367" s="22">
        <f t="shared" si="5"/>
        <v>178.58983349791998</v>
      </c>
      <c r="O367" s="22" t="s">
        <v>451</v>
      </c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</row>
    <row r="368" spans="1:119" s="22" customFormat="1" ht="16" customHeight="1" x14ac:dyDescent="0.2">
      <c r="A368" s="22">
        <v>243</v>
      </c>
      <c r="B368" s="22" t="s">
        <v>584</v>
      </c>
      <c r="C368" s="22" t="s">
        <v>915</v>
      </c>
      <c r="D368" s="22" t="s">
        <v>916</v>
      </c>
      <c r="E368" s="22" t="s">
        <v>586</v>
      </c>
      <c r="F368" s="22" t="s">
        <v>638</v>
      </c>
      <c r="G368" s="22" t="s">
        <v>918</v>
      </c>
      <c r="H368" s="23">
        <v>44336</v>
      </c>
      <c r="I368" s="22">
        <v>5</v>
      </c>
      <c r="J368" s="22">
        <v>100</v>
      </c>
      <c r="K368" s="22">
        <v>3.4110539797672899</v>
      </c>
      <c r="L368" s="22" t="s">
        <v>490</v>
      </c>
      <c r="M368" s="22" t="s">
        <v>8</v>
      </c>
      <c r="N368" s="22">
        <f t="shared" si="5"/>
        <v>170.55269898836451</v>
      </c>
      <c r="O368" s="22" t="s">
        <v>451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</row>
    <row r="369" spans="1:119" s="22" customFormat="1" ht="16" customHeight="1" x14ac:dyDescent="0.2">
      <c r="A369" s="22">
        <v>249</v>
      </c>
      <c r="B369" s="22" t="s">
        <v>584</v>
      </c>
      <c r="C369" s="22" t="s">
        <v>915</v>
      </c>
      <c r="D369" s="22" t="s">
        <v>916</v>
      </c>
      <c r="E369" s="22" t="s">
        <v>586</v>
      </c>
      <c r="F369" s="22" t="s">
        <v>638</v>
      </c>
      <c r="G369" s="22" t="s">
        <v>918</v>
      </c>
      <c r="H369" s="23">
        <v>44336</v>
      </c>
      <c r="I369" s="22">
        <v>5</v>
      </c>
      <c r="J369" s="22">
        <v>100</v>
      </c>
      <c r="K369" s="22">
        <v>3.4632422332315098</v>
      </c>
      <c r="L369" s="22" t="s">
        <v>490</v>
      </c>
      <c r="M369" s="22" t="s">
        <v>8</v>
      </c>
      <c r="N369" s="22">
        <f t="shared" si="5"/>
        <v>173.16211166157552</v>
      </c>
      <c r="O369" s="22" t="s">
        <v>451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</row>
    <row r="370" spans="1:119" s="22" customFormat="1" ht="16" customHeight="1" x14ac:dyDescent="0.2">
      <c r="A370" s="22">
        <v>255</v>
      </c>
      <c r="B370" s="22" t="s">
        <v>584</v>
      </c>
      <c r="C370" s="22" t="s">
        <v>915</v>
      </c>
      <c r="D370" s="22" t="s">
        <v>916</v>
      </c>
      <c r="E370" s="22" t="s">
        <v>586</v>
      </c>
      <c r="F370" s="22" t="s">
        <v>638</v>
      </c>
      <c r="G370" s="22" t="s">
        <v>919</v>
      </c>
      <c r="H370" s="23">
        <v>44336</v>
      </c>
      <c r="I370" s="22">
        <v>5</v>
      </c>
      <c r="J370" s="22">
        <v>100</v>
      </c>
      <c r="K370" s="22">
        <v>5.5130560645014297</v>
      </c>
      <c r="L370" s="22" t="s">
        <v>490</v>
      </c>
      <c r="M370" s="22" t="s">
        <v>8</v>
      </c>
      <c r="N370" s="22">
        <f t="shared" si="5"/>
        <v>275.65280322507147</v>
      </c>
      <c r="O370" s="22" t="s">
        <v>451</v>
      </c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</row>
    <row r="371" spans="1:119" s="22" customFormat="1" ht="16" customHeight="1" x14ac:dyDescent="0.2">
      <c r="A371" s="22">
        <v>261</v>
      </c>
      <c r="B371" s="22" t="s">
        <v>584</v>
      </c>
      <c r="C371" s="22" t="s">
        <v>915</v>
      </c>
      <c r="D371" s="22" t="s">
        <v>916</v>
      </c>
      <c r="E371" s="22" t="s">
        <v>586</v>
      </c>
      <c r="F371" s="22" t="s">
        <v>638</v>
      </c>
      <c r="G371" s="22" t="s">
        <v>919</v>
      </c>
      <c r="H371" s="23">
        <v>44336</v>
      </c>
      <c r="I371" s="22">
        <v>5</v>
      </c>
      <c r="J371" s="22">
        <v>100</v>
      </c>
      <c r="K371" s="22">
        <v>2.1374653874940601</v>
      </c>
      <c r="L371" s="22" t="s">
        <v>490</v>
      </c>
      <c r="M371" s="22" t="s">
        <v>8</v>
      </c>
      <c r="N371" s="22">
        <f t="shared" si="5"/>
        <v>106.87326937470301</v>
      </c>
      <c r="O371" s="22" t="s">
        <v>451</v>
      </c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</row>
    <row r="372" spans="1:119" s="22" customFormat="1" ht="16" customHeight="1" x14ac:dyDescent="0.2">
      <c r="A372" s="22">
        <v>267</v>
      </c>
      <c r="B372" s="22" t="s">
        <v>584</v>
      </c>
      <c r="C372" s="22" t="s">
        <v>915</v>
      </c>
      <c r="D372" s="22" t="s">
        <v>916</v>
      </c>
      <c r="E372" s="22" t="s">
        <v>586</v>
      </c>
      <c r="F372" s="22" t="s">
        <v>638</v>
      </c>
      <c r="G372" s="22" t="s">
        <v>919</v>
      </c>
      <c r="H372" s="23">
        <v>44336</v>
      </c>
      <c r="I372" s="22">
        <v>5</v>
      </c>
      <c r="J372" s="22">
        <v>100</v>
      </c>
      <c r="K372" s="22">
        <v>14.3393767483376</v>
      </c>
      <c r="L372" s="22" t="s">
        <v>490</v>
      </c>
      <c r="M372" s="22" t="s">
        <v>8</v>
      </c>
      <c r="N372" s="22">
        <f t="shared" si="5"/>
        <v>716.96883741687998</v>
      </c>
      <c r="O372" s="22" t="s">
        <v>451</v>
      </c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</row>
    <row r="373" spans="1:119" s="22" customFormat="1" ht="16" customHeight="1" x14ac:dyDescent="0.2">
      <c r="A373" s="20">
        <v>238</v>
      </c>
      <c r="B373" s="20" t="s">
        <v>588</v>
      </c>
      <c r="C373" s="20" t="s">
        <v>915</v>
      </c>
      <c r="D373" s="20" t="s">
        <v>920</v>
      </c>
      <c r="E373" s="20" t="s">
        <v>586</v>
      </c>
      <c r="F373" s="20" t="s">
        <v>638</v>
      </c>
      <c r="G373" s="20" t="s">
        <v>921</v>
      </c>
      <c r="H373" s="21">
        <v>44336</v>
      </c>
      <c r="I373" s="20">
        <v>5</v>
      </c>
      <c r="J373" s="20">
        <v>100</v>
      </c>
      <c r="K373" s="20">
        <v>7.2527991278217598</v>
      </c>
      <c r="L373" s="20" t="s">
        <v>490</v>
      </c>
      <c r="M373" s="20" t="s">
        <v>8</v>
      </c>
      <c r="N373" s="20">
        <f t="shared" si="5"/>
        <v>362.63995639108799</v>
      </c>
      <c r="O373" s="20" t="s">
        <v>451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</row>
    <row r="374" spans="1:119" s="22" customFormat="1" ht="16" customHeight="1" x14ac:dyDescent="0.2">
      <c r="A374" s="20">
        <v>244</v>
      </c>
      <c r="B374" s="20" t="s">
        <v>588</v>
      </c>
      <c r="C374" s="20" t="s">
        <v>915</v>
      </c>
      <c r="D374" s="20" t="s">
        <v>920</v>
      </c>
      <c r="E374" s="20" t="s">
        <v>586</v>
      </c>
      <c r="F374" s="20" t="s">
        <v>638</v>
      </c>
      <c r="G374" s="20" t="s">
        <v>921</v>
      </c>
      <c r="H374" s="21">
        <v>44336</v>
      </c>
      <c r="I374" s="20">
        <v>5</v>
      </c>
      <c r="J374" s="20">
        <v>100</v>
      </c>
      <c r="K374" s="20">
        <v>10.840111290367201</v>
      </c>
      <c r="L374" s="20" t="s">
        <v>490</v>
      </c>
      <c r="M374" s="20" t="s">
        <v>8</v>
      </c>
      <c r="N374" s="20">
        <f t="shared" si="5"/>
        <v>542.00556451836007</v>
      </c>
      <c r="O374" s="20" t="s">
        <v>451</v>
      </c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</row>
    <row r="375" spans="1:119" s="22" customFormat="1" ht="16" customHeight="1" x14ac:dyDescent="0.2">
      <c r="A375" s="20">
        <v>250</v>
      </c>
      <c r="B375" s="20" t="s">
        <v>588</v>
      </c>
      <c r="C375" s="20" t="s">
        <v>915</v>
      </c>
      <c r="D375" s="20" t="s">
        <v>920</v>
      </c>
      <c r="E375" s="20" t="s">
        <v>586</v>
      </c>
      <c r="F375" s="20" t="s">
        <v>638</v>
      </c>
      <c r="G375" s="20" t="s">
        <v>921</v>
      </c>
      <c r="H375" s="21">
        <v>44336</v>
      </c>
      <c r="I375" s="20">
        <v>5</v>
      </c>
      <c r="J375" s="20">
        <v>100</v>
      </c>
      <c r="K375" s="20">
        <v>14.9716943558571</v>
      </c>
      <c r="L375" s="20" t="s">
        <v>490</v>
      </c>
      <c r="M375" s="20" t="s">
        <v>8</v>
      </c>
      <c r="N375" s="20">
        <f t="shared" si="5"/>
        <v>748.58471779285492</v>
      </c>
      <c r="O375" s="20" t="s">
        <v>451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</row>
    <row r="376" spans="1:119" s="22" customFormat="1" ht="16" customHeight="1" x14ac:dyDescent="0.2">
      <c r="A376" s="20">
        <v>256</v>
      </c>
      <c r="B376" s="20" t="s">
        <v>588</v>
      </c>
      <c r="C376" s="20" t="s">
        <v>915</v>
      </c>
      <c r="D376" s="20" t="s">
        <v>920</v>
      </c>
      <c r="E376" s="20" t="s">
        <v>586</v>
      </c>
      <c r="F376" s="20" t="s">
        <v>638</v>
      </c>
      <c r="G376" s="20" t="s">
        <v>922</v>
      </c>
      <c r="H376" s="21">
        <v>44336</v>
      </c>
      <c r="I376" s="20">
        <v>5</v>
      </c>
      <c r="J376" s="20">
        <v>100</v>
      </c>
      <c r="K376" s="20">
        <v>48.2621883807914</v>
      </c>
      <c r="L376" s="20" t="s">
        <v>490</v>
      </c>
      <c r="M376" s="20" t="s">
        <v>8</v>
      </c>
      <c r="N376" s="20">
        <f t="shared" si="5"/>
        <v>2413.1094190395702</v>
      </c>
      <c r="O376" s="20" t="s">
        <v>451</v>
      </c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</row>
    <row r="377" spans="1:119" s="20" customFormat="1" ht="16" customHeight="1" x14ac:dyDescent="0.2">
      <c r="A377" s="20">
        <v>262</v>
      </c>
      <c r="B377" s="20" t="s">
        <v>588</v>
      </c>
      <c r="C377" s="20" t="s">
        <v>915</v>
      </c>
      <c r="D377" s="20" t="s">
        <v>920</v>
      </c>
      <c r="E377" s="20" t="s">
        <v>586</v>
      </c>
      <c r="F377" s="20" t="s">
        <v>638</v>
      </c>
      <c r="G377" s="20" t="s">
        <v>922</v>
      </c>
      <c r="H377" s="21">
        <v>44336</v>
      </c>
      <c r="I377" s="20">
        <v>5</v>
      </c>
      <c r="J377" s="20">
        <v>100</v>
      </c>
      <c r="K377" s="20">
        <v>22.114659931399402</v>
      </c>
      <c r="L377" s="20" t="s">
        <v>490</v>
      </c>
      <c r="M377" s="20" t="s">
        <v>8</v>
      </c>
      <c r="N377" s="20">
        <f t="shared" si="5"/>
        <v>1105.7329965699701</v>
      </c>
      <c r="O377" s="20" t="s">
        <v>451</v>
      </c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</row>
    <row r="378" spans="1:119" s="20" customFormat="1" ht="16" customHeight="1" x14ac:dyDescent="0.2">
      <c r="A378" s="20">
        <v>268</v>
      </c>
      <c r="B378" s="20" t="s">
        <v>588</v>
      </c>
      <c r="C378" s="20" t="s">
        <v>915</v>
      </c>
      <c r="D378" s="20" t="s">
        <v>920</v>
      </c>
      <c r="E378" s="20" t="s">
        <v>586</v>
      </c>
      <c r="F378" s="20" t="s">
        <v>638</v>
      </c>
      <c r="G378" s="20" t="s">
        <v>922</v>
      </c>
      <c r="H378" s="21">
        <v>44336</v>
      </c>
      <c r="I378" s="20">
        <v>5</v>
      </c>
      <c r="J378" s="20">
        <v>100</v>
      </c>
      <c r="K378" s="20">
        <v>24.995300039949498</v>
      </c>
      <c r="L378" s="20" t="s">
        <v>490</v>
      </c>
      <c r="M378" s="20" t="s">
        <v>8</v>
      </c>
      <c r="N378" s="20">
        <f t="shared" si="5"/>
        <v>1249.7650019974749</v>
      </c>
      <c r="O378" s="20" t="s">
        <v>451</v>
      </c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</row>
    <row r="379" spans="1:119" s="20" customFormat="1" ht="16" customHeight="1" x14ac:dyDescent="0.2">
      <c r="A379" s="20">
        <v>239</v>
      </c>
      <c r="B379" s="20" t="s">
        <v>588</v>
      </c>
      <c r="C379" s="20" t="s">
        <v>915</v>
      </c>
      <c r="D379" s="20" t="s">
        <v>920</v>
      </c>
      <c r="E379" s="20" t="s">
        <v>586</v>
      </c>
      <c r="F379" s="20" t="s">
        <v>638</v>
      </c>
      <c r="G379" s="20" t="s">
        <v>923</v>
      </c>
      <c r="H379" s="21">
        <v>44336</v>
      </c>
      <c r="I379" s="20">
        <v>5</v>
      </c>
      <c r="J379" s="20">
        <v>100</v>
      </c>
      <c r="K379" s="20">
        <v>30.024565428271799</v>
      </c>
      <c r="L379" s="20" t="s">
        <v>490</v>
      </c>
      <c r="M379" s="20" t="s">
        <v>8</v>
      </c>
      <c r="N379" s="20">
        <f t="shared" si="5"/>
        <v>1501.2282714135899</v>
      </c>
      <c r="O379" s="20" t="s">
        <v>451</v>
      </c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</row>
    <row r="380" spans="1:119" s="20" customFormat="1" ht="16" customHeight="1" x14ac:dyDescent="0.2">
      <c r="A380" s="20">
        <v>245</v>
      </c>
      <c r="B380" s="20" t="s">
        <v>588</v>
      </c>
      <c r="C380" s="20" t="s">
        <v>915</v>
      </c>
      <c r="D380" s="20" t="s">
        <v>920</v>
      </c>
      <c r="E380" s="20" t="s">
        <v>586</v>
      </c>
      <c r="F380" s="20" t="s">
        <v>638</v>
      </c>
      <c r="G380" s="20" t="s">
        <v>923</v>
      </c>
      <c r="H380" s="21">
        <v>44336</v>
      </c>
      <c r="I380" s="20">
        <v>5</v>
      </c>
      <c r="J380" s="20">
        <v>100</v>
      </c>
      <c r="K380" s="20">
        <v>29.773601436014399</v>
      </c>
      <c r="L380" s="20" t="s">
        <v>490</v>
      </c>
      <c r="M380" s="20" t="s">
        <v>8</v>
      </c>
      <c r="N380" s="20">
        <f t="shared" si="5"/>
        <v>1488.68007180072</v>
      </c>
      <c r="O380" s="20" t="s">
        <v>451</v>
      </c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</row>
    <row r="381" spans="1:119" s="20" customFormat="1" ht="16" customHeight="1" x14ac:dyDescent="0.2">
      <c r="A381" s="20">
        <v>251</v>
      </c>
      <c r="B381" s="20" t="s">
        <v>588</v>
      </c>
      <c r="C381" s="20" t="s">
        <v>915</v>
      </c>
      <c r="D381" s="20" t="s">
        <v>920</v>
      </c>
      <c r="E381" s="20" t="s">
        <v>586</v>
      </c>
      <c r="F381" s="20" t="s">
        <v>638</v>
      </c>
      <c r="G381" s="20" t="s">
        <v>923</v>
      </c>
      <c r="H381" s="21">
        <v>44336</v>
      </c>
      <c r="I381" s="20">
        <v>5</v>
      </c>
      <c r="J381" s="20">
        <v>100</v>
      </c>
      <c r="K381" s="20">
        <v>35.5901002181471</v>
      </c>
      <c r="L381" s="20" t="s">
        <v>490</v>
      </c>
      <c r="M381" s="20" t="s">
        <v>8</v>
      </c>
      <c r="N381" s="20">
        <f t="shared" si="5"/>
        <v>1779.505010907355</v>
      </c>
      <c r="O381" s="20" t="s">
        <v>451</v>
      </c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</row>
    <row r="382" spans="1:119" s="20" customFormat="1" ht="16" customHeight="1" x14ac:dyDescent="0.2">
      <c r="A382" s="22">
        <v>257</v>
      </c>
      <c r="B382" s="22" t="s">
        <v>590</v>
      </c>
      <c r="C382" s="22" t="s">
        <v>924</v>
      </c>
      <c r="D382" s="22" t="s">
        <v>925</v>
      </c>
      <c r="E382" s="22" t="s">
        <v>592</v>
      </c>
      <c r="F382" s="22" t="s">
        <v>638</v>
      </c>
      <c r="G382" s="22" t="s">
        <v>926</v>
      </c>
      <c r="H382" s="23">
        <v>44336</v>
      </c>
      <c r="I382" s="22">
        <v>5</v>
      </c>
      <c r="J382" s="22">
        <v>100</v>
      </c>
      <c r="K382" s="22">
        <v>40.021721764287797</v>
      </c>
      <c r="L382" s="22" t="s">
        <v>490</v>
      </c>
      <c r="M382" s="22" t="s">
        <v>8</v>
      </c>
      <c r="N382" s="22">
        <f t="shared" si="5"/>
        <v>2001.08608821439</v>
      </c>
      <c r="O382" s="22" t="s">
        <v>451</v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</row>
    <row r="383" spans="1:119" s="20" customFormat="1" ht="16" customHeight="1" x14ac:dyDescent="0.2">
      <c r="A383" s="22">
        <v>263</v>
      </c>
      <c r="B383" s="22" t="s">
        <v>590</v>
      </c>
      <c r="C383" s="22" t="s">
        <v>924</v>
      </c>
      <c r="D383" s="22" t="s">
        <v>925</v>
      </c>
      <c r="E383" s="22" t="s">
        <v>592</v>
      </c>
      <c r="F383" s="22" t="s">
        <v>638</v>
      </c>
      <c r="G383" s="22" t="s">
        <v>926</v>
      </c>
      <c r="H383" s="23">
        <v>44336</v>
      </c>
      <c r="I383" s="22">
        <v>5</v>
      </c>
      <c r="J383" s="22">
        <v>100</v>
      </c>
      <c r="K383" s="22">
        <v>46.319147762048097</v>
      </c>
      <c r="L383" s="22" t="s">
        <v>490</v>
      </c>
      <c r="M383" s="22" t="s">
        <v>8</v>
      </c>
      <c r="N383" s="22">
        <f t="shared" si="5"/>
        <v>2315.9573881024048</v>
      </c>
      <c r="O383" s="22" t="s">
        <v>451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</row>
    <row r="384" spans="1:119" s="20" customFormat="1" ht="16" customHeight="1" x14ac:dyDescent="0.2">
      <c r="A384" s="22">
        <v>269</v>
      </c>
      <c r="B384" s="22" t="s">
        <v>590</v>
      </c>
      <c r="C384" s="22" t="s">
        <v>924</v>
      </c>
      <c r="D384" s="22" t="s">
        <v>925</v>
      </c>
      <c r="E384" s="22" t="s">
        <v>592</v>
      </c>
      <c r="F384" s="22" t="s">
        <v>638</v>
      </c>
      <c r="G384" s="22" t="s">
        <v>926</v>
      </c>
      <c r="H384" s="23">
        <v>44336</v>
      </c>
      <c r="I384" s="22">
        <v>5</v>
      </c>
      <c r="J384" s="22">
        <v>100</v>
      </c>
      <c r="K384" s="22">
        <v>69.947030819202595</v>
      </c>
      <c r="L384" s="22" t="s">
        <v>490</v>
      </c>
      <c r="M384" s="22" t="s">
        <v>8</v>
      </c>
      <c r="N384" s="22">
        <f t="shared" si="5"/>
        <v>3497.35154096013</v>
      </c>
      <c r="O384" s="22" t="s">
        <v>451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</row>
    <row r="385" spans="1:119" s="20" customFormat="1" ht="16" customHeight="1" x14ac:dyDescent="0.2">
      <c r="A385" s="22">
        <v>240</v>
      </c>
      <c r="B385" s="22" t="s">
        <v>590</v>
      </c>
      <c r="C385" s="22" t="s">
        <v>924</v>
      </c>
      <c r="D385" s="22" t="s">
        <v>925</v>
      </c>
      <c r="E385" s="22" t="s">
        <v>592</v>
      </c>
      <c r="F385" s="22" t="s">
        <v>638</v>
      </c>
      <c r="G385" s="22" t="s">
        <v>927</v>
      </c>
      <c r="H385" s="23">
        <v>44336</v>
      </c>
      <c r="I385" s="22">
        <v>5</v>
      </c>
      <c r="J385" s="22">
        <v>100</v>
      </c>
      <c r="K385" s="22">
        <v>33.622229763890999</v>
      </c>
      <c r="L385" s="22" t="s">
        <v>490</v>
      </c>
      <c r="M385" s="22" t="s">
        <v>8</v>
      </c>
      <c r="N385" s="22">
        <f t="shared" si="5"/>
        <v>1681.11148819455</v>
      </c>
      <c r="O385" s="22" t="s">
        <v>451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</row>
    <row r="386" spans="1:119" s="22" customFormat="1" ht="16" customHeight="1" x14ac:dyDescent="0.2">
      <c r="A386" s="22">
        <v>246</v>
      </c>
      <c r="B386" s="22" t="s">
        <v>590</v>
      </c>
      <c r="C386" s="22" t="s">
        <v>924</v>
      </c>
      <c r="D386" s="22" t="s">
        <v>925</v>
      </c>
      <c r="E386" s="22" t="s">
        <v>592</v>
      </c>
      <c r="F386" s="22" t="s">
        <v>638</v>
      </c>
      <c r="G386" s="22" t="s">
        <v>927</v>
      </c>
      <c r="H386" s="23">
        <v>44336</v>
      </c>
      <c r="I386" s="22">
        <v>5</v>
      </c>
      <c r="J386" s="22">
        <v>100</v>
      </c>
      <c r="K386" s="22">
        <v>47.051937769439</v>
      </c>
      <c r="L386" s="22" t="s">
        <v>490</v>
      </c>
      <c r="M386" s="22" t="s">
        <v>8</v>
      </c>
      <c r="N386" s="22">
        <f t="shared" si="5"/>
        <v>2352.59688847195</v>
      </c>
      <c r="O386" s="22" t="s">
        <v>451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</row>
    <row r="387" spans="1:119" s="22" customFormat="1" ht="16" customHeight="1" x14ac:dyDescent="0.2">
      <c r="A387" s="22">
        <v>252</v>
      </c>
      <c r="B387" s="22" t="s">
        <v>590</v>
      </c>
      <c r="C387" s="22" t="s">
        <v>924</v>
      </c>
      <c r="D387" s="22" t="s">
        <v>925</v>
      </c>
      <c r="E387" s="22" t="s">
        <v>592</v>
      </c>
      <c r="F387" s="22" t="s">
        <v>638</v>
      </c>
      <c r="G387" s="22" t="s">
        <v>927</v>
      </c>
      <c r="H387" s="23">
        <v>44336</v>
      </c>
      <c r="I387" s="22">
        <v>5</v>
      </c>
      <c r="J387" s="22">
        <v>100</v>
      </c>
      <c r="K387" s="22">
        <v>67.924558100055194</v>
      </c>
      <c r="L387" s="22" t="s">
        <v>490</v>
      </c>
      <c r="M387" s="22" t="s">
        <v>8</v>
      </c>
      <c r="N387" s="22">
        <f t="shared" si="5"/>
        <v>3396.2279050027601</v>
      </c>
      <c r="O387" s="22" t="s">
        <v>451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</row>
    <row r="388" spans="1:119" s="22" customFormat="1" ht="16" customHeight="1" x14ac:dyDescent="0.2">
      <c r="A388" s="22">
        <v>258</v>
      </c>
      <c r="B388" s="22" t="s">
        <v>590</v>
      </c>
      <c r="C388" s="22" t="s">
        <v>924</v>
      </c>
      <c r="D388" s="22" t="s">
        <v>925</v>
      </c>
      <c r="E388" s="22" t="s">
        <v>592</v>
      </c>
      <c r="F388" s="22" t="s">
        <v>638</v>
      </c>
      <c r="G388" s="22" t="s">
        <v>928</v>
      </c>
      <c r="H388" s="23">
        <v>44336</v>
      </c>
      <c r="I388" s="22">
        <v>5</v>
      </c>
      <c r="J388" s="22">
        <v>100</v>
      </c>
      <c r="K388" s="22">
        <v>39.522222500765899</v>
      </c>
      <c r="L388" s="22" t="s">
        <v>490</v>
      </c>
      <c r="M388" s="22" t="s">
        <v>8</v>
      </c>
      <c r="N388" s="22">
        <f t="shared" ref="N388:N451" si="6">K388*I388*(1000/J388)</f>
        <v>1976.1111250382951</v>
      </c>
      <c r="O388" s="22" t="s">
        <v>451</v>
      </c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</row>
    <row r="389" spans="1:119" s="22" customFormat="1" ht="16" customHeight="1" x14ac:dyDescent="0.2">
      <c r="A389" s="22">
        <v>264</v>
      </c>
      <c r="B389" s="22" t="s">
        <v>590</v>
      </c>
      <c r="C389" s="22" t="s">
        <v>924</v>
      </c>
      <c r="D389" s="22" t="s">
        <v>925</v>
      </c>
      <c r="E389" s="22" t="s">
        <v>592</v>
      </c>
      <c r="F389" s="22" t="s">
        <v>638</v>
      </c>
      <c r="G389" s="22" t="s">
        <v>928</v>
      </c>
      <c r="H389" s="23">
        <v>44336</v>
      </c>
      <c r="I389" s="22">
        <v>5</v>
      </c>
      <c r="J389" s="22">
        <v>100</v>
      </c>
      <c r="K389" s="22">
        <v>56.346470150311099</v>
      </c>
      <c r="L389" s="22" t="s">
        <v>490</v>
      </c>
      <c r="M389" s="22" t="s">
        <v>8</v>
      </c>
      <c r="N389" s="22">
        <f t="shared" si="6"/>
        <v>2817.3235075155549</v>
      </c>
      <c r="O389" s="22" t="s">
        <v>451</v>
      </c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</row>
    <row r="390" spans="1:119" s="22" customFormat="1" ht="16" customHeight="1" x14ac:dyDescent="0.2">
      <c r="A390" s="22">
        <v>270</v>
      </c>
      <c r="B390" s="22" t="s">
        <v>590</v>
      </c>
      <c r="C390" s="22" t="s">
        <v>924</v>
      </c>
      <c r="D390" s="22" t="s">
        <v>925</v>
      </c>
      <c r="E390" s="22" t="s">
        <v>592</v>
      </c>
      <c r="F390" s="22" t="s">
        <v>638</v>
      </c>
      <c r="G390" s="22" t="s">
        <v>928</v>
      </c>
      <c r="H390" s="23">
        <v>44336</v>
      </c>
      <c r="I390" s="22">
        <v>5</v>
      </c>
      <c r="J390" s="22">
        <v>100</v>
      </c>
      <c r="K390" s="22">
        <v>48.766026308653103</v>
      </c>
      <c r="L390" s="22" t="s">
        <v>490</v>
      </c>
      <c r="M390" s="22" t="s">
        <v>8</v>
      </c>
      <c r="N390" s="22">
        <f t="shared" si="6"/>
        <v>2438.301315432655</v>
      </c>
      <c r="O390" s="22" t="s">
        <v>451</v>
      </c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</row>
    <row r="391" spans="1:119" s="22" customFormat="1" ht="16" customHeight="1" x14ac:dyDescent="0.2">
      <c r="A391" s="20">
        <v>271</v>
      </c>
      <c r="B391" s="20" t="s">
        <v>594</v>
      </c>
      <c r="C391" s="20" t="s">
        <v>929</v>
      </c>
      <c r="D391" s="20" t="s">
        <v>930</v>
      </c>
      <c r="E391" s="20" t="s">
        <v>597</v>
      </c>
      <c r="F391" s="20" t="s">
        <v>638</v>
      </c>
      <c r="G391" s="20" t="s">
        <v>931</v>
      </c>
      <c r="H391" s="21">
        <v>44336</v>
      </c>
      <c r="I391" s="20">
        <v>5</v>
      </c>
      <c r="J391" s="20">
        <v>100</v>
      </c>
      <c r="K391" s="20">
        <v>63.676194024185101</v>
      </c>
      <c r="L391" s="20" t="s">
        <v>490</v>
      </c>
      <c r="M391" s="20" t="s">
        <v>8</v>
      </c>
      <c r="N391" s="20">
        <f t="shared" si="6"/>
        <v>3183.8097012092549</v>
      </c>
      <c r="O391" s="20" t="s">
        <v>451</v>
      </c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</row>
    <row r="392" spans="1:119" s="22" customFormat="1" ht="16" customHeight="1" x14ac:dyDescent="0.2">
      <c r="A392" s="20">
        <v>278</v>
      </c>
      <c r="B392" s="20" t="s">
        <v>594</v>
      </c>
      <c r="C392" s="20" t="s">
        <v>929</v>
      </c>
      <c r="D392" s="20" t="s">
        <v>930</v>
      </c>
      <c r="E392" s="20" t="s">
        <v>597</v>
      </c>
      <c r="F392" s="20" t="s">
        <v>638</v>
      </c>
      <c r="G392" s="20" t="s">
        <v>931</v>
      </c>
      <c r="H392" s="21">
        <v>44336</v>
      </c>
      <c r="I392" s="20">
        <v>5</v>
      </c>
      <c r="J392" s="20">
        <v>100</v>
      </c>
      <c r="K392" s="20">
        <v>59.543502278876304</v>
      </c>
      <c r="L392" s="20" t="s">
        <v>490</v>
      </c>
      <c r="M392" s="20" t="s">
        <v>8</v>
      </c>
      <c r="N392" s="20">
        <f t="shared" si="6"/>
        <v>2977.1751139438152</v>
      </c>
      <c r="O392" s="20" t="s">
        <v>451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</row>
    <row r="393" spans="1:119" s="22" customFormat="1" ht="16" customHeight="1" x14ac:dyDescent="0.2">
      <c r="A393" s="20">
        <v>285</v>
      </c>
      <c r="B393" s="20" t="s">
        <v>594</v>
      </c>
      <c r="C393" s="20" t="s">
        <v>929</v>
      </c>
      <c r="D393" s="20" t="s">
        <v>930</v>
      </c>
      <c r="E393" s="20" t="s">
        <v>597</v>
      </c>
      <c r="F393" s="20" t="s">
        <v>638</v>
      </c>
      <c r="G393" s="20" t="s">
        <v>931</v>
      </c>
      <c r="H393" s="21">
        <v>44336</v>
      </c>
      <c r="I393" s="20">
        <v>5</v>
      </c>
      <c r="J393" s="20">
        <v>100</v>
      </c>
      <c r="K393" s="20">
        <v>57.947231301103102</v>
      </c>
      <c r="L393" s="20" t="s">
        <v>490</v>
      </c>
      <c r="M393" s="20" t="s">
        <v>8</v>
      </c>
      <c r="N393" s="20">
        <f t="shared" si="6"/>
        <v>2897.3615650551551</v>
      </c>
      <c r="O393" s="20" t="s">
        <v>451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</row>
    <row r="394" spans="1:119" s="22" customFormat="1" ht="16" customHeight="1" x14ac:dyDescent="0.2">
      <c r="A394" s="20">
        <v>292</v>
      </c>
      <c r="B394" s="20" t="s">
        <v>594</v>
      </c>
      <c r="C394" s="20" t="s">
        <v>929</v>
      </c>
      <c r="D394" s="20" t="s">
        <v>930</v>
      </c>
      <c r="E394" s="20" t="s">
        <v>597</v>
      </c>
      <c r="F394" s="20" t="s">
        <v>638</v>
      </c>
      <c r="G394" s="20" t="s">
        <v>932</v>
      </c>
      <c r="H394" s="21">
        <v>44336</v>
      </c>
      <c r="I394" s="20">
        <v>5</v>
      </c>
      <c r="J394" s="20">
        <v>100</v>
      </c>
      <c r="K394" s="20">
        <v>0</v>
      </c>
      <c r="L394" s="20" t="s">
        <v>490</v>
      </c>
      <c r="M394" s="20" t="s">
        <v>8</v>
      </c>
      <c r="N394" s="20">
        <f t="shared" si="6"/>
        <v>0</v>
      </c>
      <c r="O394" s="20" t="s">
        <v>451</v>
      </c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</row>
    <row r="395" spans="1:119" s="20" customFormat="1" ht="16" customHeight="1" x14ac:dyDescent="0.2">
      <c r="A395" s="20">
        <v>297</v>
      </c>
      <c r="B395" s="20" t="s">
        <v>594</v>
      </c>
      <c r="C395" s="20" t="s">
        <v>929</v>
      </c>
      <c r="D395" s="20" t="s">
        <v>930</v>
      </c>
      <c r="E395" s="20" t="s">
        <v>597</v>
      </c>
      <c r="F395" s="20" t="s">
        <v>638</v>
      </c>
      <c r="G395" s="20" t="s">
        <v>932</v>
      </c>
      <c r="H395" s="21">
        <v>44336</v>
      </c>
      <c r="I395" s="20">
        <v>5</v>
      </c>
      <c r="J395" s="20">
        <v>100</v>
      </c>
      <c r="K395" s="20">
        <v>7.0942769189781503</v>
      </c>
      <c r="L395" s="20" t="s">
        <v>490</v>
      </c>
      <c r="M395" s="20" t="s">
        <v>8</v>
      </c>
      <c r="N395" s="20">
        <f t="shared" si="6"/>
        <v>354.71384594890753</v>
      </c>
      <c r="O395" s="20" t="s">
        <v>451</v>
      </c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</row>
    <row r="396" spans="1:119" s="20" customFormat="1" ht="16" customHeight="1" x14ac:dyDescent="0.2">
      <c r="A396" s="20">
        <v>302</v>
      </c>
      <c r="B396" s="20" t="s">
        <v>594</v>
      </c>
      <c r="C396" s="20" t="s">
        <v>929</v>
      </c>
      <c r="D396" s="20" t="s">
        <v>930</v>
      </c>
      <c r="E396" s="20" t="s">
        <v>597</v>
      </c>
      <c r="F396" s="20" t="s">
        <v>638</v>
      </c>
      <c r="G396" s="20" t="s">
        <v>932</v>
      </c>
      <c r="H396" s="21">
        <v>44336</v>
      </c>
      <c r="I396" s="20">
        <v>5</v>
      </c>
      <c r="J396" s="20">
        <v>100</v>
      </c>
      <c r="K396" s="20">
        <v>5.1841517267798398</v>
      </c>
      <c r="L396" s="20" t="s">
        <v>490</v>
      </c>
      <c r="M396" s="20" t="s">
        <v>8</v>
      </c>
      <c r="N396" s="20">
        <f t="shared" si="6"/>
        <v>259.20758633899197</v>
      </c>
      <c r="O396" s="20" t="s">
        <v>451</v>
      </c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</row>
    <row r="397" spans="1:119" s="20" customFormat="1" ht="16" customHeight="1" x14ac:dyDescent="0.2">
      <c r="A397" s="20">
        <v>272</v>
      </c>
      <c r="B397" s="20" t="s">
        <v>594</v>
      </c>
      <c r="C397" s="20" t="s">
        <v>929</v>
      </c>
      <c r="D397" s="20" t="s">
        <v>930</v>
      </c>
      <c r="E397" s="20" t="s">
        <v>597</v>
      </c>
      <c r="F397" s="20" t="s">
        <v>638</v>
      </c>
      <c r="G397" s="20" t="s">
        <v>933</v>
      </c>
      <c r="H397" s="21">
        <v>44336</v>
      </c>
      <c r="I397" s="20">
        <v>5</v>
      </c>
      <c r="J397" s="20">
        <v>100</v>
      </c>
      <c r="K397" s="20">
        <v>43.701283485110999</v>
      </c>
      <c r="L397" s="20" t="s">
        <v>490</v>
      </c>
      <c r="M397" s="20" t="s">
        <v>8</v>
      </c>
      <c r="N397" s="20">
        <f t="shared" si="6"/>
        <v>2185.0641742555499</v>
      </c>
      <c r="O397" s="20" t="s">
        <v>451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</row>
    <row r="398" spans="1:119" s="20" customFormat="1" ht="16" customHeight="1" x14ac:dyDescent="0.2">
      <c r="A398" s="20">
        <v>279</v>
      </c>
      <c r="B398" s="20" t="s">
        <v>594</v>
      </c>
      <c r="C398" s="20" t="s">
        <v>929</v>
      </c>
      <c r="D398" s="20" t="s">
        <v>930</v>
      </c>
      <c r="E398" s="20" t="s">
        <v>597</v>
      </c>
      <c r="F398" s="20" t="s">
        <v>638</v>
      </c>
      <c r="G398" s="20" t="s">
        <v>933</v>
      </c>
      <c r="H398" s="21">
        <v>44336</v>
      </c>
      <c r="I398" s="20">
        <v>5</v>
      </c>
      <c r="J398" s="20">
        <v>100</v>
      </c>
      <c r="K398" s="20">
        <v>42.9564686388727</v>
      </c>
      <c r="L398" s="20" t="s">
        <v>490</v>
      </c>
      <c r="M398" s="20" t="s">
        <v>8</v>
      </c>
      <c r="N398" s="20">
        <f t="shared" si="6"/>
        <v>2147.8234319436351</v>
      </c>
      <c r="O398" s="20" t="s">
        <v>451</v>
      </c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</row>
    <row r="399" spans="1:119" s="20" customFormat="1" ht="16" customHeight="1" x14ac:dyDescent="0.2">
      <c r="A399" s="20">
        <v>286</v>
      </c>
      <c r="B399" s="20" t="s">
        <v>594</v>
      </c>
      <c r="C399" s="20" t="s">
        <v>929</v>
      </c>
      <c r="D399" s="20" t="s">
        <v>930</v>
      </c>
      <c r="E399" s="20" t="s">
        <v>597</v>
      </c>
      <c r="F399" s="20" t="s">
        <v>638</v>
      </c>
      <c r="G399" s="20" t="s">
        <v>933</v>
      </c>
      <c r="H399" s="21">
        <v>44336</v>
      </c>
      <c r="I399" s="20">
        <v>5</v>
      </c>
      <c r="J399" s="20">
        <v>100</v>
      </c>
      <c r="K399" s="20">
        <v>56.582841478928003</v>
      </c>
      <c r="L399" s="20" t="s">
        <v>490</v>
      </c>
      <c r="M399" s="20" t="s">
        <v>8</v>
      </c>
      <c r="N399" s="20">
        <f t="shared" si="6"/>
        <v>2829.1420739464002</v>
      </c>
      <c r="O399" s="20" t="s">
        <v>451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</row>
    <row r="400" spans="1:119" s="20" customFormat="1" ht="16" customHeight="1" x14ac:dyDescent="0.2">
      <c r="A400" s="22">
        <v>273</v>
      </c>
      <c r="B400" s="22" t="s">
        <v>599</v>
      </c>
      <c r="C400" s="22" t="s">
        <v>929</v>
      </c>
      <c r="D400" s="22" t="s">
        <v>934</v>
      </c>
      <c r="E400" s="22" t="s">
        <v>597</v>
      </c>
      <c r="F400" s="22" t="s">
        <v>638</v>
      </c>
      <c r="G400" s="22" t="s">
        <v>935</v>
      </c>
      <c r="H400" s="23">
        <v>44337</v>
      </c>
      <c r="I400" s="22">
        <v>5</v>
      </c>
      <c r="J400" s="22">
        <v>100</v>
      </c>
      <c r="K400" s="22">
        <v>0</v>
      </c>
      <c r="L400" s="22" t="s">
        <v>490</v>
      </c>
      <c r="M400" s="22" t="s">
        <v>8</v>
      </c>
      <c r="N400" s="22">
        <f t="shared" si="6"/>
        <v>0</v>
      </c>
      <c r="O400" s="22" t="s">
        <v>451</v>
      </c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</row>
    <row r="401" spans="1:119" s="20" customFormat="1" ht="16" customHeight="1" x14ac:dyDescent="0.2">
      <c r="A401" s="22">
        <v>280</v>
      </c>
      <c r="B401" s="22" t="s">
        <v>599</v>
      </c>
      <c r="C401" s="22" t="s">
        <v>929</v>
      </c>
      <c r="D401" s="22" t="s">
        <v>934</v>
      </c>
      <c r="E401" s="22" t="s">
        <v>597</v>
      </c>
      <c r="F401" s="22" t="s">
        <v>638</v>
      </c>
      <c r="G401" s="22" t="s">
        <v>935</v>
      </c>
      <c r="H401" s="23">
        <v>44337</v>
      </c>
      <c r="I401" s="22">
        <v>5</v>
      </c>
      <c r="J401" s="22">
        <v>100</v>
      </c>
      <c r="K401" s="22">
        <v>1.8007879166101499</v>
      </c>
      <c r="L401" s="22" t="s">
        <v>490</v>
      </c>
      <c r="M401" s="22" t="s">
        <v>8</v>
      </c>
      <c r="N401" s="22">
        <f t="shared" si="6"/>
        <v>90.039395830507502</v>
      </c>
      <c r="O401" s="22" t="s">
        <v>451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</row>
    <row r="402" spans="1:119" s="20" customFormat="1" ht="16" customHeight="1" x14ac:dyDescent="0.2">
      <c r="A402" s="22">
        <v>287</v>
      </c>
      <c r="B402" s="22" t="s">
        <v>599</v>
      </c>
      <c r="C402" s="22" t="s">
        <v>929</v>
      </c>
      <c r="D402" s="22" t="s">
        <v>934</v>
      </c>
      <c r="E402" s="22" t="s">
        <v>597</v>
      </c>
      <c r="F402" s="22" t="s">
        <v>638</v>
      </c>
      <c r="G402" s="22" t="s">
        <v>935</v>
      </c>
      <c r="H402" s="23">
        <v>44337</v>
      </c>
      <c r="I402" s="22">
        <v>5</v>
      </c>
      <c r="J402" s="22">
        <v>100</v>
      </c>
      <c r="K402" s="22">
        <v>0</v>
      </c>
      <c r="L402" s="22" t="s">
        <v>490</v>
      </c>
      <c r="M402" s="22" t="s">
        <v>8</v>
      </c>
      <c r="N402" s="22">
        <f t="shared" si="6"/>
        <v>0</v>
      </c>
      <c r="O402" s="22" t="s">
        <v>451</v>
      </c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</row>
    <row r="403" spans="1:119" s="20" customFormat="1" ht="16" customHeight="1" x14ac:dyDescent="0.2">
      <c r="A403" s="22">
        <v>293</v>
      </c>
      <c r="B403" s="22" t="s">
        <v>599</v>
      </c>
      <c r="C403" s="22" t="s">
        <v>929</v>
      </c>
      <c r="D403" s="22" t="s">
        <v>934</v>
      </c>
      <c r="E403" s="22" t="s">
        <v>597</v>
      </c>
      <c r="F403" s="22" t="s">
        <v>638</v>
      </c>
      <c r="G403" s="22" t="s">
        <v>936</v>
      </c>
      <c r="H403" s="23">
        <v>44337</v>
      </c>
      <c r="I403" s="22">
        <v>5</v>
      </c>
      <c r="J403" s="22">
        <v>100</v>
      </c>
      <c r="K403" s="22">
        <v>3.5765381533167599</v>
      </c>
      <c r="L403" s="22" t="s">
        <v>490</v>
      </c>
      <c r="M403" s="22" t="s">
        <v>8</v>
      </c>
      <c r="N403" s="22">
        <f t="shared" si="6"/>
        <v>178.82690766583801</v>
      </c>
      <c r="O403" s="22" t="s">
        <v>451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</row>
    <row r="404" spans="1:119" s="22" customFormat="1" ht="16" customHeight="1" x14ac:dyDescent="0.2">
      <c r="A404" s="22">
        <v>298</v>
      </c>
      <c r="B404" s="22" t="s">
        <v>599</v>
      </c>
      <c r="C404" s="22" t="s">
        <v>929</v>
      </c>
      <c r="D404" s="22" t="s">
        <v>934</v>
      </c>
      <c r="E404" s="22" t="s">
        <v>597</v>
      </c>
      <c r="F404" s="22" t="s">
        <v>638</v>
      </c>
      <c r="G404" s="22" t="s">
        <v>936</v>
      </c>
      <c r="H404" s="23">
        <v>44337</v>
      </c>
      <c r="I404" s="22">
        <v>5</v>
      </c>
      <c r="J404" s="22">
        <v>100</v>
      </c>
      <c r="K404" s="22">
        <v>4.3725177235818604</v>
      </c>
      <c r="L404" s="22" t="s">
        <v>490</v>
      </c>
      <c r="M404" s="22" t="s">
        <v>8</v>
      </c>
      <c r="N404" s="22">
        <f t="shared" si="6"/>
        <v>218.62588617909302</v>
      </c>
      <c r="O404" s="22" t="s">
        <v>451</v>
      </c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</row>
    <row r="405" spans="1:119" s="22" customFormat="1" ht="16" customHeight="1" x14ac:dyDescent="0.2">
      <c r="A405" s="22">
        <v>303</v>
      </c>
      <c r="B405" s="22" t="s">
        <v>599</v>
      </c>
      <c r="C405" s="22" t="s">
        <v>929</v>
      </c>
      <c r="D405" s="22" t="s">
        <v>934</v>
      </c>
      <c r="E405" s="22" t="s">
        <v>597</v>
      </c>
      <c r="F405" s="22" t="s">
        <v>638</v>
      </c>
      <c r="G405" s="22" t="s">
        <v>936</v>
      </c>
      <c r="H405" s="23">
        <v>44337</v>
      </c>
      <c r="I405" s="22">
        <v>5</v>
      </c>
      <c r="J405" s="22">
        <v>100</v>
      </c>
      <c r="K405" s="22">
        <v>8.5147024342428193</v>
      </c>
      <c r="L405" s="22" t="s">
        <v>490</v>
      </c>
      <c r="M405" s="22" t="s">
        <v>8</v>
      </c>
      <c r="N405" s="22">
        <f t="shared" si="6"/>
        <v>425.73512171214099</v>
      </c>
      <c r="O405" s="22" t="s">
        <v>451</v>
      </c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</row>
    <row r="406" spans="1:119" s="22" customFormat="1" ht="16" customHeight="1" x14ac:dyDescent="0.2">
      <c r="A406" s="22">
        <v>274</v>
      </c>
      <c r="B406" s="22" t="s">
        <v>599</v>
      </c>
      <c r="C406" s="22" t="s">
        <v>929</v>
      </c>
      <c r="D406" s="22" t="s">
        <v>934</v>
      </c>
      <c r="E406" s="22" t="s">
        <v>597</v>
      </c>
      <c r="F406" s="22" t="s">
        <v>638</v>
      </c>
      <c r="G406" s="22" t="s">
        <v>937</v>
      </c>
      <c r="H406" s="23">
        <v>44337</v>
      </c>
      <c r="I406" s="22">
        <v>5</v>
      </c>
      <c r="J406" s="22">
        <v>100</v>
      </c>
      <c r="K406" s="22">
        <v>3.2645707307978999</v>
      </c>
      <c r="L406" s="22" t="s">
        <v>490</v>
      </c>
      <c r="M406" s="22" t="s">
        <v>8</v>
      </c>
      <c r="N406" s="22">
        <f t="shared" si="6"/>
        <v>163.228536539895</v>
      </c>
      <c r="O406" s="22" t="s">
        <v>451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</row>
    <row r="407" spans="1:119" s="22" customFormat="1" ht="16" customHeight="1" x14ac:dyDescent="0.2">
      <c r="A407" s="22">
        <v>281</v>
      </c>
      <c r="B407" s="22" t="s">
        <v>599</v>
      </c>
      <c r="C407" s="22" t="s">
        <v>929</v>
      </c>
      <c r="D407" s="22" t="s">
        <v>934</v>
      </c>
      <c r="E407" s="22" t="s">
        <v>597</v>
      </c>
      <c r="F407" s="22" t="s">
        <v>638</v>
      </c>
      <c r="G407" s="22" t="s">
        <v>937</v>
      </c>
      <c r="H407" s="23">
        <v>44337</v>
      </c>
      <c r="I407" s="22">
        <v>5</v>
      </c>
      <c r="J407" s="22">
        <v>100</v>
      </c>
      <c r="K407" s="22">
        <v>0</v>
      </c>
      <c r="L407" s="22" t="s">
        <v>490</v>
      </c>
      <c r="M407" s="22" t="s">
        <v>8</v>
      </c>
      <c r="N407" s="22">
        <f t="shared" si="6"/>
        <v>0</v>
      </c>
      <c r="O407" s="22" t="s">
        <v>451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</row>
    <row r="408" spans="1:119" s="22" customFormat="1" ht="16" customHeight="1" x14ac:dyDescent="0.2">
      <c r="A408" s="22">
        <v>288</v>
      </c>
      <c r="B408" s="22" t="s">
        <v>599</v>
      </c>
      <c r="C408" s="22" t="s">
        <v>929</v>
      </c>
      <c r="D408" s="22" t="s">
        <v>934</v>
      </c>
      <c r="E408" s="22" t="s">
        <v>597</v>
      </c>
      <c r="F408" s="22" t="s">
        <v>638</v>
      </c>
      <c r="G408" s="22" t="s">
        <v>937</v>
      </c>
      <c r="H408" s="23">
        <v>44337</v>
      </c>
      <c r="I408" s="22">
        <v>5</v>
      </c>
      <c r="J408" s="22">
        <v>100</v>
      </c>
      <c r="K408" s="22">
        <v>0</v>
      </c>
      <c r="L408" s="22" t="s">
        <v>490</v>
      </c>
      <c r="M408" s="22" t="s">
        <v>8</v>
      </c>
      <c r="N408" s="22">
        <f t="shared" si="6"/>
        <v>0</v>
      </c>
      <c r="O408" s="22" t="s">
        <v>451</v>
      </c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</row>
    <row r="409" spans="1:119" s="22" customFormat="1" ht="16" customHeight="1" x14ac:dyDescent="0.2">
      <c r="A409" s="20">
        <v>294</v>
      </c>
      <c r="B409" s="20" t="s">
        <v>601</v>
      </c>
      <c r="C409" s="20" t="s">
        <v>929</v>
      </c>
      <c r="D409" s="20" t="s">
        <v>938</v>
      </c>
      <c r="E409" s="20" t="s">
        <v>597</v>
      </c>
      <c r="F409" s="20" t="s">
        <v>638</v>
      </c>
      <c r="G409" s="20" t="s">
        <v>939</v>
      </c>
      <c r="H409" s="21">
        <v>44337</v>
      </c>
      <c r="I409" s="20">
        <v>5</v>
      </c>
      <c r="J409" s="20">
        <v>100</v>
      </c>
      <c r="K409" s="20">
        <v>13.122328953441899</v>
      </c>
      <c r="L409" s="20" t="s">
        <v>490</v>
      </c>
      <c r="M409" s="20" t="s">
        <v>8</v>
      </c>
      <c r="N409" s="20">
        <f t="shared" si="6"/>
        <v>656.11644767209498</v>
      </c>
      <c r="O409" s="20" t="s">
        <v>451</v>
      </c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</row>
    <row r="410" spans="1:119" s="22" customFormat="1" ht="16" customHeight="1" x14ac:dyDescent="0.2">
      <c r="A410" s="20">
        <v>299</v>
      </c>
      <c r="B410" s="20" t="s">
        <v>601</v>
      </c>
      <c r="C410" s="20" t="s">
        <v>929</v>
      </c>
      <c r="D410" s="20" t="s">
        <v>938</v>
      </c>
      <c r="E410" s="20" t="s">
        <v>597</v>
      </c>
      <c r="F410" s="20" t="s">
        <v>638</v>
      </c>
      <c r="G410" s="20" t="s">
        <v>939</v>
      </c>
      <c r="H410" s="21">
        <v>44337</v>
      </c>
      <c r="I410" s="20">
        <v>5</v>
      </c>
      <c r="J410" s="20">
        <v>100</v>
      </c>
      <c r="K410" s="20">
        <v>6.4394130279142203</v>
      </c>
      <c r="L410" s="20" t="s">
        <v>490</v>
      </c>
      <c r="M410" s="20" t="s">
        <v>8</v>
      </c>
      <c r="N410" s="20">
        <f t="shared" si="6"/>
        <v>321.970651395711</v>
      </c>
      <c r="O410" s="20" t="s">
        <v>451</v>
      </c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</row>
    <row r="411" spans="1:119" s="22" customFormat="1" ht="16" customHeight="1" x14ac:dyDescent="0.2">
      <c r="A411" s="20">
        <v>304</v>
      </c>
      <c r="B411" s="20" t="s">
        <v>601</v>
      </c>
      <c r="C411" s="20" t="s">
        <v>929</v>
      </c>
      <c r="D411" s="20" t="s">
        <v>938</v>
      </c>
      <c r="E411" s="20" t="s">
        <v>597</v>
      </c>
      <c r="F411" s="20" t="s">
        <v>638</v>
      </c>
      <c r="G411" s="20" t="s">
        <v>939</v>
      </c>
      <c r="H411" s="21">
        <v>44337</v>
      </c>
      <c r="I411" s="20">
        <v>5</v>
      </c>
      <c r="J411" s="20">
        <v>100</v>
      </c>
      <c r="K411" s="20">
        <v>12.8279941205284</v>
      </c>
      <c r="L411" s="20" t="s">
        <v>490</v>
      </c>
      <c r="M411" s="20" t="s">
        <v>8</v>
      </c>
      <c r="N411" s="20">
        <f t="shared" si="6"/>
        <v>641.39970602641995</v>
      </c>
      <c r="O411" s="20" t="s">
        <v>451</v>
      </c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</row>
    <row r="412" spans="1:119" s="22" customFormat="1" ht="16" customHeight="1" x14ac:dyDescent="0.2">
      <c r="A412" s="20">
        <v>275</v>
      </c>
      <c r="B412" s="20" t="s">
        <v>601</v>
      </c>
      <c r="C412" s="20" t="s">
        <v>929</v>
      </c>
      <c r="D412" s="20" t="s">
        <v>938</v>
      </c>
      <c r="E412" s="20" t="s">
        <v>597</v>
      </c>
      <c r="F412" s="20" t="s">
        <v>638</v>
      </c>
      <c r="G412" s="20" t="s">
        <v>940</v>
      </c>
      <c r="H412" s="21">
        <v>44337</v>
      </c>
      <c r="I412" s="20">
        <v>5</v>
      </c>
      <c r="J412" s="20">
        <v>100</v>
      </c>
      <c r="K412" s="20">
        <v>3.59954118237868</v>
      </c>
      <c r="L412" s="20" t="s">
        <v>490</v>
      </c>
      <c r="M412" s="20" t="s">
        <v>8</v>
      </c>
      <c r="N412" s="20">
        <f t="shared" si="6"/>
        <v>179.97705911893402</v>
      </c>
      <c r="O412" s="20" t="s">
        <v>451</v>
      </c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</row>
    <row r="413" spans="1:119" s="20" customFormat="1" ht="16" customHeight="1" x14ac:dyDescent="0.2">
      <c r="A413" s="20">
        <v>282</v>
      </c>
      <c r="B413" s="20" t="s">
        <v>601</v>
      </c>
      <c r="C413" s="20" t="s">
        <v>929</v>
      </c>
      <c r="D413" s="20" t="s">
        <v>938</v>
      </c>
      <c r="E413" s="20" t="s">
        <v>597</v>
      </c>
      <c r="F413" s="20" t="s">
        <v>638</v>
      </c>
      <c r="G413" s="20" t="s">
        <v>940</v>
      </c>
      <c r="H413" s="21">
        <v>44337</v>
      </c>
      <c r="I413" s="20">
        <v>5</v>
      </c>
      <c r="J413" s="20">
        <v>100</v>
      </c>
      <c r="K413" s="20">
        <v>3.1795451316719499</v>
      </c>
      <c r="L413" s="20" t="s">
        <v>490</v>
      </c>
      <c r="M413" s="20" t="s">
        <v>8</v>
      </c>
      <c r="N413" s="20">
        <f t="shared" si="6"/>
        <v>158.97725658359749</v>
      </c>
      <c r="O413" s="20" t="s">
        <v>451</v>
      </c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</row>
    <row r="414" spans="1:119" s="20" customFormat="1" ht="16" customHeight="1" x14ac:dyDescent="0.2">
      <c r="A414" s="20">
        <v>289</v>
      </c>
      <c r="B414" s="20" t="s">
        <v>601</v>
      </c>
      <c r="C414" s="20" t="s">
        <v>929</v>
      </c>
      <c r="D414" s="20" t="s">
        <v>938</v>
      </c>
      <c r="E414" s="20" t="s">
        <v>597</v>
      </c>
      <c r="F414" s="20" t="s">
        <v>638</v>
      </c>
      <c r="G414" s="20" t="s">
        <v>940</v>
      </c>
      <c r="H414" s="21">
        <v>44337</v>
      </c>
      <c r="I414" s="20">
        <v>5</v>
      </c>
      <c r="J414" s="20">
        <v>100</v>
      </c>
      <c r="K414" s="20">
        <v>10.420979980197499</v>
      </c>
      <c r="L414" s="20" t="s">
        <v>490</v>
      </c>
      <c r="M414" s="20" t="s">
        <v>8</v>
      </c>
      <c r="N414" s="20">
        <f t="shared" si="6"/>
        <v>521.04899900987493</v>
      </c>
      <c r="O414" s="20" t="s">
        <v>451</v>
      </c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</row>
    <row r="415" spans="1:119" s="20" customFormat="1" ht="16" customHeight="1" x14ac:dyDescent="0.2">
      <c r="A415" s="20">
        <v>295</v>
      </c>
      <c r="B415" s="20" t="s">
        <v>601</v>
      </c>
      <c r="C415" s="20" t="s">
        <v>929</v>
      </c>
      <c r="D415" s="20" t="s">
        <v>938</v>
      </c>
      <c r="E415" s="20" t="s">
        <v>597</v>
      </c>
      <c r="F415" s="20" t="s">
        <v>638</v>
      </c>
      <c r="G415" s="20" t="s">
        <v>941</v>
      </c>
      <c r="H415" s="21">
        <v>44337</v>
      </c>
      <c r="I415" s="20">
        <v>5</v>
      </c>
      <c r="J415" s="20">
        <v>100</v>
      </c>
      <c r="K415" s="20">
        <v>0</v>
      </c>
      <c r="L415" s="20" t="s">
        <v>490</v>
      </c>
      <c r="M415" s="20" t="s">
        <v>8</v>
      </c>
      <c r="N415" s="20">
        <f t="shared" si="6"/>
        <v>0</v>
      </c>
      <c r="O415" s="20" t="s">
        <v>451</v>
      </c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</row>
    <row r="416" spans="1:119" s="20" customFormat="1" ht="16" customHeight="1" x14ac:dyDescent="0.2">
      <c r="A416" s="20">
        <v>300</v>
      </c>
      <c r="B416" s="20" t="s">
        <v>601</v>
      </c>
      <c r="C416" s="20" t="s">
        <v>929</v>
      </c>
      <c r="D416" s="20" t="s">
        <v>938</v>
      </c>
      <c r="E416" s="20" t="s">
        <v>597</v>
      </c>
      <c r="F416" s="20" t="s">
        <v>638</v>
      </c>
      <c r="G416" s="20" t="s">
        <v>941</v>
      </c>
      <c r="H416" s="21">
        <v>44337</v>
      </c>
      <c r="I416" s="20">
        <v>5</v>
      </c>
      <c r="J416" s="20">
        <v>100</v>
      </c>
      <c r="K416" s="20">
        <v>0</v>
      </c>
      <c r="L416" s="20" t="s">
        <v>490</v>
      </c>
      <c r="M416" s="20" t="s">
        <v>8</v>
      </c>
      <c r="N416" s="20">
        <f t="shared" si="6"/>
        <v>0</v>
      </c>
      <c r="O416" s="20" t="s">
        <v>451</v>
      </c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</row>
    <row r="417" spans="1:70" s="20" customFormat="1" ht="16" customHeight="1" x14ac:dyDescent="0.2">
      <c r="A417" s="20">
        <v>305</v>
      </c>
      <c r="B417" s="20" t="s">
        <v>601</v>
      </c>
      <c r="C417" s="20" t="s">
        <v>929</v>
      </c>
      <c r="D417" s="20" t="s">
        <v>938</v>
      </c>
      <c r="E417" s="20" t="s">
        <v>597</v>
      </c>
      <c r="F417" s="20" t="s">
        <v>638</v>
      </c>
      <c r="G417" s="20" t="s">
        <v>941</v>
      </c>
      <c r="H417" s="21">
        <v>44337</v>
      </c>
      <c r="I417" s="20">
        <v>5</v>
      </c>
      <c r="J417" s="20">
        <v>100</v>
      </c>
      <c r="K417" s="20">
        <v>0</v>
      </c>
      <c r="L417" s="20" t="s">
        <v>490</v>
      </c>
      <c r="M417" s="20" t="s">
        <v>8</v>
      </c>
      <c r="N417" s="20">
        <f t="shared" si="6"/>
        <v>0</v>
      </c>
      <c r="O417" s="20" t="s">
        <v>451</v>
      </c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</row>
    <row r="418" spans="1:70" s="20" customFormat="1" ht="16" customHeight="1" x14ac:dyDescent="0.2">
      <c r="A418" s="22">
        <v>276</v>
      </c>
      <c r="B418" s="22" t="s">
        <v>603</v>
      </c>
      <c r="C418" s="22" t="s">
        <v>942</v>
      </c>
      <c r="D418" s="22" t="s">
        <v>943</v>
      </c>
      <c r="E418" s="22" t="s">
        <v>605</v>
      </c>
      <c r="F418" s="22" t="s">
        <v>638</v>
      </c>
      <c r="G418" s="22" t="s">
        <v>944</v>
      </c>
      <c r="H418" s="23">
        <v>44337</v>
      </c>
      <c r="I418" s="22">
        <v>5</v>
      </c>
      <c r="J418" s="22">
        <v>100</v>
      </c>
      <c r="K418" s="22">
        <v>113.89921721935001</v>
      </c>
      <c r="L418" s="22" t="s">
        <v>490</v>
      </c>
      <c r="M418" s="22" t="s">
        <v>8</v>
      </c>
      <c r="N418" s="22">
        <f t="shared" si="6"/>
        <v>5694.9608609674997</v>
      </c>
      <c r="O418" s="22" t="s">
        <v>451</v>
      </c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</row>
    <row r="419" spans="1:70" s="20" customFormat="1" ht="16" customHeight="1" x14ac:dyDescent="0.2">
      <c r="A419" s="22">
        <v>283</v>
      </c>
      <c r="B419" s="22" t="s">
        <v>603</v>
      </c>
      <c r="C419" s="22" t="s">
        <v>942</v>
      </c>
      <c r="D419" s="22" t="s">
        <v>943</v>
      </c>
      <c r="E419" s="22" t="s">
        <v>605</v>
      </c>
      <c r="F419" s="22" t="s">
        <v>638</v>
      </c>
      <c r="G419" s="22" t="s">
        <v>944</v>
      </c>
      <c r="H419" s="23">
        <v>44337</v>
      </c>
      <c r="I419" s="22">
        <v>5</v>
      </c>
      <c r="J419" s="22">
        <v>100</v>
      </c>
      <c r="K419" s="22">
        <v>9.9634128581094803</v>
      </c>
      <c r="L419" s="22" t="s">
        <v>490</v>
      </c>
      <c r="M419" s="22" t="s">
        <v>8</v>
      </c>
      <c r="N419" s="22">
        <f t="shared" si="6"/>
        <v>498.17064290547398</v>
      </c>
      <c r="O419" s="22" t="s">
        <v>451</v>
      </c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</row>
    <row r="420" spans="1:70" s="20" customFormat="1" ht="16" customHeight="1" x14ac:dyDescent="0.2">
      <c r="A420" s="22">
        <v>290</v>
      </c>
      <c r="B420" s="22" t="s">
        <v>603</v>
      </c>
      <c r="C420" s="22" t="s">
        <v>942</v>
      </c>
      <c r="D420" s="22" t="s">
        <v>943</v>
      </c>
      <c r="E420" s="22" t="s">
        <v>605</v>
      </c>
      <c r="F420" s="22" t="s">
        <v>638</v>
      </c>
      <c r="G420" s="22" t="s">
        <v>944</v>
      </c>
      <c r="H420" s="23">
        <v>44337</v>
      </c>
      <c r="I420" s="22">
        <v>5</v>
      </c>
      <c r="J420" s="22">
        <v>100</v>
      </c>
      <c r="K420" s="22">
        <v>23.348658317478101</v>
      </c>
      <c r="L420" s="22" t="s">
        <v>490</v>
      </c>
      <c r="M420" s="22" t="s">
        <v>8</v>
      </c>
      <c r="N420" s="22">
        <f t="shared" si="6"/>
        <v>1167.4329158739051</v>
      </c>
      <c r="O420" s="22" t="s">
        <v>451</v>
      </c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</row>
    <row r="421" spans="1:70" s="20" customFormat="1" ht="16" customHeight="1" x14ac:dyDescent="0.2">
      <c r="A421" s="22">
        <v>296</v>
      </c>
      <c r="B421" s="22" t="s">
        <v>603</v>
      </c>
      <c r="C421" s="22" t="s">
        <v>942</v>
      </c>
      <c r="D421" s="22" t="s">
        <v>943</v>
      </c>
      <c r="E421" s="22" t="s">
        <v>605</v>
      </c>
      <c r="F421" s="22" t="s">
        <v>638</v>
      </c>
      <c r="G421" s="22" t="s">
        <v>945</v>
      </c>
      <c r="H421" s="23">
        <v>44337</v>
      </c>
      <c r="I421" s="22">
        <v>5</v>
      </c>
      <c r="J421" s="22">
        <v>100</v>
      </c>
      <c r="K421" s="22">
        <v>124.196538961218</v>
      </c>
      <c r="L421" s="22" t="s">
        <v>490</v>
      </c>
      <c r="M421" s="22" t="s">
        <v>8</v>
      </c>
      <c r="N421" s="22">
        <f t="shared" si="6"/>
        <v>6209.8269480608997</v>
      </c>
      <c r="O421" s="22" t="s">
        <v>451</v>
      </c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</row>
    <row r="422" spans="1:70" s="22" customFormat="1" ht="16" customHeight="1" x14ac:dyDescent="0.2">
      <c r="A422" s="22">
        <v>301</v>
      </c>
      <c r="B422" s="22" t="s">
        <v>603</v>
      </c>
      <c r="C422" s="22" t="s">
        <v>942</v>
      </c>
      <c r="D422" s="22" t="s">
        <v>943</v>
      </c>
      <c r="E422" s="22" t="s">
        <v>605</v>
      </c>
      <c r="F422" s="22" t="s">
        <v>638</v>
      </c>
      <c r="G422" s="22" t="s">
        <v>945</v>
      </c>
      <c r="H422" s="23">
        <v>44337</v>
      </c>
      <c r="I422" s="22">
        <v>5</v>
      </c>
      <c r="J422" s="22">
        <v>100</v>
      </c>
      <c r="K422" s="22">
        <v>81.554012660643806</v>
      </c>
      <c r="L422" s="22" t="s">
        <v>490</v>
      </c>
      <c r="M422" s="22" t="s">
        <v>8</v>
      </c>
      <c r="N422" s="22">
        <f t="shared" si="6"/>
        <v>4077.7006330321906</v>
      </c>
      <c r="O422" s="22" t="s">
        <v>451</v>
      </c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</row>
    <row r="423" spans="1:70" s="22" customFormat="1" ht="16" customHeight="1" x14ac:dyDescent="0.2">
      <c r="A423" s="22">
        <v>306</v>
      </c>
      <c r="B423" s="22" t="s">
        <v>603</v>
      </c>
      <c r="C423" s="22" t="s">
        <v>942</v>
      </c>
      <c r="D423" s="22" t="s">
        <v>943</v>
      </c>
      <c r="E423" s="22" t="s">
        <v>605</v>
      </c>
      <c r="F423" s="22" t="s">
        <v>638</v>
      </c>
      <c r="G423" s="22" t="s">
        <v>945</v>
      </c>
      <c r="H423" s="23">
        <v>44337</v>
      </c>
      <c r="I423" s="22">
        <v>5</v>
      </c>
      <c r="J423" s="22">
        <v>100</v>
      </c>
      <c r="K423" s="22">
        <v>137.306413263042</v>
      </c>
      <c r="L423" s="22" t="s">
        <v>490</v>
      </c>
      <c r="M423" s="22" t="s">
        <v>8</v>
      </c>
      <c r="N423" s="22">
        <f t="shared" si="6"/>
        <v>6865.3206631521007</v>
      </c>
      <c r="O423" s="22" t="s">
        <v>451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</row>
    <row r="424" spans="1:70" s="22" customFormat="1" ht="16" customHeight="1" x14ac:dyDescent="0.2">
      <c r="A424" s="22">
        <v>277</v>
      </c>
      <c r="B424" s="22" t="s">
        <v>603</v>
      </c>
      <c r="C424" s="22" t="s">
        <v>942</v>
      </c>
      <c r="D424" s="22" t="s">
        <v>943</v>
      </c>
      <c r="E424" s="22" t="s">
        <v>605</v>
      </c>
      <c r="F424" s="22" t="s">
        <v>638</v>
      </c>
      <c r="G424" s="22" t="s">
        <v>946</v>
      </c>
      <c r="H424" s="23">
        <v>44337</v>
      </c>
      <c r="I424" s="22">
        <v>5</v>
      </c>
      <c r="J424" s="22">
        <v>100</v>
      </c>
      <c r="K424" s="22">
        <v>69.998567207498795</v>
      </c>
      <c r="L424" s="22" t="s">
        <v>490</v>
      </c>
      <c r="M424" s="22" t="s">
        <v>8</v>
      </c>
      <c r="N424" s="22">
        <f t="shared" si="6"/>
        <v>3499.92836037494</v>
      </c>
      <c r="O424" s="22" t="s">
        <v>451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</row>
    <row r="425" spans="1:70" s="22" customFormat="1" ht="16" customHeight="1" x14ac:dyDescent="0.2">
      <c r="A425" s="22">
        <v>284</v>
      </c>
      <c r="B425" s="22" t="s">
        <v>603</v>
      </c>
      <c r="C425" s="22" t="s">
        <v>942</v>
      </c>
      <c r="D425" s="22" t="s">
        <v>943</v>
      </c>
      <c r="E425" s="22" t="s">
        <v>605</v>
      </c>
      <c r="F425" s="22" t="s">
        <v>638</v>
      </c>
      <c r="G425" s="22" t="s">
        <v>946</v>
      </c>
      <c r="H425" s="23">
        <v>44337</v>
      </c>
      <c r="I425" s="22">
        <v>5</v>
      </c>
      <c r="J425" s="22">
        <v>100</v>
      </c>
      <c r="K425" s="22">
        <v>48.905721504692998</v>
      </c>
      <c r="L425" s="22" t="s">
        <v>490</v>
      </c>
      <c r="M425" s="22" t="s">
        <v>8</v>
      </c>
      <c r="N425" s="22">
        <f t="shared" si="6"/>
        <v>2445.2860752346496</v>
      </c>
      <c r="O425" s="22" t="s">
        <v>451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</row>
    <row r="426" spans="1:70" s="22" customFormat="1" ht="16" customHeight="1" x14ac:dyDescent="0.2">
      <c r="A426" s="22">
        <v>291</v>
      </c>
      <c r="B426" s="22" t="s">
        <v>603</v>
      </c>
      <c r="C426" s="22" t="s">
        <v>942</v>
      </c>
      <c r="D426" s="22" t="s">
        <v>943</v>
      </c>
      <c r="E426" s="22" t="s">
        <v>605</v>
      </c>
      <c r="F426" s="22" t="s">
        <v>638</v>
      </c>
      <c r="G426" s="22" t="s">
        <v>946</v>
      </c>
      <c r="H426" s="23">
        <v>44337</v>
      </c>
      <c r="I426" s="22">
        <v>5</v>
      </c>
      <c r="J426" s="22">
        <v>100</v>
      </c>
      <c r="K426" s="22">
        <v>78.617123126989696</v>
      </c>
      <c r="L426" s="22" t="s">
        <v>490</v>
      </c>
      <c r="M426" s="22" t="s">
        <v>8</v>
      </c>
      <c r="N426" s="22">
        <f t="shared" si="6"/>
        <v>3930.8561563494845</v>
      </c>
      <c r="O426" s="22" t="s">
        <v>451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</row>
    <row r="427" spans="1:70" s="22" customFormat="1" ht="16" customHeight="1" x14ac:dyDescent="0.2">
      <c r="A427" s="20">
        <v>307</v>
      </c>
      <c r="B427" s="20" t="s">
        <v>607</v>
      </c>
      <c r="C427" s="20" t="s">
        <v>942</v>
      </c>
      <c r="D427" s="20" t="s">
        <v>947</v>
      </c>
      <c r="E427" s="20" t="s">
        <v>605</v>
      </c>
      <c r="F427" s="20" t="s">
        <v>638</v>
      </c>
      <c r="G427" s="20" t="s">
        <v>948</v>
      </c>
      <c r="H427" s="21">
        <v>44341</v>
      </c>
      <c r="I427" s="20">
        <v>5</v>
      </c>
      <c r="J427" s="20">
        <v>100</v>
      </c>
      <c r="K427" s="20">
        <v>354.83445073048603</v>
      </c>
      <c r="L427" s="20" t="s">
        <v>490</v>
      </c>
      <c r="M427" s="20" t="s">
        <v>8</v>
      </c>
      <c r="N427" s="20">
        <f t="shared" si="6"/>
        <v>17741.722536524299</v>
      </c>
      <c r="O427" s="20" t="s">
        <v>451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</row>
    <row r="428" spans="1:70" s="22" customFormat="1" ht="16" customHeight="1" x14ac:dyDescent="0.2">
      <c r="A428" s="20">
        <v>314</v>
      </c>
      <c r="B428" s="20" t="s">
        <v>607</v>
      </c>
      <c r="C428" s="20" t="s">
        <v>942</v>
      </c>
      <c r="D428" s="20" t="s">
        <v>947</v>
      </c>
      <c r="E428" s="20" t="s">
        <v>605</v>
      </c>
      <c r="F428" s="20" t="s">
        <v>638</v>
      </c>
      <c r="G428" s="20" t="s">
        <v>948</v>
      </c>
      <c r="H428" s="21">
        <v>44341</v>
      </c>
      <c r="I428" s="20">
        <v>5</v>
      </c>
      <c r="J428" s="20">
        <v>100</v>
      </c>
      <c r="K428" s="20">
        <v>362.858178579119</v>
      </c>
      <c r="L428" s="20" t="s">
        <v>490</v>
      </c>
      <c r="M428" s="20" t="s">
        <v>8</v>
      </c>
      <c r="N428" s="20">
        <f t="shared" si="6"/>
        <v>18142.908928955949</v>
      </c>
      <c r="O428" s="20" t="s">
        <v>451</v>
      </c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</row>
    <row r="429" spans="1:70" s="22" customFormat="1" ht="16" customHeight="1" x14ac:dyDescent="0.2">
      <c r="A429" s="20">
        <v>321</v>
      </c>
      <c r="B429" s="20" t="s">
        <v>607</v>
      </c>
      <c r="C429" s="20" t="s">
        <v>942</v>
      </c>
      <c r="D429" s="20" t="s">
        <v>947</v>
      </c>
      <c r="E429" s="20" t="s">
        <v>605</v>
      </c>
      <c r="F429" s="20" t="s">
        <v>638</v>
      </c>
      <c r="G429" s="20" t="s">
        <v>948</v>
      </c>
      <c r="H429" s="21">
        <v>44341</v>
      </c>
      <c r="I429" s="20">
        <v>5</v>
      </c>
      <c r="J429" s="20">
        <v>100</v>
      </c>
      <c r="K429" s="20">
        <v>333.577553287618</v>
      </c>
      <c r="L429" s="20" t="s">
        <v>490</v>
      </c>
      <c r="M429" s="20" t="s">
        <v>8</v>
      </c>
      <c r="N429" s="20">
        <f t="shared" si="6"/>
        <v>16678.8776643809</v>
      </c>
      <c r="O429" s="20" t="s">
        <v>451</v>
      </c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</row>
    <row r="430" spans="1:70" s="22" customFormat="1" ht="16" customHeight="1" x14ac:dyDescent="0.2">
      <c r="A430" s="20">
        <v>328</v>
      </c>
      <c r="B430" s="20" t="s">
        <v>607</v>
      </c>
      <c r="C430" s="20" t="s">
        <v>942</v>
      </c>
      <c r="D430" s="20" t="s">
        <v>947</v>
      </c>
      <c r="E430" s="20" t="s">
        <v>605</v>
      </c>
      <c r="F430" s="20" t="s">
        <v>638</v>
      </c>
      <c r="G430" s="20" t="s">
        <v>949</v>
      </c>
      <c r="H430" s="21">
        <v>44341</v>
      </c>
      <c r="I430" s="20">
        <v>5</v>
      </c>
      <c r="J430" s="20">
        <v>100</v>
      </c>
      <c r="K430" s="20">
        <v>171.19401895285</v>
      </c>
      <c r="L430" s="20" t="s">
        <v>490</v>
      </c>
      <c r="M430" s="20" t="s">
        <v>8</v>
      </c>
      <c r="N430" s="20">
        <f t="shared" si="6"/>
        <v>8559.700947642501</v>
      </c>
      <c r="O430" s="20" t="s">
        <v>451</v>
      </c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</row>
    <row r="431" spans="1:70" s="20" customFormat="1" ht="16" customHeight="1" x14ac:dyDescent="0.2">
      <c r="A431" s="20">
        <v>335</v>
      </c>
      <c r="B431" s="20" t="s">
        <v>607</v>
      </c>
      <c r="C431" s="20" t="s">
        <v>942</v>
      </c>
      <c r="D431" s="20" t="s">
        <v>947</v>
      </c>
      <c r="E431" s="20" t="s">
        <v>605</v>
      </c>
      <c r="F431" s="20" t="s">
        <v>638</v>
      </c>
      <c r="G431" s="20" t="s">
        <v>949</v>
      </c>
      <c r="H431" s="21">
        <v>44341</v>
      </c>
      <c r="I431" s="20">
        <v>5</v>
      </c>
      <c r="J431" s="20">
        <v>100</v>
      </c>
      <c r="K431" s="20">
        <v>188.17769595163401</v>
      </c>
      <c r="L431" s="20" t="s">
        <v>490</v>
      </c>
      <c r="M431" s="20" t="s">
        <v>8</v>
      </c>
      <c r="N431" s="20">
        <f t="shared" si="6"/>
        <v>9408.8847975817007</v>
      </c>
      <c r="O431" s="20" t="s">
        <v>451</v>
      </c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</row>
    <row r="432" spans="1:70" s="20" customFormat="1" ht="16" customHeight="1" x14ac:dyDescent="0.2">
      <c r="A432" s="20">
        <v>342</v>
      </c>
      <c r="B432" s="20" t="s">
        <v>607</v>
      </c>
      <c r="C432" s="20" t="s">
        <v>942</v>
      </c>
      <c r="D432" s="20" t="s">
        <v>947</v>
      </c>
      <c r="E432" s="20" t="s">
        <v>605</v>
      </c>
      <c r="F432" s="20" t="s">
        <v>638</v>
      </c>
      <c r="G432" s="20" t="s">
        <v>949</v>
      </c>
      <c r="H432" s="21">
        <v>44341</v>
      </c>
      <c r="I432" s="20">
        <v>5</v>
      </c>
      <c r="J432" s="20">
        <v>100</v>
      </c>
      <c r="K432" s="20">
        <v>194.711539770907</v>
      </c>
      <c r="L432" s="20" t="s">
        <v>490</v>
      </c>
      <c r="M432" s="20" t="s">
        <v>8</v>
      </c>
      <c r="N432" s="20">
        <f t="shared" si="6"/>
        <v>9735.5769885453483</v>
      </c>
      <c r="O432" s="20" t="s">
        <v>451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</row>
    <row r="433" spans="1:70" s="20" customFormat="1" ht="16" customHeight="1" x14ac:dyDescent="0.2">
      <c r="A433" s="20">
        <v>308</v>
      </c>
      <c r="B433" s="20" t="s">
        <v>607</v>
      </c>
      <c r="C433" s="20" t="s">
        <v>942</v>
      </c>
      <c r="D433" s="20" t="s">
        <v>947</v>
      </c>
      <c r="E433" s="20" t="s">
        <v>605</v>
      </c>
      <c r="F433" s="20" t="s">
        <v>638</v>
      </c>
      <c r="G433" s="20" t="s">
        <v>950</v>
      </c>
      <c r="H433" s="21">
        <v>44341</v>
      </c>
      <c r="I433" s="20">
        <v>5</v>
      </c>
      <c r="J433" s="20">
        <v>100</v>
      </c>
      <c r="K433" s="20">
        <v>184.68351721140101</v>
      </c>
      <c r="L433" s="20" t="s">
        <v>490</v>
      </c>
      <c r="M433" s="20" t="s">
        <v>8</v>
      </c>
      <c r="N433" s="20">
        <f t="shared" si="6"/>
        <v>9234.1758605700506</v>
      </c>
      <c r="O433" s="20" t="s">
        <v>451</v>
      </c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</row>
    <row r="434" spans="1:70" s="20" customFormat="1" ht="16" customHeight="1" x14ac:dyDescent="0.2">
      <c r="A434" s="20">
        <v>315</v>
      </c>
      <c r="B434" s="20" t="s">
        <v>607</v>
      </c>
      <c r="C434" s="20" t="s">
        <v>942</v>
      </c>
      <c r="D434" s="20" t="s">
        <v>947</v>
      </c>
      <c r="E434" s="20" t="s">
        <v>605</v>
      </c>
      <c r="F434" s="20" t="s">
        <v>638</v>
      </c>
      <c r="G434" s="20" t="s">
        <v>950</v>
      </c>
      <c r="H434" s="21">
        <v>44341</v>
      </c>
      <c r="I434" s="20">
        <v>5</v>
      </c>
      <c r="J434" s="20">
        <v>100</v>
      </c>
      <c r="K434" s="20">
        <v>184.43218819294401</v>
      </c>
      <c r="L434" s="20" t="s">
        <v>490</v>
      </c>
      <c r="M434" s="20" t="s">
        <v>8</v>
      </c>
      <c r="N434" s="20">
        <f t="shared" si="6"/>
        <v>9221.6094096472007</v>
      </c>
      <c r="O434" s="20" t="s">
        <v>451</v>
      </c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</row>
    <row r="435" spans="1:70" s="20" customFormat="1" ht="16" customHeight="1" x14ac:dyDescent="0.2">
      <c r="A435" s="20">
        <v>322</v>
      </c>
      <c r="B435" s="20" t="s">
        <v>607</v>
      </c>
      <c r="C435" s="20" t="s">
        <v>942</v>
      </c>
      <c r="D435" s="20" t="s">
        <v>947</v>
      </c>
      <c r="E435" s="20" t="s">
        <v>605</v>
      </c>
      <c r="F435" s="20" t="s">
        <v>638</v>
      </c>
      <c r="G435" s="20" t="s">
        <v>950</v>
      </c>
      <c r="H435" s="21">
        <v>44341</v>
      </c>
      <c r="I435" s="20">
        <v>5</v>
      </c>
      <c r="J435" s="20">
        <v>100</v>
      </c>
      <c r="K435" s="20">
        <v>199.64548627427601</v>
      </c>
      <c r="L435" s="20" t="s">
        <v>490</v>
      </c>
      <c r="M435" s="20" t="s">
        <v>8</v>
      </c>
      <c r="N435" s="20">
        <f t="shared" si="6"/>
        <v>9982.2743137138004</v>
      </c>
      <c r="O435" s="20" t="s">
        <v>451</v>
      </c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</row>
    <row r="436" spans="1:70" s="20" customFormat="1" ht="16" customHeight="1" x14ac:dyDescent="0.2">
      <c r="A436" s="22">
        <v>329</v>
      </c>
      <c r="B436" s="22" t="s">
        <v>609</v>
      </c>
      <c r="C436" s="22" t="s">
        <v>951</v>
      </c>
      <c r="D436" s="22" t="s">
        <v>952</v>
      </c>
      <c r="E436" s="22" t="s">
        <v>611</v>
      </c>
      <c r="F436" s="22" t="s">
        <v>638</v>
      </c>
      <c r="G436" s="22" t="s">
        <v>953</v>
      </c>
      <c r="H436" s="23">
        <v>44341</v>
      </c>
      <c r="I436" s="22">
        <v>5</v>
      </c>
      <c r="J436" s="22">
        <v>100</v>
      </c>
      <c r="K436" s="22">
        <v>123.040986780501</v>
      </c>
      <c r="L436" s="22" t="s">
        <v>490</v>
      </c>
      <c r="M436" s="22" t="s">
        <v>8</v>
      </c>
      <c r="N436" s="22">
        <f t="shared" si="6"/>
        <v>6152.0493390250504</v>
      </c>
      <c r="O436" s="22" t="s">
        <v>451</v>
      </c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</row>
    <row r="437" spans="1:70" s="20" customFormat="1" ht="16" customHeight="1" x14ac:dyDescent="0.2">
      <c r="A437" s="22">
        <v>336</v>
      </c>
      <c r="B437" s="22" t="s">
        <v>609</v>
      </c>
      <c r="C437" s="22" t="s">
        <v>951</v>
      </c>
      <c r="D437" s="22" t="s">
        <v>952</v>
      </c>
      <c r="E437" s="22" t="s">
        <v>611</v>
      </c>
      <c r="F437" s="22" t="s">
        <v>638</v>
      </c>
      <c r="G437" s="22" t="s">
        <v>953</v>
      </c>
      <c r="H437" s="23">
        <v>44341</v>
      </c>
      <c r="I437" s="22">
        <v>5</v>
      </c>
      <c r="J437" s="22">
        <v>100</v>
      </c>
      <c r="K437" s="22">
        <v>107.6560154941</v>
      </c>
      <c r="L437" s="22" t="s">
        <v>490</v>
      </c>
      <c r="M437" s="22" t="s">
        <v>8</v>
      </c>
      <c r="N437" s="22">
        <f t="shared" si="6"/>
        <v>5382.8007747050005</v>
      </c>
      <c r="O437" s="22" t="s">
        <v>451</v>
      </c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</row>
    <row r="438" spans="1:70" s="20" customFormat="1" ht="16" customHeight="1" x14ac:dyDescent="0.2">
      <c r="A438" s="22">
        <v>343</v>
      </c>
      <c r="B438" s="22" t="s">
        <v>609</v>
      </c>
      <c r="C438" s="22" t="s">
        <v>951</v>
      </c>
      <c r="D438" s="22" t="s">
        <v>952</v>
      </c>
      <c r="E438" s="22" t="s">
        <v>611</v>
      </c>
      <c r="F438" s="22" t="s">
        <v>638</v>
      </c>
      <c r="G438" s="22" t="s">
        <v>953</v>
      </c>
      <c r="H438" s="23">
        <v>44341</v>
      </c>
      <c r="I438" s="22">
        <v>5</v>
      </c>
      <c r="J438" s="22">
        <v>100</v>
      </c>
      <c r="K438" s="22">
        <v>97.364189947992898</v>
      </c>
      <c r="L438" s="22" t="s">
        <v>490</v>
      </c>
      <c r="M438" s="22" t="s">
        <v>8</v>
      </c>
      <c r="N438" s="22">
        <f t="shared" si="6"/>
        <v>4868.2094973996445</v>
      </c>
      <c r="O438" s="22" t="s">
        <v>451</v>
      </c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</row>
    <row r="439" spans="1:70" s="20" customFormat="1" ht="16" customHeight="1" x14ac:dyDescent="0.2">
      <c r="A439" s="22">
        <v>309</v>
      </c>
      <c r="B439" s="22" t="s">
        <v>609</v>
      </c>
      <c r="C439" s="22" t="s">
        <v>951</v>
      </c>
      <c r="D439" s="22" t="s">
        <v>952</v>
      </c>
      <c r="E439" s="22" t="s">
        <v>611</v>
      </c>
      <c r="F439" s="22" t="s">
        <v>638</v>
      </c>
      <c r="G439" s="22" t="s">
        <v>954</v>
      </c>
      <c r="H439" s="23">
        <v>44341</v>
      </c>
      <c r="I439" s="22">
        <v>5</v>
      </c>
      <c r="J439" s="22">
        <v>100</v>
      </c>
      <c r="K439" s="22">
        <v>203.47179686265099</v>
      </c>
      <c r="L439" s="22" t="s">
        <v>490</v>
      </c>
      <c r="M439" s="22" t="s">
        <v>8</v>
      </c>
      <c r="N439" s="22">
        <f t="shared" si="6"/>
        <v>10173.58984313255</v>
      </c>
      <c r="O439" s="22" t="s">
        <v>451</v>
      </c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</row>
    <row r="440" spans="1:70" ht="16" customHeight="1" x14ac:dyDescent="0.2">
      <c r="A440" s="22">
        <v>316</v>
      </c>
      <c r="B440" s="22" t="s">
        <v>609</v>
      </c>
      <c r="C440" s="22" t="s">
        <v>951</v>
      </c>
      <c r="D440" s="22" t="s">
        <v>952</v>
      </c>
      <c r="E440" s="22" t="s">
        <v>611</v>
      </c>
      <c r="F440" s="22" t="s">
        <v>638</v>
      </c>
      <c r="G440" s="22" t="s">
        <v>954</v>
      </c>
      <c r="H440" s="23">
        <v>44341</v>
      </c>
      <c r="I440" s="22">
        <v>5</v>
      </c>
      <c r="J440" s="22">
        <v>100</v>
      </c>
      <c r="K440" s="22">
        <v>143.096696266419</v>
      </c>
      <c r="L440" s="22" t="s">
        <v>490</v>
      </c>
      <c r="M440" s="22" t="s">
        <v>8</v>
      </c>
      <c r="N440" s="22">
        <f t="shared" si="6"/>
        <v>7154.8348133209502</v>
      </c>
      <c r="O440" s="22" t="s">
        <v>451</v>
      </c>
    </row>
    <row r="441" spans="1:70" ht="16" customHeight="1" x14ac:dyDescent="0.2">
      <c r="A441" s="22">
        <v>323</v>
      </c>
      <c r="B441" s="22" t="s">
        <v>609</v>
      </c>
      <c r="C441" s="22" t="s">
        <v>951</v>
      </c>
      <c r="D441" s="22" t="s">
        <v>952</v>
      </c>
      <c r="E441" s="22" t="s">
        <v>611</v>
      </c>
      <c r="F441" s="22" t="s">
        <v>638</v>
      </c>
      <c r="G441" s="22" t="s">
        <v>954</v>
      </c>
      <c r="H441" s="23">
        <v>44341</v>
      </c>
      <c r="I441" s="22">
        <v>5</v>
      </c>
      <c r="J441" s="22">
        <v>100</v>
      </c>
      <c r="K441" s="22">
        <v>106.854009772002</v>
      </c>
      <c r="L441" s="22" t="s">
        <v>490</v>
      </c>
      <c r="M441" s="22" t="s">
        <v>8</v>
      </c>
      <c r="N441" s="22">
        <f t="shared" si="6"/>
        <v>5342.7004886000996</v>
      </c>
      <c r="O441" s="22" t="s">
        <v>451</v>
      </c>
    </row>
    <row r="442" spans="1:70" ht="16" customHeight="1" x14ac:dyDescent="0.2">
      <c r="A442" s="22">
        <v>330</v>
      </c>
      <c r="B442" s="22" t="s">
        <v>609</v>
      </c>
      <c r="C442" s="22" t="s">
        <v>951</v>
      </c>
      <c r="D442" s="22" t="s">
        <v>952</v>
      </c>
      <c r="E442" s="22" t="s">
        <v>611</v>
      </c>
      <c r="F442" s="22" t="s">
        <v>638</v>
      </c>
      <c r="G442" s="22" t="s">
        <v>955</v>
      </c>
      <c r="H442" s="23">
        <v>44341</v>
      </c>
      <c r="I442" s="22">
        <v>5</v>
      </c>
      <c r="J442" s="22">
        <v>100</v>
      </c>
      <c r="K442" s="22">
        <v>55.724676550255502</v>
      </c>
      <c r="L442" s="22" t="s">
        <v>490</v>
      </c>
      <c r="M442" s="22" t="s">
        <v>8</v>
      </c>
      <c r="N442" s="22">
        <f t="shared" si="6"/>
        <v>2786.233827512775</v>
      </c>
      <c r="O442" s="22" t="s">
        <v>451</v>
      </c>
    </row>
    <row r="443" spans="1:70" ht="16" customHeight="1" x14ac:dyDescent="0.2">
      <c r="A443" s="22">
        <v>337</v>
      </c>
      <c r="B443" s="22" t="s">
        <v>609</v>
      </c>
      <c r="C443" s="22" t="s">
        <v>951</v>
      </c>
      <c r="D443" s="22" t="s">
        <v>952</v>
      </c>
      <c r="E443" s="22" t="s">
        <v>611</v>
      </c>
      <c r="F443" s="22" t="s">
        <v>638</v>
      </c>
      <c r="G443" s="22" t="s">
        <v>955</v>
      </c>
      <c r="H443" s="23">
        <v>44341</v>
      </c>
      <c r="I443" s="22">
        <v>5</v>
      </c>
      <c r="J443" s="22">
        <v>100</v>
      </c>
      <c r="K443" s="22">
        <v>46.766612353132601</v>
      </c>
      <c r="L443" s="22" t="s">
        <v>490</v>
      </c>
      <c r="M443" s="22" t="s">
        <v>8</v>
      </c>
      <c r="N443" s="22">
        <f t="shared" si="6"/>
        <v>2338.3306176566298</v>
      </c>
      <c r="O443" s="22" t="s">
        <v>451</v>
      </c>
    </row>
    <row r="444" spans="1:70" ht="16" customHeight="1" x14ac:dyDescent="0.2">
      <c r="A444" s="22">
        <v>344</v>
      </c>
      <c r="B444" s="22" t="s">
        <v>609</v>
      </c>
      <c r="C444" s="22" t="s">
        <v>951</v>
      </c>
      <c r="D444" s="22" t="s">
        <v>952</v>
      </c>
      <c r="E444" s="22" t="s">
        <v>611</v>
      </c>
      <c r="F444" s="22" t="s">
        <v>638</v>
      </c>
      <c r="G444" s="22" t="s">
        <v>955</v>
      </c>
      <c r="H444" s="23">
        <v>44341</v>
      </c>
      <c r="I444" s="22">
        <v>5</v>
      </c>
      <c r="J444" s="22">
        <v>100</v>
      </c>
      <c r="K444" s="22">
        <v>50.4036004818851</v>
      </c>
      <c r="L444" s="22" t="s">
        <v>490</v>
      </c>
      <c r="M444" s="22" t="s">
        <v>8</v>
      </c>
      <c r="N444" s="22">
        <f t="shared" si="6"/>
        <v>2520.1800240942548</v>
      </c>
      <c r="O444" s="22" t="s">
        <v>451</v>
      </c>
    </row>
    <row r="445" spans="1:70" ht="16" customHeight="1" x14ac:dyDescent="0.2">
      <c r="A445" s="20">
        <v>310</v>
      </c>
      <c r="B445" s="20" t="s">
        <v>613</v>
      </c>
      <c r="C445" s="20" t="s">
        <v>956</v>
      </c>
      <c r="D445" s="20" t="s">
        <v>957</v>
      </c>
      <c r="E445" s="20" t="s">
        <v>615</v>
      </c>
      <c r="F445" s="20" t="s">
        <v>638</v>
      </c>
      <c r="G445" s="20" t="s">
        <v>958</v>
      </c>
      <c r="H445" s="21">
        <v>44341</v>
      </c>
      <c r="I445" s="20">
        <v>5</v>
      </c>
      <c r="J445" s="20">
        <v>100</v>
      </c>
      <c r="K445" s="20">
        <v>114.252323610112</v>
      </c>
      <c r="L445" s="20" t="s">
        <v>490</v>
      </c>
      <c r="M445" s="20" t="s">
        <v>8</v>
      </c>
      <c r="N445" s="20">
        <f t="shared" si="6"/>
        <v>5712.6161805055999</v>
      </c>
      <c r="O445" s="20" t="s">
        <v>451</v>
      </c>
    </row>
    <row r="446" spans="1:70" ht="16" customHeight="1" x14ac:dyDescent="0.2">
      <c r="A446" s="20">
        <v>317</v>
      </c>
      <c r="B446" s="20" t="s">
        <v>613</v>
      </c>
      <c r="C446" s="20" t="s">
        <v>956</v>
      </c>
      <c r="D446" s="20" t="s">
        <v>957</v>
      </c>
      <c r="E446" s="20" t="s">
        <v>615</v>
      </c>
      <c r="F446" s="20" t="s">
        <v>638</v>
      </c>
      <c r="G446" s="20" t="s">
        <v>958</v>
      </c>
      <c r="H446" s="21">
        <v>44341</v>
      </c>
      <c r="I446" s="20">
        <v>5</v>
      </c>
      <c r="J446" s="20">
        <v>100</v>
      </c>
      <c r="K446" s="20">
        <v>91.865782462476801</v>
      </c>
      <c r="L446" s="20" t="s">
        <v>490</v>
      </c>
      <c r="M446" s="20" t="s">
        <v>8</v>
      </c>
      <c r="N446" s="20">
        <f t="shared" si="6"/>
        <v>4593.28912312384</v>
      </c>
      <c r="O446" s="20" t="s">
        <v>451</v>
      </c>
    </row>
    <row r="447" spans="1:70" ht="16" customHeight="1" x14ac:dyDescent="0.2">
      <c r="A447" s="20">
        <v>324</v>
      </c>
      <c r="B447" s="20" t="s">
        <v>613</v>
      </c>
      <c r="C447" s="20" t="s">
        <v>956</v>
      </c>
      <c r="D447" s="20" t="s">
        <v>957</v>
      </c>
      <c r="E447" s="20" t="s">
        <v>615</v>
      </c>
      <c r="F447" s="20" t="s">
        <v>638</v>
      </c>
      <c r="G447" s="20" t="s">
        <v>958</v>
      </c>
      <c r="H447" s="21">
        <v>44341</v>
      </c>
      <c r="I447" s="20">
        <v>5</v>
      </c>
      <c r="J447" s="20">
        <v>100</v>
      </c>
      <c r="K447" s="20">
        <v>88.322818724571505</v>
      </c>
      <c r="L447" s="20" t="s">
        <v>490</v>
      </c>
      <c r="M447" s="20" t="s">
        <v>8</v>
      </c>
      <c r="N447" s="20">
        <f t="shared" si="6"/>
        <v>4416.1409362285749</v>
      </c>
      <c r="O447" s="20" t="s">
        <v>451</v>
      </c>
    </row>
    <row r="448" spans="1:70" ht="16" customHeight="1" x14ac:dyDescent="0.2">
      <c r="A448" s="20">
        <v>331</v>
      </c>
      <c r="B448" s="20" t="s">
        <v>613</v>
      </c>
      <c r="C448" s="20" t="s">
        <v>956</v>
      </c>
      <c r="D448" s="20" t="s">
        <v>957</v>
      </c>
      <c r="E448" s="20" t="s">
        <v>615</v>
      </c>
      <c r="F448" s="20" t="s">
        <v>638</v>
      </c>
      <c r="G448" s="20" t="s">
        <v>959</v>
      </c>
      <c r="H448" s="21">
        <v>44341</v>
      </c>
      <c r="I448" s="20">
        <v>5</v>
      </c>
      <c r="J448" s="20">
        <v>100</v>
      </c>
      <c r="K448" s="20">
        <v>19.367664198197701</v>
      </c>
      <c r="L448" s="20" t="s">
        <v>490</v>
      </c>
      <c r="M448" s="20" t="s">
        <v>8</v>
      </c>
      <c r="N448" s="20">
        <f t="shared" si="6"/>
        <v>968.38320990988507</v>
      </c>
      <c r="O448" s="20" t="s">
        <v>451</v>
      </c>
    </row>
    <row r="449" spans="1:15" ht="16" customHeight="1" x14ac:dyDescent="0.2">
      <c r="A449" s="20">
        <v>338</v>
      </c>
      <c r="B449" s="20" t="s">
        <v>613</v>
      </c>
      <c r="C449" s="20" t="s">
        <v>956</v>
      </c>
      <c r="D449" s="20" t="s">
        <v>957</v>
      </c>
      <c r="E449" s="20" t="s">
        <v>615</v>
      </c>
      <c r="F449" s="20" t="s">
        <v>638</v>
      </c>
      <c r="G449" s="20" t="s">
        <v>959</v>
      </c>
      <c r="H449" s="21">
        <v>44341</v>
      </c>
      <c r="I449" s="20">
        <v>5</v>
      </c>
      <c r="J449" s="20">
        <v>100</v>
      </c>
      <c r="K449" s="20">
        <v>14.2293667337317</v>
      </c>
      <c r="L449" s="20" t="s">
        <v>490</v>
      </c>
      <c r="M449" s="20" t="s">
        <v>8</v>
      </c>
      <c r="N449" s="20">
        <f t="shared" si="6"/>
        <v>711.46833668658496</v>
      </c>
      <c r="O449" s="20" t="s">
        <v>451</v>
      </c>
    </row>
    <row r="450" spans="1:15" ht="16" customHeight="1" x14ac:dyDescent="0.2">
      <c r="A450" s="20">
        <v>345</v>
      </c>
      <c r="B450" s="20" t="s">
        <v>613</v>
      </c>
      <c r="C450" s="20" t="s">
        <v>956</v>
      </c>
      <c r="D450" s="20" t="s">
        <v>957</v>
      </c>
      <c r="E450" s="20" t="s">
        <v>615</v>
      </c>
      <c r="F450" s="20" t="s">
        <v>638</v>
      </c>
      <c r="G450" s="20" t="s">
        <v>959</v>
      </c>
      <c r="H450" s="21">
        <v>44341</v>
      </c>
      <c r="I450" s="20">
        <v>5</v>
      </c>
      <c r="J450" s="20">
        <v>100</v>
      </c>
      <c r="K450" s="20">
        <v>14.570714023095499</v>
      </c>
      <c r="L450" s="20" t="s">
        <v>490</v>
      </c>
      <c r="M450" s="20" t="s">
        <v>8</v>
      </c>
      <c r="N450" s="20">
        <f t="shared" si="6"/>
        <v>728.53570115477498</v>
      </c>
      <c r="O450" s="20" t="s">
        <v>451</v>
      </c>
    </row>
    <row r="451" spans="1:15" ht="16" customHeight="1" x14ac:dyDescent="0.2">
      <c r="A451" s="20">
        <v>311</v>
      </c>
      <c r="B451" s="20" t="s">
        <v>613</v>
      </c>
      <c r="C451" s="20" t="s">
        <v>956</v>
      </c>
      <c r="D451" s="20" t="s">
        <v>957</v>
      </c>
      <c r="E451" s="20" t="s">
        <v>615</v>
      </c>
      <c r="F451" s="20" t="s">
        <v>638</v>
      </c>
      <c r="G451" s="20" t="s">
        <v>960</v>
      </c>
      <c r="H451" s="21">
        <v>44341</v>
      </c>
      <c r="I451" s="20">
        <v>5</v>
      </c>
      <c r="J451" s="20">
        <v>100</v>
      </c>
      <c r="K451" s="20">
        <v>24.505309378007102</v>
      </c>
      <c r="L451" s="20" t="s">
        <v>490</v>
      </c>
      <c r="M451" s="20" t="s">
        <v>8</v>
      </c>
      <c r="N451" s="20">
        <f t="shared" si="6"/>
        <v>1225.265468900355</v>
      </c>
      <c r="O451" s="20" t="s">
        <v>451</v>
      </c>
    </row>
    <row r="452" spans="1:15" ht="16" customHeight="1" x14ac:dyDescent="0.2">
      <c r="A452" s="20">
        <v>318</v>
      </c>
      <c r="B452" s="20" t="s">
        <v>613</v>
      </c>
      <c r="C452" s="20" t="s">
        <v>956</v>
      </c>
      <c r="D452" s="20" t="s">
        <v>957</v>
      </c>
      <c r="E452" s="20" t="s">
        <v>615</v>
      </c>
      <c r="F452" s="20" t="s">
        <v>638</v>
      </c>
      <c r="G452" s="20" t="s">
        <v>960</v>
      </c>
      <c r="H452" s="21">
        <v>44341</v>
      </c>
      <c r="I452" s="20">
        <v>5</v>
      </c>
      <c r="J452" s="20">
        <v>100</v>
      </c>
      <c r="K452" s="20">
        <v>22.865290744255301</v>
      </c>
      <c r="L452" s="20" t="s">
        <v>490</v>
      </c>
      <c r="M452" s="20" t="s">
        <v>8</v>
      </c>
      <c r="N452" s="20">
        <f t="shared" ref="N452:N471" si="7">K452*I452*(1000/J452)</f>
        <v>1143.2645372127652</v>
      </c>
      <c r="O452" s="20" t="s">
        <v>451</v>
      </c>
    </row>
    <row r="453" spans="1:15" ht="16" customHeight="1" x14ac:dyDescent="0.2">
      <c r="A453" s="20">
        <v>325</v>
      </c>
      <c r="B453" s="20" t="s">
        <v>613</v>
      </c>
      <c r="C453" s="20" t="s">
        <v>956</v>
      </c>
      <c r="D453" s="20" t="s">
        <v>957</v>
      </c>
      <c r="E453" s="20" t="s">
        <v>615</v>
      </c>
      <c r="F453" s="20" t="s">
        <v>638</v>
      </c>
      <c r="G453" s="20" t="s">
        <v>960</v>
      </c>
      <c r="H453" s="21">
        <v>44341</v>
      </c>
      <c r="I453" s="20">
        <v>5</v>
      </c>
      <c r="J453" s="20">
        <v>100</v>
      </c>
      <c r="K453" s="20">
        <v>19.1737585869523</v>
      </c>
      <c r="L453" s="20" t="s">
        <v>490</v>
      </c>
      <c r="M453" s="20" t="s">
        <v>8</v>
      </c>
      <c r="N453" s="20">
        <f t="shared" si="7"/>
        <v>958.68792934761495</v>
      </c>
      <c r="O453" s="20" t="s">
        <v>451</v>
      </c>
    </row>
    <row r="454" spans="1:15" ht="16" customHeight="1" x14ac:dyDescent="0.2">
      <c r="A454" s="22">
        <v>332</v>
      </c>
      <c r="B454" s="22" t="s">
        <v>617</v>
      </c>
      <c r="C454" s="22" t="s">
        <v>961</v>
      </c>
      <c r="D454" s="22" t="s">
        <v>962</v>
      </c>
      <c r="E454" s="22" t="s">
        <v>619</v>
      </c>
      <c r="F454" s="22" t="s">
        <v>638</v>
      </c>
      <c r="G454" s="22" t="s">
        <v>963</v>
      </c>
      <c r="H454" s="23">
        <v>44341</v>
      </c>
      <c r="I454" s="22">
        <v>5</v>
      </c>
      <c r="J454" s="22">
        <v>100</v>
      </c>
      <c r="K454" s="22">
        <v>2.9090113697890798</v>
      </c>
      <c r="L454" s="22" t="s">
        <v>490</v>
      </c>
      <c r="M454" s="22" t="s">
        <v>8</v>
      </c>
      <c r="N454" s="22">
        <f t="shared" si="7"/>
        <v>145.45056848945399</v>
      </c>
      <c r="O454" s="22" t="s">
        <v>451</v>
      </c>
    </row>
    <row r="455" spans="1:15" ht="16" customHeight="1" x14ac:dyDescent="0.2">
      <c r="A455" s="22">
        <v>339</v>
      </c>
      <c r="B455" s="22" t="s">
        <v>617</v>
      </c>
      <c r="C455" s="22" t="s">
        <v>961</v>
      </c>
      <c r="D455" s="22" t="s">
        <v>962</v>
      </c>
      <c r="E455" s="22" t="s">
        <v>619</v>
      </c>
      <c r="F455" s="22" t="s">
        <v>638</v>
      </c>
      <c r="G455" s="22" t="s">
        <v>963</v>
      </c>
      <c r="H455" s="23">
        <v>44341</v>
      </c>
      <c r="I455" s="22">
        <v>5</v>
      </c>
      <c r="J455" s="22">
        <v>100</v>
      </c>
      <c r="K455" s="22">
        <v>3.7158541665315901</v>
      </c>
      <c r="L455" s="22" t="s">
        <v>490</v>
      </c>
      <c r="M455" s="22" t="s">
        <v>8</v>
      </c>
      <c r="N455" s="22">
        <f t="shared" si="7"/>
        <v>185.79270832657951</v>
      </c>
      <c r="O455" s="22" t="s">
        <v>451</v>
      </c>
    </row>
    <row r="456" spans="1:15" ht="16" customHeight="1" x14ac:dyDescent="0.2">
      <c r="A456" s="22">
        <v>346</v>
      </c>
      <c r="B456" s="22" t="s">
        <v>617</v>
      </c>
      <c r="C456" s="22" t="s">
        <v>961</v>
      </c>
      <c r="D456" s="22" t="s">
        <v>962</v>
      </c>
      <c r="E456" s="22" t="s">
        <v>619</v>
      </c>
      <c r="F456" s="22" t="s">
        <v>638</v>
      </c>
      <c r="G456" s="22" t="s">
        <v>963</v>
      </c>
      <c r="H456" s="23">
        <v>44341</v>
      </c>
      <c r="I456" s="22">
        <v>5</v>
      </c>
      <c r="J456" s="22">
        <v>100</v>
      </c>
      <c r="K456" s="22">
        <v>21.373780928157998</v>
      </c>
      <c r="L456" s="22" t="s">
        <v>490</v>
      </c>
      <c r="M456" s="22" t="s">
        <v>8</v>
      </c>
      <c r="N456" s="22">
        <f t="shared" si="7"/>
        <v>1068.6890464078999</v>
      </c>
      <c r="O456" s="22" t="s">
        <v>451</v>
      </c>
    </row>
    <row r="457" spans="1:15" ht="16" customHeight="1" x14ac:dyDescent="0.2">
      <c r="A457" s="22">
        <v>312</v>
      </c>
      <c r="B457" s="22" t="s">
        <v>617</v>
      </c>
      <c r="C457" s="22" t="s">
        <v>961</v>
      </c>
      <c r="D457" s="22" t="s">
        <v>962</v>
      </c>
      <c r="E457" s="22" t="s">
        <v>619</v>
      </c>
      <c r="F457" s="22" t="s">
        <v>638</v>
      </c>
      <c r="G457" s="22" t="s">
        <v>964</v>
      </c>
      <c r="H457" s="23">
        <v>44341</v>
      </c>
      <c r="I457" s="22">
        <v>5</v>
      </c>
      <c r="J457" s="22">
        <v>100</v>
      </c>
      <c r="K457" s="22">
        <v>3.6059281352690999</v>
      </c>
      <c r="L457" s="22" t="s">
        <v>490</v>
      </c>
      <c r="M457" s="22" t="s">
        <v>8</v>
      </c>
      <c r="N457" s="22">
        <f t="shared" si="7"/>
        <v>180.29640676345502</v>
      </c>
      <c r="O457" s="22" t="s">
        <v>451</v>
      </c>
    </row>
    <row r="458" spans="1:15" ht="16" customHeight="1" x14ac:dyDescent="0.2">
      <c r="A458" s="22">
        <v>319</v>
      </c>
      <c r="B458" s="22" t="s">
        <v>617</v>
      </c>
      <c r="C458" s="22" t="s">
        <v>961</v>
      </c>
      <c r="D458" s="22" t="s">
        <v>962</v>
      </c>
      <c r="E458" s="22" t="s">
        <v>619</v>
      </c>
      <c r="F458" s="22" t="s">
        <v>638</v>
      </c>
      <c r="G458" s="22" t="s">
        <v>964</v>
      </c>
      <c r="H458" s="23">
        <v>44341</v>
      </c>
      <c r="I458" s="22">
        <v>5</v>
      </c>
      <c r="J458" s="22">
        <v>100</v>
      </c>
      <c r="K458" s="22">
        <v>9.0389885995195396</v>
      </c>
      <c r="L458" s="22" t="s">
        <v>490</v>
      </c>
      <c r="M458" s="22" t="s">
        <v>8</v>
      </c>
      <c r="N458" s="22">
        <f t="shared" si="7"/>
        <v>451.94942997597701</v>
      </c>
      <c r="O458" s="22" t="s">
        <v>451</v>
      </c>
    </row>
    <row r="459" spans="1:15" ht="16" customHeight="1" x14ac:dyDescent="0.2">
      <c r="A459" s="22">
        <v>326</v>
      </c>
      <c r="B459" s="22" t="s">
        <v>617</v>
      </c>
      <c r="C459" s="22" t="s">
        <v>961</v>
      </c>
      <c r="D459" s="22" t="s">
        <v>962</v>
      </c>
      <c r="E459" s="22" t="s">
        <v>619</v>
      </c>
      <c r="F459" s="22" t="s">
        <v>638</v>
      </c>
      <c r="G459" s="22" t="s">
        <v>964</v>
      </c>
      <c r="H459" s="23">
        <v>44341</v>
      </c>
      <c r="I459" s="22">
        <v>5</v>
      </c>
      <c r="J459" s="22">
        <v>100</v>
      </c>
      <c r="K459" s="22">
        <v>6.5166605531292197</v>
      </c>
      <c r="L459" s="22" t="s">
        <v>490</v>
      </c>
      <c r="M459" s="22" t="s">
        <v>8</v>
      </c>
      <c r="N459" s="22">
        <f t="shared" si="7"/>
        <v>325.83302765646096</v>
      </c>
      <c r="O459" s="22" t="s">
        <v>451</v>
      </c>
    </row>
    <row r="460" spans="1:15" ht="16" customHeight="1" x14ac:dyDescent="0.2">
      <c r="A460" s="22">
        <v>333</v>
      </c>
      <c r="B460" s="22" t="s">
        <v>617</v>
      </c>
      <c r="C460" s="22" t="s">
        <v>961</v>
      </c>
      <c r="D460" s="22" t="s">
        <v>962</v>
      </c>
      <c r="E460" s="22" t="s">
        <v>619</v>
      </c>
      <c r="F460" s="22" t="s">
        <v>638</v>
      </c>
      <c r="G460" s="22" t="s">
        <v>965</v>
      </c>
      <c r="H460" s="23">
        <v>44341</v>
      </c>
      <c r="I460" s="22">
        <v>5</v>
      </c>
      <c r="J460" s="22">
        <v>100</v>
      </c>
      <c r="K460" s="22">
        <v>11.000491473398201</v>
      </c>
      <c r="L460" s="22" t="s">
        <v>490</v>
      </c>
      <c r="M460" s="22" t="s">
        <v>8</v>
      </c>
      <c r="N460" s="22">
        <f t="shared" si="7"/>
        <v>550.02457366991007</v>
      </c>
      <c r="O460" s="22" t="s">
        <v>451</v>
      </c>
    </row>
    <row r="461" spans="1:15" ht="16" customHeight="1" x14ac:dyDescent="0.2">
      <c r="A461" s="22">
        <v>340</v>
      </c>
      <c r="B461" s="22" t="s">
        <v>617</v>
      </c>
      <c r="C461" s="22" t="s">
        <v>961</v>
      </c>
      <c r="D461" s="22" t="s">
        <v>962</v>
      </c>
      <c r="E461" s="22" t="s">
        <v>619</v>
      </c>
      <c r="F461" s="22" t="s">
        <v>638</v>
      </c>
      <c r="G461" s="22" t="s">
        <v>965</v>
      </c>
      <c r="H461" s="23">
        <v>44341</v>
      </c>
      <c r="I461" s="22">
        <v>5</v>
      </c>
      <c r="J461" s="22">
        <v>100</v>
      </c>
      <c r="K461" s="22">
        <v>20.135643577747398</v>
      </c>
      <c r="L461" s="22" t="s">
        <v>490</v>
      </c>
      <c r="M461" s="22" t="s">
        <v>8</v>
      </c>
      <c r="N461" s="22">
        <f t="shared" si="7"/>
        <v>1006.7821788873699</v>
      </c>
      <c r="O461" s="22" t="s">
        <v>451</v>
      </c>
    </row>
    <row r="462" spans="1:15" ht="16" customHeight="1" x14ac:dyDescent="0.2">
      <c r="A462" s="22">
        <v>347</v>
      </c>
      <c r="B462" s="22" t="s">
        <v>617</v>
      </c>
      <c r="C462" s="22" t="s">
        <v>961</v>
      </c>
      <c r="D462" s="22" t="s">
        <v>962</v>
      </c>
      <c r="E462" s="22" t="s">
        <v>619</v>
      </c>
      <c r="F462" s="22" t="s">
        <v>638</v>
      </c>
      <c r="G462" s="22" t="s">
        <v>965</v>
      </c>
      <c r="H462" s="23">
        <v>44341</v>
      </c>
      <c r="I462" s="22">
        <v>5</v>
      </c>
      <c r="J462" s="22">
        <v>100</v>
      </c>
      <c r="K462" s="22">
        <v>19.433858325246899</v>
      </c>
      <c r="L462" s="22" t="s">
        <v>490</v>
      </c>
      <c r="M462" s="22" t="s">
        <v>8</v>
      </c>
      <c r="N462" s="22">
        <f t="shared" si="7"/>
        <v>971.69291626234497</v>
      </c>
      <c r="O462" s="22" t="s">
        <v>451</v>
      </c>
    </row>
    <row r="463" spans="1:15" ht="16" customHeight="1" x14ac:dyDescent="0.2">
      <c r="A463" s="20">
        <v>313</v>
      </c>
      <c r="B463" s="20" t="s">
        <v>621</v>
      </c>
      <c r="C463" s="20" t="s">
        <v>961</v>
      </c>
      <c r="D463" s="20" t="s">
        <v>966</v>
      </c>
      <c r="E463" s="20" t="s">
        <v>619</v>
      </c>
      <c r="F463" s="20" t="s">
        <v>638</v>
      </c>
      <c r="G463" s="20" t="s">
        <v>967</v>
      </c>
      <c r="H463" s="21">
        <v>44341</v>
      </c>
      <c r="I463" s="20">
        <v>5</v>
      </c>
      <c r="J463" s="20">
        <v>100</v>
      </c>
      <c r="K463" s="20">
        <v>12.8740607053057</v>
      </c>
      <c r="L463" s="20" t="s">
        <v>490</v>
      </c>
      <c r="M463" s="20" t="s">
        <v>8</v>
      </c>
      <c r="N463" s="20">
        <f t="shared" si="7"/>
        <v>643.70303526528505</v>
      </c>
      <c r="O463" s="20" t="s">
        <v>451</v>
      </c>
    </row>
    <row r="464" spans="1:15" ht="16" customHeight="1" x14ac:dyDescent="0.2">
      <c r="A464" s="20">
        <v>320</v>
      </c>
      <c r="B464" s="20" t="s">
        <v>621</v>
      </c>
      <c r="C464" s="20" t="s">
        <v>961</v>
      </c>
      <c r="D464" s="20" t="s">
        <v>966</v>
      </c>
      <c r="E464" s="20" t="s">
        <v>619</v>
      </c>
      <c r="F464" s="20" t="s">
        <v>638</v>
      </c>
      <c r="G464" s="20" t="s">
        <v>967</v>
      </c>
      <c r="H464" s="21">
        <v>44341</v>
      </c>
      <c r="I464" s="20">
        <v>5</v>
      </c>
      <c r="J464" s="20">
        <v>100</v>
      </c>
      <c r="K464" s="20">
        <v>13.007586191215101</v>
      </c>
      <c r="L464" s="20" t="s">
        <v>490</v>
      </c>
      <c r="M464" s="20" t="s">
        <v>8</v>
      </c>
      <c r="N464" s="20">
        <f t="shared" si="7"/>
        <v>650.37930956075502</v>
      </c>
      <c r="O464" s="20" t="s">
        <v>451</v>
      </c>
    </row>
    <row r="465" spans="1:15" ht="16" customHeight="1" x14ac:dyDescent="0.2">
      <c r="A465" s="20">
        <v>327</v>
      </c>
      <c r="B465" s="20" t="s">
        <v>621</v>
      </c>
      <c r="C465" s="20" t="s">
        <v>961</v>
      </c>
      <c r="D465" s="20" t="s">
        <v>966</v>
      </c>
      <c r="E465" s="20" t="s">
        <v>619</v>
      </c>
      <c r="F465" s="20" t="s">
        <v>638</v>
      </c>
      <c r="G465" s="20" t="s">
        <v>967</v>
      </c>
      <c r="H465" s="21">
        <v>44341</v>
      </c>
      <c r="I465" s="20">
        <v>5</v>
      </c>
      <c r="J465" s="20">
        <v>100</v>
      </c>
      <c r="K465" s="20">
        <v>12.204132721442599</v>
      </c>
      <c r="L465" s="20" t="s">
        <v>490</v>
      </c>
      <c r="M465" s="20" t="s">
        <v>8</v>
      </c>
      <c r="N465" s="20">
        <f t="shared" si="7"/>
        <v>610.20663607212998</v>
      </c>
      <c r="O465" s="20" t="s">
        <v>451</v>
      </c>
    </row>
    <row r="466" spans="1:15" ht="16" customHeight="1" x14ac:dyDescent="0.2">
      <c r="A466" s="20">
        <v>334</v>
      </c>
      <c r="B466" s="20" t="s">
        <v>621</v>
      </c>
      <c r="C466" s="20" t="s">
        <v>961</v>
      </c>
      <c r="D466" s="20" t="s">
        <v>966</v>
      </c>
      <c r="E466" s="20" t="s">
        <v>619</v>
      </c>
      <c r="F466" s="20" t="s">
        <v>638</v>
      </c>
      <c r="G466" s="20" t="s">
        <v>968</v>
      </c>
      <c r="H466" s="21">
        <v>44341</v>
      </c>
      <c r="I466" s="20">
        <v>5</v>
      </c>
      <c r="J466" s="20">
        <v>100</v>
      </c>
      <c r="K466" s="20">
        <v>82.397902920789306</v>
      </c>
      <c r="L466" s="20" t="s">
        <v>490</v>
      </c>
      <c r="M466" s="20" t="s">
        <v>8</v>
      </c>
      <c r="N466" s="20">
        <f t="shared" si="7"/>
        <v>4119.8951460394655</v>
      </c>
      <c r="O466" s="20" t="s">
        <v>451</v>
      </c>
    </row>
    <row r="467" spans="1:15" ht="16" customHeight="1" x14ac:dyDescent="0.2">
      <c r="A467" s="20">
        <v>341</v>
      </c>
      <c r="B467" s="20" t="s">
        <v>621</v>
      </c>
      <c r="C467" s="20" t="s">
        <v>961</v>
      </c>
      <c r="D467" s="20" t="s">
        <v>966</v>
      </c>
      <c r="E467" s="20" t="s">
        <v>619</v>
      </c>
      <c r="F467" s="20" t="s">
        <v>638</v>
      </c>
      <c r="G467" s="20" t="s">
        <v>968</v>
      </c>
      <c r="H467" s="21">
        <v>44341</v>
      </c>
      <c r="I467" s="20">
        <v>5</v>
      </c>
      <c r="J467" s="20">
        <v>100</v>
      </c>
      <c r="K467" s="20">
        <v>91.366416807488605</v>
      </c>
      <c r="L467" s="20" t="s">
        <v>490</v>
      </c>
      <c r="M467" s="20" t="s">
        <v>8</v>
      </c>
      <c r="N467" s="20">
        <f t="shared" si="7"/>
        <v>4568.3208403744302</v>
      </c>
      <c r="O467" s="20" t="s">
        <v>451</v>
      </c>
    </row>
    <row r="468" spans="1:15" ht="16" customHeight="1" x14ac:dyDescent="0.2">
      <c r="A468" s="20">
        <v>348</v>
      </c>
      <c r="B468" s="20" t="s">
        <v>621</v>
      </c>
      <c r="C468" s="20" t="s">
        <v>961</v>
      </c>
      <c r="D468" s="20" t="s">
        <v>966</v>
      </c>
      <c r="E468" s="20" t="s">
        <v>619</v>
      </c>
      <c r="F468" s="20" t="s">
        <v>638</v>
      </c>
      <c r="G468" s="20" t="s">
        <v>968</v>
      </c>
      <c r="H468" s="21">
        <v>44341</v>
      </c>
      <c r="I468" s="20">
        <v>5</v>
      </c>
      <c r="J468" s="20">
        <v>100</v>
      </c>
      <c r="K468" s="20">
        <v>38.608129171317302</v>
      </c>
      <c r="L468" s="20" t="s">
        <v>490</v>
      </c>
      <c r="M468" s="20" t="s">
        <v>8</v>
      </c>
      <c r="N468" s="20">
        <f t="shared" si="7"/>
        <v>1930.406458565865</v>
      </c>
      <c r="O468" s="20" t="s">
        <v>451</v>
      </c>
    </row>
    <row r="469" spans="1:15" ht="16" customHeight="1" x14ac:dyDescent="0.2">
      <c r="A469" s="20">
        <v>439</v>
      </c>
      <c r="B469" s="20" t="s">
        <v>621</v>
      </c>
      <c r="C469" s="20" t="s">
        <v>961</v>
      </c>
      <c r="D469" s="20" t="s">
        <v>966</v>
      </c>
      <c r="E469" s="20" t="s">
        <v>619</v>
      </c>
      <c r="F469" s="20" t="s">
        <v>638</v>
      </c>
      <c r="G469" s="20" t="s">
        <v>969</v>
      </c>
      <c r="H469" s="21">
        <v>44341</v>
      </c>
      <c r="I469" s="20">
        <v>5</v>
      </c>
      <c r="J469" s="20">
        <v>100</v>
      </c>
      <c r="K469" s="20">
        <v>312.95884391794903</v>
      </c>
      <c r="L469" s="20" t="s">
        <v>490</v>
      </c>
      <c r="M469" s="20" t="s">
        <v>8</v>
      </c>
      <c r="N469" s="20">
        <f t="shared" si="7"/>
        <v>15647.942195897451</v>
      </c>
      <c r="O469" s="20" t="s">
        <v>451</v>
      </c>
    </row>
    <row r="470" spans="1:15" ht="16" customHeight="1" x14ac:dyDescent="0.2">
      <c r="A470" s="20">
        <v>446</v>
      </c>
      <c r="B470" s="20" t="s">
        <v>621</v>
      </c>
      <c r="C470" s="20" t="s">
        <v>961</v>
      </c>
      <c r="D470" s="20" t="s">
        <v>966</v>
      </c>
      <c r="E470" s="20" t="s">
        <v>619</v>
      </c>
      <c r="F470" s="20" t="s">
        <v>638</v>
      </c>
      <c r="G470" s="20" t="s">
        <v>969</v>
      </c>
      <c r="H470" s="21">
        <v>44341</v>
      </c>
      <c r="I470" s="20">
        <v>5</v>
      </c>
      <c r="J470" s="20">
        <v>100</v>
      </c>
      <c r="K470" s="20">
        <v>291.15541952666803</v>
      </c>
      <c r="L470" s="20" t="s">
        <v>490</v>
      </c>
      <c r="M470" s="20" t="s">
        <v>8</v>
      </c>
      <c r="N470" s="20">
        <f t="shared" si="7"/>
        <v>14557.770976333402</v>
      </c>
      <c r="O470" s="20" t="s">
        <v>451</v>
      </c>
    </row>
    <row r="471" spans="1:15" ht="16" customHeight="1" x14ac:dyDescent="0.2">
      <c r="A471" s="20">
        <v>453</v>
      </c>
      <c r="B471" s="20" t="s">
        <v>621</v>
      </c>
      <c r="C471" s="20" t="s">
        <v>961</v>
      </c>
      <c r="D471" s="20" t="s">
        <v>966</v>
      </c>
      <c r="E471" s="20" t="s">
        <v>619</v>
      </c>
      <c r="F471" s="20" t="s">
        <v>638</v>
      </c>
      <c r="G471" s="20" t="s">
        <v>969</v>
      </c>
      <c r="H471" s="21">
        <v>44341</v>
      </c>
      <c r="I471" s="20">
        <v>5</v>
      </c>
      <c r="J471" s="20">
        <v>100</v>
      </c>
      <c r="K471" s="20">
        <v>246.08185589255999</v>
      </c>
      <c r="L471" s="20" t="s">
        <v>490</v>
      </c>
      <c r="M471" s="20" t="s">
        <v>8</v>
      </c>
      <c r="N471" s="20">
        <f t="shared" si="7"/>
        <v>12304.092794627999</v>
      </c>
      <c r="O471" s="20" t="s">
        <v>451</v>
      </c>
    </row>
  </sheetData>
  <sortState xmlns:xlrd2="http://schemas.microsoft.com/office/spreadsheetml/2017/richdata2" ref="A4:DO471">
    <sortCondition ref="I4:I471"/>
    <sortCondition ref="B4:B471"/>
    <sortCondition ref="G4:G471"/>
    <sortCondition ref="A4:A47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471"/>
  <sheetViews>
    <sheetView zoomScale="80" zoomScaleNormal="80" workbookViewId="0"/>
  </sheetViews>
  <sheetFormatPr baseColWidth="10" defaultColWidth="12.83203125" defaultRowHeight="16" customHeight="1" x14ac:dyDescent="0.2"/>
  <cols>
    <col min="1" max="1" width="12.83203125" style="3"/>
    <col min="2" max="2" width="23.6640625" style="3" customWidth="1"/>
    <col min="3" max="3" width="25.6640625" style="3" customWidth="1"/>
    <col min="4" max="4" width="27.5" style="3" customWidth="1"/>
    <col min="5" max="5" width="19.6640625" style="3" customWidth="1"/>
    <col min="6" max="6" width="7.6640625" style="3" customWidth="1"/>
    <col min="7" max="7" width="18" style="3" customWidth="1"/>
    <col min="8" max="8" width="13.5" style="3" customWidth="1"/>
    <col min="9" max="9" width="12.6640625" style="3" customWidth="1"/>
    <col min="10" max="10" width="6.5" style="3" customWidth="1"/>
    <col min="11" max="11" width="12.1640625" style="3" customWidth="1"/>
    <col min="12" max="12" width="12.83203125" style="3"/>
    <col min="13" max="13" width="21.6640625" style="3" customWidth="1"/>
    <col min="14" max="14" width="17" style="3" customWidth="1"/>
    <col min="15" max="15" width="33.33203125" style="3" customWidth="1"/>
    <col min="16" max="16" width="35.6640625" style="3" customWidth="1"/>
    <col min="17" max="16384" width="12.83203125" style="3"/>
  </cols>
  <sheetData>
    <row r="1" spans="1:66" ht="16" customHeight="1" x14ac:dyDescent="0.2">
      <c r="A1" s="6" t="s">
        <v>8016</v>
      </c>
      <c r="O1" s="3" t="s">
        <v>715</v>
      </c>
    </row>
    <row r="3" spans="1:66" ht="16" customHeight="1" x14ac:dyDescent="0.2">
      <c r="A3" s="13" t="s">
        <v>716</v>
      </c>
      <c r="B3" s="13" t="s">
        <v>422</v>
      </c>
      <c r="C3" s="13" t="s">
        <v>427</v>
      </c>
      <c r="D3" s="13" t="s">
        <v>426</v>
      </c>
      <c r="E3" s="13" t="s">
        <v>428</v>
      </c>
      <c r="F3" s="13" t="s">
        <v>717</v>
      </c>
      <c r="G3" s="13" t="s">
        <v>718</v>
      </c>
      <c r="H3" s="13" t="s">
        <v>719</v>
      </c>
      <c r="I3" s="13" t="s">
        <v>720</v>
      </c>
      <c r="J3" s="13" t="s">
        <v>440</v>
      </c>
      <c r="K3" s="13" t="s">
        <v>721</v>
      </c>
      <c r="L3" s="13" t="s">
        <v>722</v>
      </c>
      <c r="M3" s="13" t="s">
        <v>970</v>
      </c>
      <c r="N3" s="13" t="s">
        <v>724</v>
      </c>
      <c r="O3" s="13" t="s">
        <v>725</v>
      </c>
      <c r="P3" s="13"/>
    </row>
    <row r="4" spans="1:66" s="16" customFormat="1" ht="16" customHeight="1" x14ac:dyDescent="0.2">
      <c r="A4" s="16">
        <v>1852</v>
      </c>
      <c r="B4" s="16" t="s">
        <v>442</v>
      </c>
      <c r="C4" s="16" t="s">
        <v>726</v>
      </c>
      <c r="D4" s="16" t="s">
        <v>727</v>
      </c>
      <c r="E4" s="16" t="s">
        <v>446</v>
      </c>
      <c r="F4" s="16" t="s">
        <v>654</v>
      </c>
      <c r="G4" s="16" t="s">
        <v>728</v>
      </c>
      <c r="H4" s="17">
        <v>43626</v>
      </c>
      <c r="I4" s="16">
        <v>5</v>
      </c>
      <c r="J4" s="16">
        <v>70</v>
      </c>
      <c r="K4" s="16">
        <v>0</v>
      </c>
      <c r="L4" s="16" t="s">
        <v>451</v>
      </c>
      <c r="M4" s="16" t="s">
        <v>490</v>
      </c>
      <c r="N4" s="16">
        <f t="shared" ref="N4:N67" si="0">K4*I4*(1000/J4)</f>
        <v>0</v>
      </c>
      <c r="O4" s="16" t="s">
        <v>451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s="16" customFormat="1" ht="16" customHeight="1" x14ac:dyDescent="0.2">
      <c r="A5" s="16">
        <v>1859</v>
      </c>
      <c r="B5" s="16" t="s">
        <v>442</v>
      </c>
      <c r="C5" s="16" t="s">
        <v>726</v>
      </c>
      <c r="D5" s="16" t="s">
        <v>727</v>
      </c>
      <c r="E5" s="16" t="s">
        <v>446</v>
      </c>
      <c r="F5" s="16" t="s">
        <v>654</v>
      </c>
      <c r="G5" s="16" t="s">
        <v>728</v>
      </c>
      <c r="H5" s="17">
        <v>43626</v>
      </c>
      <c r="I5" s="16">
        <v>5</v>
      </c>
      <c r="J5" s="16">
        <v>70</v>
      </c>
      <c r="K5" s="16">
        <v>41.517775435819701</v>
      </c>
      <c r="L5" s="16" t="s">
        <v>451</v>
      </c>
      <c r="M5" s="16" t="s">
        <v>490</v>
      </c>
      <c r="N5" s="16">
        <f t="shared" si="0"/>
        <v>2965.5553882728359</v>
      </c>
      <c r="O5" s="16" t="s">
        <v>451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</row>
    <row r="6" spans="1:66" s="16" customFormat="1" ht="16" customHeight="1" x14ac:dyDescent="0.2">
      <c r="A6" s="16">
        <v>1866</v>
      </c>
      <c r="B6" s="16" t="s">
        <v>442</v>
      </c>
      <c r="C6" s="16" t="s">
        <v>726</v>
      </c>
      <c r="D6" s="16" t="s">
        <v>727</v>
      </c>
      <c r="E6" s="16" t="s">
        <v>446</v>
      </c>
      <c r="F6" s="16" t="s">
        <v>654</v>
      </c>
      <c r="G6" s="16" t="s">
        <v>728</v>
      </c>
      <c r="H6" s="17">
        <v>43626</v>
      </c>
      <c r="I6" s="16">
        <v>5</v>
      </c>
      <c r="J6" s="16">
        <v>70</v>
      </c>
      <c r="K6" s="16">
        <v>39.167285206614203</v>
      </c>
      <c r="L6" s="16" t="s">
        <v>451</v>
      </c>
      <c r="M6" s="16" t="s">
        <v>490</v>
      </c>
      <c r="N6" s="16">
        <f t="shared" si="0"/>
        <v>2797.6632290438715</v>
      </c>
      <c r="O6" s="16" t="s">
        <v>451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</row>
    <row r="7" spans="1:66" s="16" customFormat="1" ht="16" customHeight="1" x14ac:dyDescent="0.2">
      <c r="A7" s="16">
        <v>1873</v>
      </c>
      <c r="B7" s="16" t="s">
        <v>442</v>
      </c>
      <c r="C7" s="16" t="s">
        <v>726</v>
      </c>
      <c r="D7" s="16" t="s">
        <v>727</v>
      </c>
      <c r="E7" s="16" t="s">
        <v>446</v>
      </c>
      <c r="F7" s="16" t="s">
        <v>654</v>
      </c>
      <c r="G7" s="16" t="s">
        <v>729</v>
      </c>
      <c r="H7" s="17">
        <v>43626</v>
      </c>
      <c r="I7" s="16">
        <v>5</v>
      </c>
      <c r="J7" s="16">
        <v>70</v>
      </c>
      <c r="K7" s="16">
        <v>27.6862794838855</v>
      </c>
      <c r="L7" s="16" t="s">
        <v>451</v>
      </c>
      <c r="M7" s="16" t="s">
        <v>490</v>
      </c>
      <c r="N7" s="16">
        <f t="shared" si="0"/>
        <v>1977.5913917061073</v>
      </c>
      <c r="O7" s="16" t="s">
        <v>451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</row>
    <row r="8" spans="1:66" s="16" customFormat="1" ht="16" customHeight="1" x14ac:dyDescent="0.2">
      <c r="A8" s="16">
        <v>1879</v>
      </c>
      <c r="B8" s="16" t="s">
        <v>442</v>
      </c>
      <c r="C8" s="16" t="s">
        <v>726</v>
      </c>
      <c r="D8" s="16" t="s">
        <v>727</v>
      </c>
      <c r="E8" s="16" t="s">
        <v>446</v>
      </c>
      <c r="F8" s="16" t="s">
        <v>654</v>
      </c>
      <c r="G8" s="16" t="s">
        <v>729</v>
      </c>
      <c r="H8" s="17">
        <v>43626</v>
      </c>
      <c r="I8" s="16">
        <v>5</v>
      </c>
      <c r="J8" s="16">
        <v>70</v>
      </c>
      <c r="K8" s="16">
        <v>24.074280595104401</v>
      </c>
      <c r="L8" s="16" t="s">
        <v>451</v>
      </c>
      <c r="M8" s="16" t="s">
        <v>490</v>
      </c>
      <c r="N8" s="16">
        <f t="shared" si="0"/>
        <v>1719.5914710788859</v>
      </c>
      <c r="O8" s="16" t="s">
        <v>451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</row>
    <row r="9" spans="1:66" s="16" customFormat="1" ht="16" customHeight="1" x14ac:dyDescent="0.2">
      <c r="A9" s="16">
        <v>1885</v>
      </c>
      <c r="B9" s="16" t="s">
        <v>442</v>
      </c>
      <c r="C9" s="16" t="s">
        <v>726</v>
      </c>
      <c r="D9" s="16" t="s">
        <v>727</v>
      </c>
      <c r="E9" s="16" t="s">
        <v>446</v>
      </c>
      <c r="F9" s="16" t="s">
        <v>654</v>
      </c>
      <c r="G9" s="16" t="s">
        <v>729</v>
      </c>
      <c r="H9" s="17">
        <v>43626</v>
      </c>
      <c r="I9" s="16">
        <v>5</v>
      </c>
      <c r="J9" s="16">
        <v>70</v>
      </c>
      <c r="K9" s="16">
        <v>0</v>
      </c>
      <c r="L9" s="16" t="s">
        <v>451</v>
      </c>
      <c r="M9" s="16" t="s">
        <v>490</v>
      </c>
      <c r="N9" s="16">
        <f t="shared" si="0"/>
        <v>0</v>
      </c>
      <c r="O9" s="16" t="s">
        <v>451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</row>
    <row r="10" spans="1:66" s="16" customFormat="1" ht="16" customHeight="1" x14ac:dyDescent="0.2">
      <c r="A10" s="16">
        <v>1853</v>
      </c>
      <c r="B10" s="16" t="s">
        <v>442</v>
      </c>
      <c r="C10" s="16" t="s">
        <v>726</v>
      </c>
      <c r="D10" s="16" t="s">
        <v>727</v>
      </c>
      <c r="E10" s="16" t="s">
        <v>446</v>
      </c>
      <c r="F10" s="16" t="s">
        <v>654</v>
      </c>
      <c r="G10" s="16" t="s">
        <v>730</v>
      </c>
      <c r="H10" s="17">
        <v>43626</v>
      </c>
      <c r="I10" s="16">
        <v>5</v>
      </c>
      <c r="J10" s="16">
        <v>70</v>
      </c>
      <c r="K10" s="16">
        <v>0</v>
      </c>
      <c r="L10" s="16" t="s">
        <v>451</v>
      </c>
      <c r="M10" s="16" t="s">
        <v>490</v>
      </c>
      <c r="N10" s="16">
        <f t="shared" si="0"/>
        <v>0</v>
      </c>
      <c r="O10" s="16" t="s">
        <v>451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</row>
    <row r="11" spans="1:66" s="16" customFormat="1" ht="16" customHeight="1" x14ac:dyDescent="0.2">
      <c r="A11" s="16">
        <v>1860</v>
      </c>
      <c r="B11" s="16" t="s">
        <v>442</v>
      </c>
      <c r="C11" s="16" t="s">
        <v>726</v>
      </c>
      <c r="D11" s="16" t="s">
        <v>727</v>
      </c>
      <c r="E11" s="16" t="s">
        <v>446</v>
      </c>
      <c r="F11" s="16" t="s">
        <v>654</v>
      </c>
      <c r="G11" s="16" t="s">
        <v>730</v>
      </c>
      <c r="H11" s="17">
        <v>43626</v>
      </c>
      <c r="I11" s="16">
        <v>5</v>
      </c>
      <c r="J11" s="16">
        <v>70</v>
      </c>
      <c r="K11" s="16">
        <v>19.383667266202501</v>
      </c>
      <c r="L11" s="16" t="s">
        <v>451</v>
      </c>
      <c r="M11" s="16" t="s">
        <v>490</v>
      </c>
      <c r="N11" s="16">
        <f t="shared" si="0"/>
        <v>1384.5476618716075</v>
      </c>
      <c r="O11" s="16" t="s">
        <v>451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</row>
    <row r="12" spans="1:66" s="18" customFormat="1" ht="16" customHeight="1" x14ac:dyDescent="0.2">
      <c r="A12" s="16">
        <v>1867</v>
      </c>
      <c r="B12" s="16" t="s">
        <v>442</v>
      </c>
      <c r="C12" s="16" t="s">
        <v>726</v>
      </c>
      <c r="D12" s="16" t="s">
        <v>727</v>
      </c>
      <c r="E12" s="16" t="s">
        <v>446</v>
      </c>
      <c r="F12" s="16" t="s">
        <v>654</v>
      </c>
      <c r="G12" s="16" t="s">
        <v>730</v>
      </c>
      <c r="H12" s="17">
        <v>43626</v>
      </c>
      <c r="I12" s="16">
        <v>5</v>
      </c>
      <c r="J12" s="16">
        <v>70</v>
      </c>
      <c r="K12" s="16">
        <v>28.3257282060877</v>
      </c>
      <c r="L12" s="16" t="s">
        <v>451</v>
      </c>
      <c r="M12" s="16" t="s">
        <v>490</v>
      </c>
      <c r="N12" s="16">
        <f t="shared" si="0"/>
        <v>2023.2663004348358</v>
      </c>
      <c r="O12" s="16" t="s">
        <v>451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</row>
    <row r="13" spans="1:66" s="18" customFormat="1" ht="16" customHeight="1" x14ac:dyDescent="0.2">
      <c r="A13" s="18">
        <v>1874</v>
      </c>
      <c r="B13" s="18" t="s">
        <v>452</v>
      </c>
      <c r="C13" s="18" t="s">
        <v>726</v>
      </c>
      <c r="D13" s="18" t="s">
        <v>731</v>
      </c>
      <c r="E13" s="18" t="s">
        <v>446</v>
      </c>
      <c r="F13" s="18" t="s">
        <v>654</v>
      </c>
      <c r="G13" s="18" t="s">
        <v>732</v>
      </c>
      <c r="H13" s="19">
        <v>43627</v>
      </c>
      <c r="I13" s="18">
        <v>5</v>
      </c>
      <c r="J13" s="18">
        <v>60</v>
      </c>
      <c r="K13" s="18">
        <v>0</v>
      </c>
      <c r="L13" s="18" t="s">
        <v>451</v>
      </c>
      <c r="M13" s="18" t="s">
        <v>451</v>
      </c>
      <c r="N13" s="18">
        <f t="shared" si="0"/>
        <v>0</v>
      </c>
      <c r="O13" s="18" t="s">
        <v>451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</row>
    <row r="14" spans="1:66" s="18" customFormat="1" ht="16" customHeight="1" x14ac:dyDescent="0.2">
      <c r="A14" s="18">
        <v>1880</v>
      </c>
      <c r="B14" s="18" t="s">
        <v>452</v>
      </c>
      <c r="C14" s="18" t="s">
        <v>726</v>
      </c>
      <c r="D14" s="18" t="s">
        <v>731</v>
      </c>
      <c r="E14" s="18" t="s">
        <v>446</v>
      </c>
      <c r="F14" s="18" t="s">
        <v>654</v>
      </c>
      <c r="G14" s="18" t="s">
        <v>732</v>
      </c>
      <c r="H14" s="19">
        <v>43627</v>
      </c>
      <c r="I14" s="18">
        <v>5</v>
      </c>
      <c r="J14" s="18">
        <v>60</v>
      </c>
      <c r="K14" s="18">
        <v>0</v>
      </c>
      <c r="L14" s="18" t="s">
        <v>451</v>
      </c>
      <c r="M14" s="18" t="s">
        <v>451</v>
      </c>
      <c r="N14" s="18">
        <f t="shared" si="0"/>
        <v>0</v>
      </c>
      <c r="O14" s="18" t="s">
        <v>451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</row>
    <row r="15" spans="1:66" s="18" customFormat="1" ht="16" customHeight="1" x14ac:dyDescent="0.2">
      <c r="A15" s="18">
        <v>1886</v>
      </c>
      <c r="B15" s="18" t="s">
        <v>452</v>
      </c>
      <c r="C15" s="18" t="s">
        <v>726</v>
      </c>
      <c r="D15" s="18" t="s">
        <v>731</v>
      </c>
      <c r="E15" s="18" t="s">
        <v>446</v>
      </c>
      <c r="F15" s="18" t="s">
        <v>654</v>
      </c>
      <c r="G15" s="18" t="s">
        <v>732</v>
      </c>
      <c r="H15" s="19">
        <v>43627</v>
      </c>
      <c r="I15" s="18">
        <v>5</v>
      </c>
      <c r="J15" s="18">
        <v>60</v>
      </c>
      <c r="K15" s="18">
        <v>0</v>
      </c>
      <c r="L15" s="18" t="s">
        <v>451</v>
      </c>
      <c r="M15" s="18" t="s">
        <v>451</v>
      </c>
      <c r="N15" s="18">
        <f t="shared" si="0"/>
        <v>0</v>
      </c>
      <c r="O15" s="18" t="s">
        <v>451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</row>
    <row r="16" spans="1:66" s="18" customFormat="1" ht="16" customHeight="1" x14ac:dyDescent="0.2">
      <c r="A16" s="18">
        <v>1854</v>
      </c>
      <c r="B16" s="18" t="s">
        <v>452</v>
      </c>
      <c r="C16" s="18" t="s">
        <v>726</v>
      </c>
      <c r="D16" s="18" t="s">
        <v>731</v>
      </c>
      <c r="E16" s="18" t="s">
        <v>446</v>
      </c>
      <c r="F16" s="18" t="s">
        <v>654</v>
      </c>
      <c r="G16" s="18" t="s">
        <v>733</v>
      </c>
      <c r="H16" s="19">
        <v>43627</v>
      </c>
      <c r="I16" s="18">
        <v>5</v>
      </c>
      <c r="J16" s="18">
        <v>60</v>
      </c>
      <c r="K16" s="18">
        <v>0</v>
      </c>
      <c r="L16" s="18" t="s">
        <v>451</v>
      </c>
      <c r="M16" s="18" t="s">
        <v>451</v>
      </c>
      <c r="N16" s="18">
        <f t="shared" si="0"/>
        <v>0</v>
      </c>
      <c r="O16" s="18" t="s">
        <v>451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</row>
    <row r="17" spans="1:66" s="18" customFormat="1" ht="16" customHeight="1" x14ac:dyDescent="0.2">
      <c r="A17" s="18">
        <v>1861</v>
      </c>
      <c r="B17" s="18" t="s">
        <v>452</v>
      </c>
      <c r="C17" s="18" t="s">
        <v>726</v>
      </c>
      <c r="D17" s="18" t="s">
        <v>731</v>
      </c>
      <c r="E17" s="18" t="s">
        <v>446</v>
      </c>
      <c r="F17" s="18" t="s">
        <v>654</v>
      </c>
      <c r="G17" s="18" t="s">
        <v>733</v>
      </c>
      <c r="H17" s="19">
        <v>43627</v>
      </c>
      <c r="I17" s="18">
        <v>5</v>
      </c>
      <c r="J17" s="18">
        <v>60</v>
      </c>
      <c r="K17" s="18">
        <v>0</v>
      </c>
      <c r="L17" s="18" t="s">
        <v>451</v>
      </c>
      <c r="M17" s="18" t="s">
        <v>451</v>
      </c>
      <c r="N17" s="18">
        <f t="shared" si="0"/>
        <v>0</v>
      </c>
      <c r="O17" s="18" t="s">
        <v>451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</row>
    <row r="18" spans="1:66" s="18" customFormat="1" ht="16" customHeight="1" x14ac:dyDescent="0.2">
      <c r="A18" s="18">
        <v>1868</v>
      </c>
      <c r="B18" s="18" t="s">
        <v>452</v>
      </c>
      <c r="C18" s="18" t="s">
        <v>726</v>
      </c>
      <c r="D18" s="18" t="s">
        <v>731</v>
      </c>
      <c r="E18" s="18" t="s">
        <v>446</v>
      </c>
      <c r="F18" s="18" t="s">
        <v>654</v>
      </c>
      <c r="G18" s="18" t="s">
        <v>733</v>
      </c>
      <c r="H18" s="19">
        <v>43627</v>
      </c>
      <c r="I18" s="18">
        <v>5</v>
      </c>
      <c r="J18" s="18">
        <v>60</v>
      </c>
      <c r="K18" s="18">
        <v>0</v>
      </c>
      <c r="L18" s="18" t="s">
        <v>451</v>
      </c>
      <c r="M18" s="18" t="s">
        <v>451</v>
      </c>
      <c r="N18" s="18">
        <f t="shared" si="0"/>
        <v>0</v>
      </c>
      <c r="O18" s="18" t="s">
        <v>451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</row>
    <row r="19" spans="1:66" s="18" customFormat="1" ht="16" customHeight="1" x14ac:dyDescent="0.2">
      <c r="A19" s="18">
        <v>1875</v>
      </c>
      <c r="B19" s="18" t="s">
        <v>452</v>
      </c>
      <c r="C19" s="18" t="s">
        <v>726</v>
      </c>
      <c r="D19" s="18" t="s">
        <v>731</v>
      </c>
      <c r="E19" s="18" t="s">
        <v>446</v>
      </c>
      <c r="F19" s="18" t="s">
        <v>654</v>
      </c>
      <c r="G19" s="18" t="s">
        <v>734</v>
      </c>
      <c r="H19" s="19">
        <v>43627</v>
      </c>
      <c r="I19" s="18">
        <v>5</v>
      </c>
      <c r="J19" s="18">
        <v>60</v>
      </c>
      <c r="K19" s="18">
        <v>6.0520603187491799</v>
      </c>
      <c r="L19" s="18" t="s">
        <v>451</v>
      </c>
      <c r="M19" s="18" t="s">
        <v>451</v>
      </c>
      <c r="N19" s="18">
        <f t="shared" si="0"/>
        <v>504.33835989576505</v>
      </c>
      <c r="O19" s="18" t="s">
        <v>451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</row>
    <row r="20" spans="1:66" s="18" customFormat="1" ht="16" customHeight="1" x14ac:dyDescent="0.2">
      <c r="A20" s="18">
        <v>1881</v>
      </c>
      <c r="B20" s="18" t="s">
        <v>452</v>
      </c>
      <c r="C20" s="18" t="s">
        <v>726</v>
      </c>
      <c r="D20" s="18" t="s">
        <v>731</v>
      </c>
      <c r="E20" s="18" t="s">
        <v>446</v>
      </c>
      <c r="F20" s="18" t="s">
        <v>654</v>
      </c>
      <c r="G20" s="18" t="s">
        <v>734</v>
      </c>
      <c r="H20" s="19">
        <v>43627</v>
      </c>
      <c r="I20" s="18">
        <v>5</v>
      </c>
      <c r="J20" s="18">
        <v>60</v>
      </c>
      <c r="K20" s="18">
        <v>0</v>
      </c>
      <c r="L20" s="18" t="s">
        <v>451</v>
      </c>
      <c r="M20" s="18" t="s">
        <v>451</v>
      </c>
      <c r="N20" s="18">
        <f t="shared" si="0"/>
        <v>0</v>
      </c>
      <c r="O20" s="18" t="s">
        <v>451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spans="1:66" s="18" customFormat="1" ht="16" customHeight="1" x14ac:dyDescent="0.2">
      <c r="A21" s="18">
        <v>1887</v>
      </c>
      <c r="B21" s="18" t="s">
        <v>452</v>
      </c>
      <c r="C21" s="18" t="s">
        <v>726</v>
      </c>
      <c r="D21" s="18" t="s">
        <v>731</v>
      </c>
      <c r="E21" s="18" t="s">
        <v>446</v>
      </c>
      <c r="F21" s="18" t="s">
        <v>654</v>
      </c>
      <c r="G21" s="18" t="s">
        <v>734</v>
      </c>
      <c r="H21" s="19">
        <v>43627</v>
      </c>
      <c r="I21" s="18">
        <v>5</v>
      </c>
      <c r="J21" s="18">
        <v>60</v>
      </c>
      <c r="K21" s="18">
        <v>0</v>
      </c>
      <c r="L21" s="18" t="s">
        <v>451</v>
      </c>
      <c r="M21" s="18" t="s">
        <v>451</v>
      </c>
      <c r="N21" s="18">
        <f t="shared" si="0"/>
        <v>0</v>
      </c>
      <c r="O21" s="18" t="s">
        <v>451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</row>
    <row r="22" spans="1:66" s="18" customFormat="1" ht="16" customHeight="1" x14ac:dyDescent="0.2">
      <c r="A22" s="16">
        <v>1855</v>
      </c>
      <c r="B22" s="16" t="s">
        <v>454</v>
      </c>
      <c r="C22" s="16" t="s">
        <v>726</v>
      </c>
      <c r="D22" s="16" t="s">
        <v>735</v>
      </c>
      <c r="E22" s="16" t="s">
        <v>446</v>
      </c>
      <c r="F22" s="16" t="s">
        <v>654</v>
      </c>
      <c r="G22" s="16" t="s">
        <v>736</v>
      </c>
      <c r="H22" s="17">
        <v>43627</v>
      </c>
      <c r="I22" s="16">
        <v>5</v>
      </c>
      <c r="J22" s="16">
        <v>50</v>
      </c>
      <c r="K22" s="16">
        <v>0</v>
      </c>
      <c r="L22" s="16" t="s">
        <v>451</v>
      </c>
      <c r="M22" s="16" t="s">
        <v>451</v>
      </c>
      <c r="N22" s="16">
        <f t="shared" si="0"/>
        <v>0</v>
      </c>
      <c r="O22" s="16" t="s">
        <v>451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</row>
    <row r="23" spans="1:66" s="18" customFormat="1" ht="16" customHeight="1" x14ac:dyDescent="0.2">
      <c r="A23" s="16">
        <v>1862</v>
      </c>
      <c r="B23" s="16" t="s">
        <v>454</v>
      </c>
      <c r="C23" s="16" t="s">
        <v>726</v>
      </c>
      <c r="D23" s="16" t="s">
        <v>735</v>
      </c>
      <c r="E23" s="16" t="s">
        <v>446</v>
      </c>
      <c r="F23" s="16" t="s">
        <v>654</v>
      </c>
      <c r="G23" s="16" t="s">
        <v>736</v>
      </c>
      <c r="H23" s="17">
        <v>43627</v>
      </c>
      <c r="I23" s="16">
        <v>5</v>
      </c>
      <c r="J23" s="16">
        <v>50</v>
      </c>
      <c r="K23" s="16">
        <v>0</v>
      </c>
      <c r="L23" s="16" t="s">
        <v>451</v>
      </c>
      <c r="M23" s="16" t="s">
        <v>451</v>
      </c>
      <c r="N23" s="16">
        <f t="shared" si="0"/>
        <v>0</v>
      </c>
      <c r="O23" s="16" t="s">
        <v>451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</row>
    <row r="24" spans="1:66" s="18" customFormat="1" ht="16" customHeight="1" x14ac:dyDescent="0.2">
      <c r="A24" s="16">
        <v>1869</v>
      </c>
      <c r="B24" s="16" t="s">
        <v>454</v>
      </c>
      <c r="C24" s="16" t="s">
        <v>726</v>
      </c>
      <c r="D24" s="16" t="s">
        <v>735</v>
      </c>
      <c r="E24" s="16" t="s">
        <v>446</v>
      </c>
      <c r="F24" s="16" t="s">
        <v>654</v>
      </c>
      <c r="G24" s="16" t="s">
        <v>736</v>
      </c>
      <c r="H24" s="17">
        <v>43627</v>
      </c>
      <c r="I24" s="16">
        <v>5</v>
      </c>
      <c r="J24" s="16">
        <v>50</v>
      </c>
      <c r="K24" s="16">
        <v>0</v>
      </c>
      <c r="L24" s="16" t="s">
        <v>451</v>
      </c>
      <c r="M24" s="16" t="s">
        <v>451</v>
      </c>
      <c r="N24" s="16">
        <f t="shared" si="0"/>
        <v>0</v>
      </c>
      <c r="O24" s="16" t="s">
        <v>451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</row>
    <row r="25" spans="1:66" s="18" customFormat="1" ht="16" customHeight="1" x14ac:dyDescent="0.2">
      <c r="A25" s="16">
        <v>1876</v>
      </c>
      <c r="B25" s="16" t="s">
        <v>454</v>
      </c>
      <c r="C25" s="16" t="s">
        <v>726</v>
      </c>
      <c r="D25" s="16" t="s">
        <v>735</v>
      </c>
      <c r="E25" s="16" t="s">
        <v>446</v>
      </c>
      <c r="F25" s="16" t="s">
        <v>654</v>
      </c>
      <c r="G25" s="16" t="s">
        <v>737</v>
      </c>
      <c r="H25" s="17">
        <v>43627</v>
      </c>
      <c r="I25" s="16">
        <v>5</v>
      </c>
      <c r="J25" s="16">
        <v>50</v>
      </c>
      <c r="K25" s="16">
        <v>0</v>
      </c>
      <c r="L25" s="16" t="s">
        <v>451</v>
      </c>
      <c r="M25" s="16" t="s">
        <v>451</v>
      </c>
      <c r="N25" s="16">
        <f t="shared" si="0"/>
        <v>0</v>
      </c>
      <c r="O25" s="16" t="s">
        <v>451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</row>
    <row r="26" spans="1:66" s="18" customFormat="1" ht="16" customHeight="1" x14ac:dyDescent="0.2">
      <c r="A26" s="16">
        <v>1882</v>
      </c>
      <c r="B26" s="16" t="s">
        <v>454</v>
      </c>
      <c r="C26" s="16" t="s">
        <v>726</v>
      </c>
      <c r="D26" s="16" t="s">
        <v>735</v>
      </c>
      <c r="E26" s="16" t="s">
        <v>446</v>
      </c>
      <c r="F26" s="16" t="s">
        <v>654</v>
      </c>
      <c r="G26" s="16" t="s">
        <v>737</v>
      </c>
      <c r="H26" s="17">
        <v>43627</v>
      </c>
      <c r="I26" s="16">
        <v>5</v>
      </c>
      <c r="J26" s="16">
        <v>50</v>
      </c>
      <c r="K26" s="16">
        <v>0</v>
      </c>
      <c r="L26" s="16" t="s">
        <v>451</v>
      </c>
      <c r="M26" s="16" t="s">
        <v>451</v>
      </c>
      <c r="N26" s="16">
        <f t="shared" si="0"/>
        <v>0</v>
      </c>
      <c r="O26" s="16" t="s">
        <v>451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</row>
    <row r="27" spans="1:66" s="16" customFormat="1" ht="16" customHeight="1" x14ac:dyDescent="0.2">
      <c r="A27" s="16">
        <v>1888</v>
      </c>
      <c r="B27" s="16" t="s">
        <v>454</v>
      </c>
      <c r="C27" s="16" t="s">
        <v>726</v>
      </c>
      <c r="D27" s="16" t="s">
        <v>735</v>
      </c>
      <c r="E27" s="16" t="s">
        <v>446</v>
      </c>
      <c r="F27" s="16" t="s">
        <v>654</v>
      </c>
      <c r="G27" s="16" t="s">
        <v>737</v>
      </c>
      <c r="H27" s="17">
        <v>43627</v>
      </c>
      <c r="I27" s="16">
        <v>5</v>
      </c>
      <c r="J27" s="16">
        <v>50</v>
      </c>
      <c r="K27" s="16">
        <v>0</v>
      </c>
      <c r="L27" s="16" t="s">
        <v>451</v>
      </c>
      <c r="M27" s="16" t="s">
        <v>451</v>
      </c>
      <c r="N27" s="16">
        <f t="shared" si="0"/>
        <v>0</v>
      </c>
      <c r="O27" s="16" t="s">
        <v>451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</row>
    <row r="28" spans="1:66" s="16" customFormat="1" ht="16" customHeight="1" x14ac:dyDescent="0.2">
      <c r="A28" s="16">
        <v>1856</v>
      </c>
      <c r="B28" s="16" t="s">
        <v>454</v>
      </c>
      <c r="C28" s="16" t="s">
        <v>726</v>
      </c>
      <c r="D28" s="16" t="s">
        <v>735</v>
      </c>
      <c r="E28" s="16" t="s">
        <v>446</v>
      </c>
      <c r="F28" s="16" t="s">
        <v>654</v>
      </c>
      <c r="G28" s="16" t="s">
        <v>738</v>
      </c>
      <c r="H28" s="17">
        <v>43627</v>
      </c>
      <c r="I28" s="16">
        <v>5</v>
      </c>
      <c r="J28" s="16">
        <v>50</v>
      </c>
      <c r="K28" s="16">
        <v>0</v>
      </c>
      <c r="L28" s="16" t="s">
        <v>451</v>
      </c>
      <c r="M28" s="16" t="s">
        <v>451</v>
      </c>
      <c r="N28" s="16">
        <f t="shared" si="0"/>
        <v>0</v>
      </c>
      <c r="O28" s="16" t="s">
        <v>451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</row>
    <row r="29" spans="1:66" s="16" customFormat="1" ht="16" customHeight="1" x14ac:dyDescent="0.2">
      <c r="A29" s="16">
        <v>1863</v>
      </c>
      <c r="B29" s="16" t="s">
        <v>454</v>
      </c>
      <c r="C29" s="16" t="s">
        <v>726</v>
      </c>
      <c r="D29" s="16" t="s">
        <v>735</v>
      </c>
      <c r="E29" s="16" t="s">
        <v>446</v>
      </c>
      <c r="F29" s="16" t="s">
        <v>654</v>
      </c>
      <c r="G29" s="16" t="s">
        <v>738</v>
      </c>
      <c r="H29" s="17">
        <v>43627</v>
      </c>
      <c r="I29" s="16">
        <v>5</v>
      </c>
      <c r="J29" s="16">
        <v>50</v>
      </c>
      <c r="K29" s="16">
        <v>0</v>
      </c>
      <c r="L29" s="16" t="s">
        <v>451</v>
      </c>
      <c r="M29" s="16" t="s">
        <v>451</v>
      </c>
      <c r="N29" s="16">
        <f t="shared" si="0"/>
        <v>0</v>
      </c>
      <c r="O29" s="16" t="s">
        <v>451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</row>
    <row r="30" spans="1:66" s="16" customFormat="1" ht="16" customHeight="1" x14ac:dyDescent="0.2">
      <c r="A30" s="16">
        <v>1870</v>
      </c>
      <c r="B30" s="16" t="s">
        <v>454</v>
      </c>
      <c r="C30" s="16" t="s">
        <v>726</v>
      </c>
      <c r="D30" s="16" t="s">
        <v>735</v>
      </c>
      <c r="E30" s="16" t="s">
        <v>446</v>
      </c>
      <c r="F30" s="16" t="s">
        <v>654</v>
      </c>
      <c r="G30" s="16" t="s">
        <v>738</v>
      </c>
      <c r="H30" s="17">
        <v>43627</v>
      </c>
      <c r="I30" s="16">
        <v>5</v>
      </c>
      <c r="J30" s="16">
        <v>50</v>
      </c>
      <c r="K30" s="16">
        <v>0</v>
      </c>
      <c r="L30" s="16" t="s">
        <v>451</v>
      </c>
      <c r="M30" s="16" t="s">
        <v>451</v>
      </c>
      <c r="N30" s="16">
        <f t="shared" si="0"/>
        <v>0</v>
      </c>
      <c r="O30" s="16" t="s">
        <v>451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</row>
    <row r="31" spans="1:66" s="16" customFormat="1" ht="16" customHeight="1" x14ac:dyDescent="0.2">
      <c r="A31" s="18">
        <v>1857</v>
      </c>
      <c r="B31" s="18" t="s">
        <v>456</v>
      </c>
      <c r="C31" s="18" t="s">
        <v>739</v>
      </c>
      <c r="D31" s="18" t="s">
        <v>740</v>
      </c>
      <c r="E31" s="18" t="s">
        <v>458</v>
      </c>
      <c r="F31" s="18" t="s">
        <v>654</v>
      </c>
      <c r="G31" s="18" t="s">
        <v>741</v>
      </c>
      <c r="H31" s="19">
        <v>43627</v>
      </c>
      <c r="I31" s="18">
        <v>5</v>
      </c>
      <c r="J31" s="18">
        <v>120</v>
      </c>
      <c r="K31" s="18">
        <v>0</v>
      </c>
      <c r="L31" s="18" t="s">
        <v>451</v>
      </c>
      <c r="M31" s="18" t="s">
        <v>490</v>
      </c>
      <c r="N31" s="18">
        <f t="shared" si="0"/>
        <v>0</v>
      </c>
      <c r="O31" s="18" t="s">
        <v>451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</row>
    <row r="32" spans="1:66" s="16" customFormat="1" ht="16" customHeight="1" x14ac:dyDescent="0.2">
      <c r="A32" s="18">
        <v>1864</v>
      </c>
      <c r="B32" s="18" t="s">
        <v>456</v>
      </c>
      <c r="C32" s="18" t="s">
        <v>739</v>
      </c>
      <c r="D32" s="18" t="s">
        <v>740</v>
      </c>
      <c r="E32" s="18" t="s">
        <v>458</v>
      </c>
      <c r="F32" s="18" t="s">
        <v>654</v>
      </c>
      <c r="G32" s="18" t="s">
        <v>741</v>
      </c>
      <c r="H32" s="19">
        <v>43627</v>
      </c>
      <c r="I32" s="18">
        <v>5</v>
      </c>
      <c r="J32" s="18">
        <v>120</v>
      </c>
      <c r="K32" s="18">
        <v>0</v>
      </c>
      <c r="L32" s="18" t="s">
        <v>451</v>
      </c>
      <c r="M32" s="18" t="s">
        <v>490</v>
      </c>
      <c r="N32" s="18">
        <f t="shared" si="0"/>
        <v>0</v>
      </c>
      <c r="O32" s="18" t="s">
        <v>451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spans="1:66" s="16" customFormat="1" ht="16" customHeight="1" x14ac:dyDescent="0.2">
      <c r="A33" s="18">
        <v>1871</v>
      </c>
      <c r="B33" s="18" t="s">
        <v>456</v>
      </c>
      <c r="C33" s="18" t="s">
        <v>739</v>
      </c>
      <c r="D33" s="18" t="s">
        <v>740</v>
      </c>
      <c r="E33" s="18" t="s">
        <v>458</v>
      </c>
      <c r="F33" s="18" t="s">
        <v>654</v>
      </c>
      <c r="G33" s="18" t="s">
        <v>741</v>
      </c>
      <c r="H33" s="19">
        <v>43627</v>
      </c>
      <c r="I33" s="18">
        <v>5</v>
      </c>
      <c r="J33" s="18">
        <v>120</v>
      </c>
      <c r="K33" s="18">
        <v>0</v>
      </c>
      <c r="L33" s="18" t="s">
        <v>451</v>
      </c>
      <c r="M33" s="18" t="s">
        <v>490</v>
      </c>
      <c r="N33" s="18">
        <f t="shared" si="0"/>
        <v>0</v>
      </c>
      <c r="O33" s="18" t="s">
        <v>451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 spans="1:66" s="16" customFormat="1" ht="16" customHeight="1" x14ac:dyDescent="0.2">
      <c r="A34" s="18">
        <v>1877</v>
      </c>
      <c r="B34" s="18" t="s">
        <v>456</v>
      </c>
      <c r="C34" s="18" t="s">
        <v>739</v>
      </c>
      <c r="D34" s="18" t="s">
        <v>740</v>
      </c>
      <c r="E34" s="18" t="s">
        <v>458</v>
      </c>
      <c r="F34" s="18" t="s">
        <v>654</v>
      </c>
      <c r="G34" s="18" t="s">
        <v>742</v>
      </c>
      <c r="H34" s="19">
        <v>43627</v>
      </c>
      <c r="I34" s="18">
        <v>5</v>
      </c>
      <c r="J34" s="18">
        <v>120</v>
      </c>
      <c r="K34" s="18">
        <v>0</v>
      </c>
      <c r="L34" s="18" t="s">
        <v>451</v>
      </c>
      <c r="M34" s="18" t="s">
        <v>490</v>
      </c>
      <c r="N34" s="18">
        <f t="shared" si="0"/>
        <v>0</v>
      </c>
      <c r="O34" s="18" t="s">
        <v>451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 spans="1:66" s="16" customFormat="1" ht="16" customHeight="1" x14ac:dyDescent="0.2">
      <c r="A35" s="18">
        <v>1883</v>
      </c>
      <c r="B35" s="18" t="s">
        <v>456</v>
      </c>
      <c r="C35" s="18" t="s">
        <v>739</v>
      </c>
      <c r="D35" s="18" t="s">
        <v>740</v>
      </c>
      <c r="E35" s="18" t="s">
        <v>458</v>
      </c>
      <c r="F35" s="18" t="s">
        <v>654</v>
      </c>
      <c r="G35" s="18" t="s">
        <v>742</v>
      </c>
      <c r="H35" s="19">
        <v>43627</v>
      </c>
      <c r="I35" s="18">
        <v>5</v>
      </c>
      <c r="J35" s="18">
        <v>120</v>
      </c>
      <c r="K35" s="18">
        <v>0</v>
      </c>
      <c r="L35" s="18" t="s">
        <v>451</v>
      </c>
      <c r="M35" s="18" t="s">
        <v>490</v>
      </c>
      <c r="N35" s="18">
        <f t="shared" si="0"/>
        <v>0</v>
      </c>
      <c r="O35" s="18" t="s">
        <v>451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 spans="1:66" s="18" customFormat="1" ht="16" customHeight="1" x14ac:dyDescent="0.2">
      <c r="A36" s="18">
        <v>1889</v>
      </c>
      <c r="B36" s="18" t="s">
        <v>456</v>
      </c>
      <c r="C36" s="18" t="s">
        <v>739</v>
      </c>
      <c r="D36" s="18" t="s">
        <v>740</v>
      </c>
      <c r="E36" s="18" t="s">
        <v>458</v>
      </c>
      <c r="F36" s="18" t="s">
        <v>654</v>
      </c>
      <c r="G36" s="18" t="s">
        <v>742</v>
      </c>
      <c r="H36" s="19">
        <v>43627</v>
      </c>
      <c r="I36" s="18">
        <v>5</v>
      </c>
      <c r="J36" s="18">
        <v>120</v>
      </c>
      <c r="K36" s="18">
        <v>0</v>
      </c>
      <c r="L36" s="18" t="s">
        <v>451</v>
      </c>
      <c r="M36" s="18" t="s">
        <v>490</v>
      </c>
      <c r="N36" s="18">
        <f t="shared" si="0"/>
        <v>0</v>
      </c>
      <c r="O36" s="18" t="s">
        <v>451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 spans="1:66" s="18" customFormat="1" ht="16" customHeight="1" x14ac:dyDescent="0.2">
      <c r="A37" s="18">
        <v>1858</v>
      </c>
      <c r="B37" s="18" t="s">
        <v>456</v>
      </c>
      <c r="C37" s="18" t="s">
        <v>739</v>
      </c>
      <c r="D37" s="18" t="s">
        <v>740</v>
      </c>
      <c r="E37" s="18" t="s">
        <v>458</v>
      </c>
      <c r="F37" s="18" t="s">
        <v>654</v>
      </c>
      <c r="G37" s="18" t="s">
        <v>743</v>
      </c>
      <c r="H37" s="19">
        <v>43627</v>
      </c>
      <c r="I37" s="18">
        <v>5</v>
      </c>
      <c r="J37" s="18">
        <v>120</v>
      </c>
      <c r="K37" s="18">
        <v>0</v>
      </c>
      <c r="L37" s="18" t="s">
        <v>451</v>
      </c>
      <c r="M37" s="18" t="s">
        <v>490</v>
      </c>
      <c r="N37" s="18">
        <f t="shared" si="0"/>
        <v>0</v>
      </c>
      <c r="O37" s="18" t="s">
        <v>451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6" s="16" customFormat="1" ht="16" customHeight="1" x14ac:dyDescent="0.2">
      <c r="A38" s="18">
        <v>1865</v>
      </c>
      <c r="B38" s="18" t="s">
        <v>456</v>
      </c>
      <c r="C38" s="18" t="s">
        <v>739</v>
      </c>
      <c r="D38" s="18" t="s">
        <v>740</v>
      </c>
      <c r="E38" s="18" t="s">
        <v>458</v>
      </c>
      <c r="F38" s="18" t="s">
        <v>654</v>
      </c>
      <c r="G38" s="18" t="s">
        <v>743</v>
      </c>
      <c r="H38" s="19">
        <v>43627</v>
      </c>
      <c r="I38" s="18">
        <v>5</v>
      </c>
      <c r="J38" s="18">
        <v>120</v>
      </c>
      <c r="K38" s="18">
        <v>0</v>
      </c>
      <c r="L38" s="18" t="s">
        <v>451</v>
      </c>
      <c r="M38" s="18" t="s">
        <v>490</v>
      </c>
      <c r="N38" s="18">
        <f t="shared" si="0"/>
        <v>0</v>
      </c>
      <c r="O38" s="18" t="s">
        <v>451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 spans="1:66" s="16" customFormat="1" ht="16" customHeight="1" x14ac:dyDescent="0.2">
      <c r="A39" s="18">
        <v>1872</v>
      </c>
      <c r="B39" s="18" t="s">
        <v>456</v>
      </c>
      <c r="C39" s="18" t="s">
        <v>739</v>
      </c>
      <c r="D39" s="18" t="s">
        <v>740</v>
      </c>
      <c r="E39" s="18" t="s">
        <v>458</v>
      </c>
      <c r="F39" s="18" t="s">
        <v>654</v>
      </c>
      <c r="G39" s="18" t="s">
        <v>743</v>
      </c>
      <c r="H39" s="19">
        <v>43627</v>
      </c>
      <c r="I39" s="18">
        <v>5</v>
      </c>
      <c r="J39" s="18">
        <v>120</v>
      </c>
      <c r="K39" s="18">
        <v>0</v>
      </c>
      <c r="L39" s="18" t="s">
        <v>451</v>
      </c>
      <c r="M39" s="18" t="s">
        <v>490</v>
      </c>
      <c r="N39" s="18">
        <f t="shared" si="0"/>
        <v>0</v>
      </c>
      <c r="O39" s="18" t="s">
        <v>451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 spans="1:66" s="16" customFormat="1" ht="16" customHeight="1" x14ac:dyDescent="0.2">
      <c r="A40" s="18">
        <v>1878</v>
      </c>
      <c r="B40" s="18" t="s">
        <v>460</v>
      </c>
      <c r="C40" s="18" t="s">
        <v>739</v>
      </c>
      <c r="D40" s="18" t="s">
        <v>744</v>
      </c>
      <c r="E40" s="18" t="s">
        <v>458</v>
      </c>
      <c r="F40" s="18" t="s">
        <v>654</v>
      </c>
      <c r="G40" s="18" t="s">
        <v>745</v>
      </c>
      <c r="H40" s="19">
        <v>43628</v>
      </c>
      <c r="I40" s="18">
        <v>5</v>
      </c>
      <c r="J40" s="18">
        <v>70</v>
      </c>
      <c r="K40" s="18">
        <v>0</v>
      </c>
      <c r="L40" s="18" t="s">
        <v>451</v>
      </c>
      <c r="M40" s="18" t="s">
        <v>490</v>
      </c>
      <c r="N40" s="18">
        <f t="shared" si="0"/>
        <v>0</v>
      </c>
      <c r="O40" s="16" t="s">
        <v>746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 spans="1:66" s="16" customFormat="1" ht="16" customHeight="1" x14ac:dyDescent="0.2">
      <c r="A41" s="18">
        <v>1884</v>
      </c>
      <c r="B41" s="18" t="s">
        <v>460</v>
      </c>
      <c r="C41" s="18" t="s">
        <v>739</v>
      </c>
      <c r="D41" s="18" t="s">
        <v>744</v>
      </c>
      <c r="E41" s="18" t="s">
        <v>458</v>
      </c>
      <c r="F41" s="18" t="s">
        <v>654</v>
      </c>
      <c r="G41" s="18" t="s">
        <v>745</v>
      </c>
      <c r="H41" s="19">
        <v>43628</v>
      </c>
      <c r="I41" s="18">
        <v>5</v>
      </c>
      <c r="J41" s="18">
        <v>70</v>
      </c>
      <c r="K41" s="18">
        <v>0</v>
      </c>
      <c r="L41" s="18" t="s">
        <v>451</v>
      </c>
      <c r="M41" s="18" t="s">
        <v>490</v>
      </c>
      <c r="N41" s="18">
        <f t="shared" si="0"/>
        <v>0</v>
      </c>
      <c r="O41" s="16" t="s">
        <v>746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 spans="1:66" s="16" customFormat="1" ht="16" customHeight="1" x14ac:dyDescent="0.2">
      <c r="A42" s="18">
        <v>1890</v>
      </c>
      <c r="B42" s="18" t="s">
        <v>460</v>
      </c>
      <c r="C42" s="18" t="s">
        <v>739</v>
      </c>
      <c r="D42" s="18" t="s">
        <v>744</v>
      </c>
      <c r="E42" s="18" t="s">
        <v>458</v>
      </c>
      <c r="F42" s="18" t="s">
        <v>654</v>
      </c>
      <c r="G42" s="18" t="s">
        <v>745</v>
      </c>
      <c r="H42" s="19">
        <v>43628</v>
      </c>
      <c r="I42" s="18">
        <v>5</v>
      </c>
      <c r="J42" s="18">
        <v>70</v>
      </c>
      <c r="K42" s="18">
        <v>0</v>
      </c>
      <c r="L42" s="18" t="s">
        <v>451</v>
      </c>
      <c r="M42" s="18" t="s">
        <v>490</v>
      </c>
      <c r="N42" s="18">
        <f t="shared" si="0"/>
        <v>0</v>
      </c>
      <c r="O42" s="16" t="s">
        <v>746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 spans="1:66" s="16" customFormat="1" ht="16" customHeight="1" x14ac:dyDescent="0.2">
      <c r="A43" s="18">
        <v>1891</v>
      </c>
      <c r="B43" s="18" t="s">
        <v>460</v>
      </c>
      <c r="C43" s="18" t="s">
        <v>739</v>
      </c>
      <c r="D43" s="18" t="s">
        <v>744</v>
      </c>
      <c r="E43" s="18" t="s">
        <v>458</v>
      </c>
      <c r="F43" s="18" t="s">
        <v>654</v>
      </c>
      <c r="G43" s="18" t="s">
        <v>747</v>
      </c>
      <c r="H43" s="19">
        <v>43628</v>
      </c>
      <c r="I43" s="18">
        <v>5</v>
      </c>
      <c r="J43" s="18">
        <v>70</v>
      </c>
      <c r="K43" s="18">
        <v>0</v>
      </c>
      <c r="L43" s="18" t="s">
        <v>451</v>
      </c>
      <c r="M43" s="18" t="s">
        <v>490</v>
      </c>
      <c r="N43" s="18">
        <f t="shared" si="0"/>
        <v>0</v>
      </c>
      <c r="O43" s="16" t="s">
        <v>746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 spans="1:66" s="16" customFormat="1" ht="16" customHeight="1" x14ac:dyDescent="0.2">
      <c r="A44" s="18">
        <v>1898</v>
      </c>
      <c r="B44" s="18" t="s">
        <v>460</v>
      </c>
      <c r="C44" s="18" t="s">
        <v>739</v>
      </c>
      <c r="D44" s="18" t="s">
        <v>744</v>
      </c>
      <c r="E44" s="18" t="s">
        <v>458</v>
      </c>
      <c r="F44" s="18" t="s">
        <v>654</v>
      </c>
      <c r="G44" s="18" t="s">
        <v>747</v>
      </c>
      <c r="H44" s="19">
        <v>43628</v>
      </c>
      <c r="I44" s="18">
        <v>5</v>
      </c>
      <c r="J44" s="18">
        <v>70</v>
      </c>
      <c r="K44" s="18">
        <v>0</v>
      </c>
      <c r="L44" s="18" t="s">
        <v>451</v>
      </c>
      <c r="M44" s="18" t="s">
        <v>490</v>
      </c>
      <c r="N44" s="18">
        <f t="shared" si="0"/>
        <v>0</v>
      </c>
      <c r="O44" s="16" t="s">
        <v>746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 spans="1:66" s="16" customFormat="1" ht="16" customHeight="1" x14ac:dyDescent="0.2">
      <c r="A45" s="18">
        <v>1905</v>
      </c>
      <c r="B45" s="18" t="s">
        <v>460</v>
      </c>
      <c r="C45" s="18" t="s">
        <v>739</v>
      </c>
      <c r="D45" s="18" t="s">
        <v>744</v>
      </c>
      <c r="E45" s="18" t="s">
        <v>458</v>
      </c>
      <c r="F45" s="18" t="s">
        <v>654</v>
      </c>
      <c r="G45" s="18" t="s">
        <v>747</v>
      </c>
      <c r="H45" s="19">
        <v>43628</v>
      </c>
      <c r="I45" s="18">
        <v>5</v>
      </c>
      <c r="J45" s="18">
        <v>70</v>
      </c>
      <c r="K45" s="18">
        <v>0</v>
      </c>
      <c r="L45" s="18" t="s">
        <v>451</v>
      </c>
      <c r="M45" s="18" t="s">
        <v>490</v>
      </c>
      <c r="N45" s="18">
        <f t="shared" si="0"/>
        <v>0</v>
      </c>
      <c r="O45" s="16" t="s">
        <v>746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 spans="1:66" s="16" customFormat="1" ht="16" customHeight="1" x14ac:dyDescent="0.2">
      <c r="A46" s="18">
        <v>1912</v>
      </c>
      <c r="B46" s="18" t="s">
        <v>462</v>
      </c>
      <c r="C46" s="18" t="s">
        <v>739</v>
      </c>
      <c r="D46" s="18" t="s">
        <v>748</v>
      </c>
      <c r="E46" s="18" t="s">
        <v>458</v>
      </c>
      <c r="F46" s="18" t="s">
        <v>654</v>
      </c>
      <c r="G46" s="18" t="s">
        <v>749</v>
      </c>
      <c r="H46" s="19">
        <v>43628</v>
      </c>
      <c r="I46" s="18">
        <v>5</v>
      </c>
      <c r="J46" s="18">
        <v>50</v>
      </c>
      <c r="K46" s="18">
        <v>0</v>
      </c>
      <c r="L46" s="18" t="s">
        <v>490</v>
      </c>
      <c r="M46" s="18" t="s">
        <v>8</v>
      </c>
      <c r="N46" s="18">
        <f t="shared" si="0"/>
        <v>0</v>
      </c>
      <c r="O46" s="18" t="s">
        <v>750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66" s="16" customFormat="1" ht="16" customHeight="1" x14ac:dyDescent="0.2">
      <c r="A47" s="18">
        <v>1919</v>
      </c>
      <c r="B47" s="18" t="s">
        <v>462</v>
      </c>
      <c r="C47" s="18" t="s">
        <v>739</v>
      </c>
      <c r="D47" s="18" t="s">
        <v>748</v>
      </c>
      <c r="E47" s="18" t="s">
        <v>458</v>
      </c>
      <c r="F47" s="18" t="s">
        <v>654</v>
      </c>
      <c r="G47" s="18" t="s">
        <v>749</v>
      </c>
      <c r="H47" s="19">
        <v>43628</v>
      </c>
      <c r="I47" s="18">
        <v>5</v>
      </c>
      <c r="J47" s="18">
        <v>50</v>
      </c>
      <c r="K47" s="18">
        <v>0</v>
      </c>
      <c r="L47" s="18" t="s">
        <v>490</v>
      </c>
      <c r="M47" s="18" t="s">
        <v>8</v>
      </c>
      <c r="N47" s="18">
        <f t="shared" si="0"/>
        <v>0</v>
      </c>
      <c r="O47" s="18" t="s">
        <v>750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66" s="16" customFormat="1" ht="16" customHeight="1" x14ac:dyDescent="0.2">
      <c r="A48" s="18">
        <v>1926</v>
      </c>
      <c r="B48" s="18" t="s">
        <v>462</v>
      </c>
      <c r="C48" s="18" t="s">
        <v>739</v>
      </c>
      <c r="D48" s="18" t="s">
        <v>748</v>
      </c>
      <c r="E48" s="18" t="s">
        <v>458</v>
      </c>
      <c r="F48" s="18" t="s">
        <v>654</v>
      </c>
      <c r="G48" s="18" t="s">
        <v>749</v>
      </c>
      <c r="H48" s="19">
        <v>43628</v>
      </c>
      <c r="I48" s="18">
        <v>5</v>
      </c>
      <c r="J48" s="18">
        <v>50</v>
      </c>
      <c r="K48" s="18">
        <v>0</v>
      </c>
      <c r="L48" s="18" t="s">
        <v>490</v>
      </c>
      <c r="M48" s="18" t="s">
        <v>8</v>
      </c>
      <c r="N48" s="18">
        <f t="shared" si="0"/>
        <v>0</v>
      </c>
      <c r="O48" s="18" t="s">
        <v>750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 s="16" customFormat="1" ht="16" customHeight="1" x14ac:dyDescent="0.2">
      <c r="A49" s="16">
        <v>1892</v>
      </c>
      <c r="B49" s="16" t="s">
        <v>464</v>
      </c>
      <c r="C49" s="16" t="s">
        <v>751</v>
      </c>
      <c r="D49" s="16" t="s">
        <v>752</v>
      </c>
      <c r="E49" s="16" t="s">
        <v>466</v>
      </c>
      <c r="F49" s="16" t="s">
        <v>654</v>
      </c>
      <c r="G49" s="16" t="s">
        <v>753</v>
      </c>
      <c r="H49" s="17">
        <v>43628</v>
      </c>
      <c r="I49" s="16">
        <v>5</v>
      </c>
      <c r="J49" s="16">
        <v>60</v>
      </c>
      <c r="K49" s="16">
        <v>0</v>
      </c>
      <c r="L49" s="16" t="s">
        <v>451</v>
      </c>
      <c r="M49" s="16" t="s">
        <v>451</v>
      </c>
      <c r="N49" s="16">
        <f t="shared" si="0"/>
        <v>0</v>
      </c>
      <c r="O49" s="16" t="s">
        <v>451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 s="16" customFormat="1" ht="16" customHeight="1" x14ac:dyDescent="0.2">
      <c r="A50" s="16">
        <v>1899</v>
      </c>
      <c r="B50" s="16" t="s">
        <v>464</v>
      </c>
      <c r="C50" s="16" t="s">
        <v>751</v>
      </c>
      <c r="D50" s="16" t="s">
        <v>752</v>
      </c>
      <c r="E50" s="16" t="s">
        <v>466</v>
      </c>
      <c r="F50" s="16" t="s">
        <v>654</v>
      </c>
      <c r="G50" s="16" t="s">
        <v>753</v>
      </c>
      <c r="H50" s="17">
        <v>43628</v>
      </c>
      <c r="I50" s="16">
        <v>5</v>
      </c>
      <c r="J50" s="16">
        <v>60</v>
      </c>
      <c r="K50" s="16">
        <v>0</v>
      </c>
      <c r="L50" s="16" t="s">
        <v>451</v>
      </c>
      <c r="M50" s="16" t="s">
        <v>451</v>
      </c>
      <c r="N50" s="16">
        <f t="shared" si="0"/>
        <v>0</v>
      </c>
      <c r="O50" s="16" t="s">
        <v>451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 s="16" customFormat="1" ht="16" customHeight="1" x14ac:dyDescent="0.2">
      <c r="A51" s="16">
        <v>1906</v>
      </c>
      <c r="B51" s="16" t="s">
        <v>464</v>
      </c>
      <c r="C51" s="16" t="s">
        <v>751</v>
      </c>
      <c r="D51" s="16" t="s">
        <v>752</v>
      </c>
      <c r="E51" s="16" t="s">
        <v>466</v>
      </c>
      <c r="F51" s="16" t="s">
        <v>654</v>
      </c>
      <c r="G51" s="16" t="s">
        <v>753</v>
      </c>
      <c r="H51" s="17">
        <v>43628</v>
      </c>
      <c r="I51" s="16">
        <v>5</v>
      </c>
      <c r="J51" s="16">
        <v>60</v>
      </c>
      <c r="K51" s="16">
        <v>0</v>
      </c>
      <c r="L51" s="16" t="s">
        <v>451</v>
      </c>
      <c r="M51" s="16" t="s">
        <v>451</v>
      </c>
      <c r="N51" s="16">
        <f t="shared" si="0"/>
        <v>0</v>
      </c>
      <c r="O51" s="16" t="s">
        <v>451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 s="16" customFormat="1" ht="16" customHeight="1" x14ac:dyDescent="0.2">
      <c r="A52" s="16">
        <v>1913</v>
      </c>
      <c r="B52" s="16" t="s">
        <v>464</v>
      </c>
      <c r="C52" s="16" t="s">
        <v>751</v>
      </c>
      <c r="D52" s="16" t="s">
        <v>752</v>
      </c>
      <c r="E52" s="16" t="s">
        <v>466</v>
      </c>
      <c r="F52" s="16" t="s">
        <v>654</v>
      </c>
      <c r="G52" s="16" t="s">
        <v>754</v>
      </c>
      <c r="H52" s="17">
        <v>43628</v>
      </c>
      <c r="I52" s="16">
        <v>5</v>
      </c>
      <c r="J52" s="16">
        <v>60</v>
      </c>
      <c r="K52" s="16">
        <v>0</v>
      </c>
      <c r="L52" s="16" t="s">
        <v>451</v>
      </c>
      <c r="M52" s="16" t="s">
        <v>451</v>
      </c>
      <c r="N52" s="16">
        <f t="shared" si="0"/>
        <v>0</v>
      </c>
      <c r="O52" s="16" t="s">
        <v>451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 s="16" customFormat="1" ht="16" customHeight="1" x14ac:dyDescent="0.2">
      <c r="A53" s="16">
        <v>1920</v>
      </c>
      <c r="B53" s="16" t="s">
        <v>464</v>
      </c>
      <c r="C53" s="16" t="s">
        <v>751</v>
      </c>
      <c r="D53" s="16" t="s">
        <v>752</v>
      </c>
      <c r="E53" s="16" t="s">
        <v>466</v>
      </c>
      <c r="F53" s="16" t="s">
        <v>654</v>
      </c>
      <c r="G53" s="16" t="s">
        <v>754</v>
      </c>
      <c r="H53" s="17">
        <v>43628</v>
      </c>
      <c r="I53" s="16">
        <v>5</v>
      </c>
      <c r="J53" s="16">
        <v>60</v>
      </c>
      <c r="K53" s="16">
        <v>0</v>
      </c>
      <c r="L53" s="16" t="s">
        <v>451</v>
      </c>
      <c r="M53" s="16" t="s">
        <v>451</v>
      </c>
      <c r="N53" s="16">
        <f t="shared" si="0"/>
        <v>0</v>
      </c>
      <c r="O53" s="16" t="s">
        <v>451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 s="16" customFormat="1" ht="16" customHeight="1" x14ac:dyDescent="0.2">
      <c r="A54" s="16">
        <v>1927</v>
      </c>
      <c r="B54" s="16" t="s">
        <v>464</v>
      </c>
      <c r="C54" s="16" t="s">
        <v>751</v>
      </c>
      <c r="D54" s="16" t="s">
        <v>752</v>
      </c>
      <c r="E54" s="16" t="s">
        <v>466</v>
      </c>
      <c r="F54" s="16" t="s">
        <v>654</v>
      </c>
      <c r="G54" s="16" t="s">
        <v>754</v>
      </c>
      <c r="H54" s="17">
        <v>43628</v>
      </c>
      <c r="I54" s="16">
        <v>5</v>
      </c>
      <c r="J54" s="16">
        <v>60</v>
      </c>
      <c r="K54" s="16">
        <v>0</v>
      </c>
      <c r="L54" s="16" t="s">
        <v>451</v>
      </c>
      <c r="M54" s="16" t="s">
        <v>451</v>
      </c>
      <c r="N54" s="16">
        <f t="shared" si="0"/>
        <v>0</v>
      </c>
      <c r="O54" s="16" t="s">
        <v>451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 s="16" customFormat="1" ht="16" customHeight="1" x14ac:dyDescent="0.2">
      <c r="A55" s="16">
        <v>1893</v>
      </c>
      <c r="B55" s="16" t="s">
        <v>464</v>
      </c>
      <c r="C55" s="16" t="s">
        <v>751</v>
      </c>
      <c r="D55" s="16" t="s">
        <v>752</v>
      </c>
      <c r="E55" s="16" t="s">
        <v>466</v>
      </c>
      <c r="F55" s="16" t="s">
        <v>654</v>
      </c>
      <c r="G55" s="16" t="s">
        <v>755</v>
      </c>
      <c r="H55" s="17">
        <v>43628</v>
      </c>
      <c r="I55" s="16">
        <v>5</v>
      </c>
      <c r="J55" s="16">
        <v>60</v>
      </c>
      <c r="K55" s="16">
        <v>0</v>
      </c>
      <c r="L55" s="16" t="s">
        <v>451</v>
      </c>
      <c r="M55" s="16" t="s">
        <v>451</v>
      </c>
      <c r="N55" s="16">
        <f t="shared" si="0"/>
        <v>0</v>
      </c>
      <c r="O55" s="16" t="s">
        <v>451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 s="16" customFormat="1" ht="16" customHeight="1" x14ac:dyDescent="0.2">
      <c r="A56" s="16">
        <v>1900</v>
      </c>
      <c r="B56" s="16" t="s">
        <v>464</v>
      </c>
      <c r="C56" s="16" t="s">
        <v>751</v>
      </c>
      <c r="D56" s="16" t="s">
        <v>752</v>
      </c>
      <c r="E56" s="16" t="s">
        <v>466</v>
      </c>
      <c r="F56" s="16" t="s">
        <v>654</v>
      </c>
      <c r="G56" s="16" t="s">
        <v>755</v>
      </c>
      <c r="H56" s="17">
        <v>43628</v>
      </c>
      <c r="I56" s="16">
        <v>5</v>
      </c>
      <c r="J56" s="16">
        <v>60</v>
      </c>
      <c r="K56" s="16">
        <v>0</v>
      </c>
      <c r="L56" s="16" t="s">
        <v>451</v>
      </c>
      <c r="M56" s="16" t="s">
        <v>451</v>
      </c>
      <c r="N56" s="16">
        <f t="shared" si="0"/>
        <v>0</v>
      </c>
      <c r="O56" s="16" t="s">
        <v>451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 s="16" customFormat="1" ht="16" customHeight="1" x14ac:dyDescent="0.2">
      <c r="A57" s="16">
        <v>1907</v>
      </c>
      <c r="B57" s="16" t="s">
        <v>464</v>
      </c>
      <c r="C57" s="16" t="s">
        <v>751</v>
      </c>
      <c r="D57" s="16" t="s">
        <v>752</v>
      </c>
      <c r="E57" s="16" t="s">
        <v>466</v>
      </c>
      <c r="F57" s="16" t="s">
        <v>654</v>
      </c>
      <c r="G57" s="16" t="s">
        <v>755</v>
      </c>
      <c r="H57" s="17">
        <v>43628</v>
      </c>
      <c r="I57" s="16">
        <v>5</v>
      </c>
      <c r="J57" s="16">
        <v>60</v>
      </c>
      <c r="K57" s="16">
        <v>0</v>
      </c>
      <c r="L57" s="16" t="s">
        <v>451</v>
      </c>
      <c r="M57" s="16" t="s">
        <v>451</v>
      </c>
      <c r="N57" s="16">
        <f t="shared" si="0"/>
        <v>0</v>
      </c>
      <c r="O57" s="16" t="s">
        <v>451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 s="16" customFormat="1" ht="16" customHeight="1" x14ac:dyDescent="0.2">
      <c r="A58" s="18">
        <v>1914</v>
      </c>
      <c r="B58" s="18" t="s">
        <v>468</v>
      </c>
      <c r="C58" s="18" t="s">
        <v>756</v>
      </c>
      <c r="D58" s="18" t="s">
        <v>757</v>
      </c>
      <c r="E58" s="18" t="s">
        <v>470</v>
      </c>
      <c r="F58" s="18" t="s">
        <v>654</v>
      </c>
      <c r="G58" s="18" t="s">
        <v>758</v>
      </c>
      <c r="H58" s="19">
        <v>43628</v>
      </c>
      <c r="I58" s="18">
        <v>5</v>
      </c>
      <c r="J58" s="18">
        <v>70</v>
      </c>
      <c r="K58" s="18">
        <v>0</v>
      </c>
      <c r="L58" s="18" t="s">
        <v>451</v>
      </c>
      <c r="M58" s="18" t="s">
        <v>490</v>
      </c>
      <c r="N58" s="18">
        <f t="shared" si="0"/>
        <v>0</v>
      </c>
      <c r="O58" s="18" t="s">
        <v>451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 s="16" customFormat="1" ht="16" customHeight="1" x14ac:dyDescent="0.2">
      <c r="A59" s="18">
        <v>1921</v>
      </c>
      <c r="B59" s="18" t="s">
        <v>468</v>
      </c>
      <c r="C59" s="18" t="s">
        <v>756</v>
      </c>
      <c r="D59" s="18" t="s">
        <v>757</v>
      </c>
      <c r="E59" s="18" t="s">
        <v>470</v>
      </c>
      <c r="F59" s="18" t="s">
        <v>654</v>
      </c>
      <c r="G59" s="18" t="s">
        <v>758</v>
      </c>
      <c r="H59" s="19">
        <v>43628</v>
      </c>
      <c r="I59" s="18">
        <v>5</v>
      </c>
      <c r="J59" s="18">
        <v>70</v>
      </c>
      <c r="K59" s="18">
        <v>0</v>
      </c>
      <c r="L59" s="18" t="s">
        <v>451</v>
      </c>
      <c r="M59" s="18" t="s">
        <v>490</v>
      </c>
      <c r="N59" s="18">
        <f t="shared" si="0"/>
        <v>0</v>
      </c>
      <c r="O59" s="18" t="s">
        <v>451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  <row r="60" spans="1:66" s="16" customFormat="1" ht="16" customHeight="1" x14ac:dyDescent="0.2">
      <c r="A60" s="18">
        <v>1928</v>
      </c>
      <c r="B60" s="18" t="s">
        <v>468</v>
      </c>
      <c r="C60" s="18" t="s">
        <v>756</v>
      </c>
      <c r="D60" s="18" t="s">
        <v>757</v>
      </c>
      <c r="E60" s="18" t="s">
        <v>470</v>
      </c>
      <c r="F60" s="18" t="s">
        <v>654</v>
      </c>
      <c r="G60" s="18" t="s">
        <v>758</v>
      </c>
      <c r="H60" s="19">
        <v>43628</v>
      </c>
      <c r="I60" s="18">
        <v>5</v>
      </c>
      <c r="J60" s="18">
        <v>70</v>
      </c>
      <c r="K60" s="18">
        <v>0</v>
      </c>
      <c r="L60" s="18" t="s">
        <v>451</v>
      </c>
      <c r="M60" s="18" t="s">
        <v>490</v>
      </c>
      <c r="N60" s="18">
        <f t="shared" si="0"/>
        <v>0</v>
      </c>
      <c r="O60" s="18" t="s">
        <v>451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</row>
    <row r="61" spans="1:66" s="16" customFormat="1" ht="16" customHeight="1" x14ac:dyDescent="0.2">
      <c r="A61" s="18">
        <v>1894</v>
      </c>
      <c r="B61" s="18" t="s">
        <v>468</v>
      </c>
      <c r="C61" s="18" t="s">
        <v>756</v>
      </c>
      <c r="D61" s="18" t="s">
        <v>757</v>
      </c>
      <c r="E61" s="18" t="s">
        <v>470</v>
      </c>
      <c r="F61" s="18" t="s">
        <v>654</v>
      </c>
      <c r="G61" s="18" t="s">
        <v>759</v>
      </c>
      <c r="H61" s="19">
        <v>43628</v>
      </c>
      <c r="I61" s="18">
        <v>5</v>
      </c>
      <c r="J61" s="18">
        <v>70</v>
      </c>
      <c r="K61" s="18">
        <v>0</v>
      </c>
      <c r="L61" s="18" t="s">
        <v>451</v>
      </c>
      <c r="M61" s="18" t="s">
        <v>490</v>
      </c>
      <c r="N61" s="18">
        <f t="shared" si="0"/>
        <v>0</v>
      </c>
      <c r="O61" s="18" t="s">
        <v>451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</row>
    <row r="62" spans="1:66" s="16" customFormat="1" ht="16" customHeight="1" x14ac:dyDescent="0.2">
      <c r="A62" s="18">
        <v>1901</v>
      </c>
      <c r="B62" s="18" t="s">
        <v>468</v>
      </c>
      <c r="C62" s="18" t="s">
        <v>756</v>
      </c>
      <c r="D62" s="18" t="s">
        <v>757</v>
      </c>
      <c r="E62" s="18" t="s">
        <v>470</v>
      </c>
      <c r="F62" s="18" t="s">
        <v>654</v>
      </c>
      <c r="G62" s="18" t="s">
        <v>759</v>
      </c>
      <c r="H62" s="19">
        <v>43628</v>
      </c>
      <c r="I62" s="18">
        <v>5</v>
      </c>
      <c r="J62" s="18">
        <v>70</v>
      </c>
      <c r="K62" s="18">
        <v>0</v>
      </c>
      <c r="L62" s="18" t="s">
        <v>451</v>
      </c>
      <c r="M62" s="18" t="s">
        <v>490</v>
      </c>
      <c r="N62" s="18">
        <f t="shared" si="0"/>
        <v>0</v>
      </c>
      <c r="O62" s="18" t="s">
        <v>451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 spans="1:66" s="16" customFormat="1" ht="16" customHeight="1" x14ac:dyDescent="0.2">
      <c r="A63" s="18">
        <v>1908</v>
      </c>
      <c r="B63" s="18" t="s">
        <v>468</v>
      </c>
      <c r="C63" s="18" t="s">
        <v>756</v>
      </c>
      <c r="D63" s="18" t="s">
        <v>757</v>
      </c>
      <c r="E63" s="18" t="s">
        <v>470</v>
      </c>
      <c r="F63" s="18" t="s">
        <v>654</v>
      </c>
      <c r="G63" s="18" t="s">
        <v>759</v>
      </c>
      <c r="H63" s="19">
        <v>43628</v>
      </c>
      <c r="I63" s="18">
        <v>5</v>
      </c>
      <c r="J63" s="18">
        <v>70</v>
      </c>
      <c r="K63" s="18">
        <v>0</v>
      </c>
      <c r="L63" s="18" t="s">
        <v>451</v>
      </c>
      <c r="M63" s="18" t="s">
        <v>490</v>
      </c>
      <c r="N63" s="18">
        <f t="shared" si="0"/>
        <v>0</v>
      </c>
      <c r="O63" s="18" t="s">
        <v>451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</row>
    <row r="64" spans="1:66" s="16" customFormat="1" ht="16" customHeight="1" x14ac:dyDescent="0.2">
      <c r="A64" s="18">
        <v>1915</v>
      </c>
      <c r="B64" s="18" t="s">
        <v>468</v>
      </c>
      <c r="C64" s="18" t="s">
        <v>756</v>
      </c>
      <c r="D64" s="18" t="s">
        <v>757</v>
      </c>
      <c r="E64" s="18" t="s">
        <v>470</v>
      </c>
      <c r="F64" s="18" t="s">
        <v>654</v>
      </c>
      <c r="G64" s="18" t="s">
        <v>760</v>
      </c>
      <c r="H64" s="19">
        <v>43628</v>
      </c>
      <c r="I64" s="18">
        <v>5</v>
      </c>
      <c r="J64" s="18">
        <v>70</v>
      </c>
      <c r="K64" s="18">
        <v>0</v>
      </c>
      <c r="L64" s="18" t="s">
        <v>451</v>
      </c>
      <c r="M64" s="18" t="s">
        <v>490</v>
      </c>
      <c r="N64" s="18">
        <f t="shared" si="0"/>
        <v>0</v>
      </c>
      <c r="O64" s="18" t="s">
        <v>451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</row>
    <row r="65" spans="1:66" s="16" customFormat="1" ht="16" customHeight="1" x14ac:dyDescent="0.2">
      <c r="A65" s="18">
        <v>1922</v>
      </c>
      <c r="B65" s="18" t="s">
        <v>468</v>
      </c>
      <c r="C65" s="18" t="s">
        <v>756</v>
      </c>
      <c r="D65" s="18" t="s">
        <v>757</v>
      </c>
      <c r="E65" s="18" t="s">
        <v>470</v>
      </c>
      <c r="F65" s="18" t="s">
        <v>654</v>
      </c>
      <c r="G65" s="18" t="s">
        <v>760</v>
      </c>
      <c r="H65" s="19">
        <v>43628</v>
      </c>
      <c r="I65" s="18">
        <v>5</v>
      </c>
      <c r="J65" s="18">
        <v>70</v>
      </c>
      <c r="K65" s="18">
        <v>0</v>
      </c>
      <c r="L65" s="18" t="s">
        <v>451</v>
      </c>
      <c r="M65" s="18" t="s">
        <v>490</v>
      </c>
      <c r="N65" s="18">
        <f t="shared" si="0"/>
        <v>0</v>
      </c>
      <c r="O65" s="18" t="s">
        <v>451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</row>
    <row r="66" spans="1:66" s="16" customFormat="1" ht="16" customHeight="1" x14ac:dyDescent="0.2">
      <c r="A66" s="18">
        <v>1929</v>
      </c>
      <c r="B66" s="18" t="s">
        <v>468</v>
      </c>
      <c r="C66" s="18" t="s">
        <v>756</v>
      </c>
      <c r="D66" s="18" t="s">
        <v>757</v>
      </c>
      <c r="E66" s="18" t="s">
        <v>470</v>
      </c>
      <c r="F66" s="18" t="s">
        <v>654</v>
      </c>
      <c r="G66" s="18" t="s">
        <v>760</v>
      </c>
      <c r="H66" s="19">
        <v>43628</v>
      </c>
      <c r="I66" s="18">
        <v>5</v>
      </c>
      <c r="J66" s="18">
        <v>70</v>
      </c>
      <c r="K66" s="18">
        <v>0</v>
      </c>
      <c r="L66" s="18" t="s">
        <v>451</v>
      </c>
      <c r="M66" s="18" t="s">
        <v>490</v>
      </c>
      <c r="N66" s="18">
        <f t="shared" si="0"/>
        <v>0</v>
      </c>
      <c r="O66" s="18" t="s">
        <v>451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</row>
    <row r="67" spans="1:66" s="18" customFormat="1" ht="16" customHeight="1" x14ac:dyDescent="0.2">
      <c r="A67" s="16">
        <v>1895</v>
      </c>
      <c r="B67" s="16" t="s">
        <v>472</v>
      </c>
      <c r="C67" s="16" t="s">
        <v>761</v>
      </c>
      <c r="D67" s="16" t="s">
        <v>762</v>
      </c>
      <c r="E67" s="16" t="s">
        <v>474</v>
      </c>
      <c r="F67" s="16" t="s">
        <v>654</v>
      </c>
      <c r="G67" s="16" t="s">
        <v>763</v>
      </c>
      <c r="H67" s="17">
        <v>43628</v>
      </c>
      <c r="I67" s="16">
        <v>5</v>
      </c>
      <c r="J67" s="16">
        <v>70</v>
      </c>
      <c r="K67" s="16">
        <v>0</v>
      </c>
      <c r="L67" s="16" t="s">
        <v>451</v>
      </c>
      <c r="M67" s="16" t="s">
        <v>490</v>
      </c>
      <c r="N67" s="16">
        <f t="shared" si="0"/>
        <v>0</v>
      </c>
      <c r="O67" s="16" t="s">
        <v>451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</row>
    <row r="68" spans="1:66" s="18" customFormat="1" ht="16" customHeight="1" x14ac:dyDescent="0.2">
      <c r="A68" s="16">
        <v>1902</v>
      </c>
      <c r="B68" s="16" t="s">
        <v>472</v>
      </c>
      <c r="C68" s="16" t="s">
        <v>761</v>
      </c>
      <c r="D68" s="16" t="s">
        <v>762</v>
      </c>
      <c r="E68" s="16" t="s">
        <v>474</v>
      </c>
      <c r="F68" s="16" t="s">
        <v>654</v>
      </c>
      <c r="G68" s="16" t="s">
        <v>763</v>
      </c>
      <c r="H68" s="17">
        <v>43628</v>
      </c>
      <c r="I68" s="16">
        <v>5</v>
      </c>
      <c r="J68" s="16">
        <v>70</v>
      </c>
      <c r="K68" s="16">
        <v>0</v>
      </c>
      <c r="L68" s="16" t="s">
        <v>451</v>
      </c>
      <c r="M68" s="16" t="s">
        <v>490</v>
      </c>
      <c r="N68" s="16">
        <f t="shared" ref="N68:N131" si="1">K68*I68*(1000/J68)</f>
        <v>0</v>
      </c>
      <c r="O68" s="16" t="s">
        <v>451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  <row r="69" spans="1:66" s="18" customFormat="1" ht="16" customHeight="1" x14ac:dyDescent="0.2">
      <c r="A69" s="16">
        <v>1909</v>
      </c>
      <c r="B69" s="16" t="s">
        <v>472</v>
      </c>
      <c r="C69" s="16" t="s">
        <v>761</v>
      </c>
      <c r="D69" s="16" t="s">
        <v>762</v>
      </c>
      <c r="E69" s="16" t="s">
        <v>474</v>
      </c>
      <c r="F69" s="16" t="s">
        <v>654</v>
      </c>
      <c r="G69" s="16" t="s">
        <v>763</v>
      </c>
      <c r="H69" s="17">
        <v>43628</v>
      </c>
      <c r="I69" s="16">
        <v>5</v>
      </c>
      <c r="J69" s="16">
        <v>70</v>
      </c>
      <c r="K69" s="16">
        <v>0</v>
      </c>
      <c r="L69" s="16" t="s">
        <v>451</v>
      </c>
      <c r="M69" s="16" t="s">
        <v>490</v>
      </c>
      <c r="N69" s="16">
        <f t="shared" si="1"/>
        <v>0</v>
      </c>
      <c r="O69" s="16" t="s">
        <v>451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</row>
    <row r="70" spans="1:66" s="18" customFormat="1" ht="16" customHeight="1" x14ac:dyDescent="0.2">
      <c r="A70" s="16">
        <v>1916</v>
      </c>
      <c r="B70" s="16" t="s">
        <v>472</v>
      </c>
      <c r="C70" s="16" t="s">
        <v>761</v>
      </c>
      <c r="D70" s="16" t="s">
        <v>762</v>
      </c>
      <c r="E70" s="16" t="s">
        <v>474</v>
      </c>
      <c r="F70" s="16" t="s">
        <v>654</v>
      </c>
      <c r="G70" s="16" t="s">
        <v>764</v>
      </c>
      <c r="H70" s="17">
        <v>43628</v>
      </c>
      <c r="I70" s="16">
        <v>5</v>
      </c>
      <c r="J70" s="16">
        <v>70</v>
      </c>
      <c r="K70" s="16">
        <v>0</v>
      </c>
      <c r="L70" s="16" t="s">
        <v>451</v>
      </c>
      <c r="M70" s="16" t="s">
        <v>490</v>
      </c>
      <c r="N70" s="16">
        <f t="shared" si="1"/>
        <v>0</v>
      </c>
      <c r="O70" s="16" t="s">
        <v>451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</row>
    <row r="71" spans="1:66" s="18" customFormat="1" ht="16" customHeight="1" x14ac:dyDescent="0.2">
      <c r="A71" s="16">
        <v>1923</v>
      </c>
      <c r="B71" s="16" t="s">
        <v>472</v>
      </c>
      <c r="C71" s="16" t="s">
        <v>761</v>
      </c>
      <c r="D71" s="16" t="s">
        <v>762</v>
      </c>
      <c r="E71" s="16" t="s">
        <v>474</v>
      </c>
      <c r="F71" s="16" t="s">
        <v>654</v>
      </c>
      <c r="G71" s="16" t="s">
        <v>764</v>
      </c>
      <c r="H71" s="17">
        <v>43628</v>
      </c>
      <c r="I71" s="16">
        <v>5</v>
      </c>
      <c r="J71" s="16">
        <v>70</v>
      </c>
      <c r="K71" s="16">
        <v>0</v>
      </c>
      <c r="L71" s="16" t="s">
        <v>451</v>
      </c>
      <c r="M71" s="16" t="s">
        <v>490</v>
      </c>
      <c r="N71" s="16">
        <f t="shared" si="1"/>
        <v>0</v>
      </c>
      <c r="O71" s="16" t="s">
        <v>451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</row>
    <row r="72" spans="1:66" s="18" customFormat="1" ht="16" customHeight="1" x14ac:dyDescent="0.2">
      <c r="A72" s="16">
        <v>1930</v>
      </c>
      <c r="B72" s="16" t="s">
        <v>472</v>
      </c>
      <c r="C72" s="16" t="s">
        <v>761</v>
      </c>
      <c r="D72" s="16" t="s">
        <v>762</v>
      </c>
      <c r="E72" s="16" t="s">
        <v>474</v>
      </c>
      <c r="F72" s="16" t="s">
        <v>654</v>
      </c>
      <c r="G72" s="16" t="s">
        <v>764</v>
      </c>
      <c r="H72" s="17">
        <v>43628</v>
      </c>
      <c r="I72" s="16">
        <v>5</v>
      </c>
      <c r="J72" s="16">
        <v>70</v>
      </c>
      <c r="K72" s="16">
        <v>0</v>
      </c>
      <c r="L72" s="16" t="s">
        <v>451</v>
      </c>
      <c r="M72" s="16" t="s">
        <v>490</v>
      </c>
      <c r="N72" s="16">
        <f t="shared" si="1"/>
        <v>0</v>
      </c>
      <c r="O72" s="16" t="s">
        <v>451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</row>
    <row r="73" spans="1:66" s="18" customFormat="1" ht="16" customHeight="1" x14ac:dyDescent="0.2">
      <c r="A73" s="16">
        <v>1896</v>
      </c>
      <c r="B73" s="16" t="s">
        <v>472</v>
      </c>
      <c r="C73" s="16" t="s">
        <v>761</v>
      </c>
      <c r="D73" s="16" t="s">
        <v>762</v>
      </c>
      <c r="E73" s="16" t="s">
        <v>474</v>
      </c>
      <c r="F73" s="16" t="s">
        <v>654</v>
      </c>
      <c r="G73" s="16" t="s">
        <v>765</v>
      </c>
      <c r="H73" s="17">
        <v>43628</v>
      </c>
      <c r="I73" s="16">
        <v>5</v>
      </c>
      <c r="J73" s="16">
        <v>70</v>
      </c>
      <c r="K73" s="16">
        <v>0</v>
      </c>
      <c r="L73" s="16" t="s">
        <v>451</v>
      </c>
      <c r="M73" s="16" t="s">
        <v>490</v>
      </c>
      <c r="N73" s="16">
        <f t="shared" si="1"/>
        <v>0</v>
      </c>
      <c r="O73" s="16" t="s">
        <v>451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</row>
    <row r="74" spans="1:66" s="16" customFormat="1" ht="16" customHeight="1" x14ac:dyDescent="0.2">
      <c r="A74" s="16">
        <v>1903</v>
      </c>
      <c r="B74" s="16" t="s">
        <v>472</v>
      </c>
      <c r="C74" s="16" t="s">
        <v>761</v>
      </c>
      <c r="D74" s="16" t="s">
        <v>762</v>
      </c>
      <c r="E74" s="16" t="s">
        <v>474</v>
      </c>
      <c r="F74" s="16" t="s">
        <v>654</v>
      </c>
      <c r="G74" s="16" t="s">
        <v>765</v>
      </c>
      <c r="H74" s="17">
        <v>43628</v>
      </c>
      <c r="I74" s="16">
        <v>5</v>
      </c>
      <c r="J74" s="16">
        <v>70</v>
      </c>
      <c r="K74" s="16">
        <v>0</v>
      </c>
      <c r="L74" s="16" t="s">
        <v>451</v>
      </c>
      <c r="M74" s="16" t="s">
        <v>490</v>
      </c>
      <c r="N74" s="16">
        <f t="shared" si="1"/>
        <v>0</v>
      </c>
      <c r="O74" s="16" t="s">
        <v>451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</row>
    <row r="75" spans="1:66" s="16" customFormat="1" ht="16" customHeight="1" x14ac:dyDescent="0.2">
      <c r="A75" s="16">
        <v>1910</v>
      </c>
      <c r="B75" s="16" t="s">
        <v>472</v>
      </c>
      <c r="C75" s="16" t="s">
        <v>761</v>
      </c>
      <c r="D75" s="16" t="s">
        <v>762</v>
      </c>
      <c r="E75" s="16" t="s">
        <v>474</v>
      </c>
      <c r="F75" s="16" t="s">
        <v>654</v>
      </c>
      <c r="G75" s="16" t="s">
        <v>765</v>
      </c>
      <c r="H75" s="17">
        <v>43628</v>
      </c>
      <c r="I75" s="16">
        <v>5</v>
      </c>
      <c r="J75" s="16">
        <v>70</v>
      </c>
      <c r="K75" s="16">
        <v>0</v>
      </c>
      <c r="L75" s="16" t="s">
        <v>451</v>
      </c>
      <c r="M75" s="16" t="s">
        <v>490</v>
      </c>
      <c r="N75" s="16">
        <f t="shared" si="1"/>
        <v>0</v>
      </c>
      <c r="O75" s="16" t="s">
        <v>451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</row>
    <row r="76" spans="1:66" s="16" customFormat="1" ht="16" customHeight="1" x14ac:dyDescent="0.2">
      <c r="A76" s="18">
        <v>1917</v>
      </c>
      <c r="B76" s="18" t="s">
        <v>476</v>
      </c>
      <c r="C76" s="18" t="s">
        <v>761</v>
      </c>
      <c r="D76" s="18" t="s">
        <v>766</v>
      </c>
      <c r="E76" s="18" t="s">
        <v>474</v>
      </c>
      <c r="F76" s="18" t="s">
        <v>654</v>
      </c>
      <c r="G76" s="18" t="s">
        <v>767</v>
      </c>
      <c r="H76" s="19">
        <v>43628</v>
      </c>
      <c r="I76" s="18">
        <v>5</v>
      </c>
      <c r="J76" s="18">
        <v>50</v>
      </c>
      <c r="K76" s="18">
        <v>0</v>
      </c>
      <c r="L76" s="18" t="s">
        <v>490</v>
      </c>
      <c r="M76" s="18" t="s">
        <v>8</v>
      </c>
      <c r="N76" s="18">
        <f t="shared" si="1"/>
        <v>0</v>
      </c>
      <c r="O76" s="20" t="s">
        <v>451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</row>
    <row r="77" spans="1:66" s="16" customFormat="1" ht="16" customHeight="1" x14ac:dyDescent="0.2">
      <c r="A77" s="18">
        <v>1924</v>
      </c>
      <c r="B77" s="18" t="s">
        <v>476</v>
      </c>
      <c r="C77" s="18" t="s">
        <v>761</v>
      </c>
      <c r="D77" s="18" t="s">
        <v>766</v>
      </c>
      <c r="E77" s="18" t="s">
        <v>474</v>
      </c>
      <c r="F77" s="18" t="s">
        <v>654</v>
      </c>
      <c r="G77" s="18" t="s">
        <v>767</v>
      </c>
      <c r="H77" s="19">
        <v>43628</v>
      </c>
      <c r="I77" s="18">
        <v>5</v>
      </c>
      <c r="J77" s="18">
        <v>50</v>
      </c>
      <c r="K77" s="18">
        <v>0</v>
      </c>
      <c r="L77" s="18" t="s">
        <v>490</v>
      </c>
      <c r="M77" s="18" t="s">
        <v>8</v>
      </c>
      <c r="N77" s="18">
        <f t="shared" si="1"/>
        <v>0</v>
      </c>
      <c r="O77" s="20" t="s">
        <v>451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 s="16" customFormat="1" ht="16" customHeight="1" x14ac:dyDescent="0.2">
      <c r="A78" s="18">
        <v>1931</v>
      </c>
      <c r="B78" s="18" t="s">
        <v>476</v>
      </c>
      <c r="C78" s="18" t="s">
        <v>761</v>
      </c>
      <c r="D78" s="18" t="s">
        <v>766</v>
      </c>
      <c r="E78" s="18" t="s">
        <v>474</v>
      </c>
      <c r="F78" s="18" t="s">
        <v>654</v>
      </c>
      <c r="G78" s="18" t="s">
        <v>767</v>
      </c>
      <c r="H78" s="19">
        <v>43628</v>
      </c>
      <c r="I78" s="18">
        <v>5</v>
      </c>
      <c r="J78" s="18">
        <v>50</v>
      </c>
      <c r="K78" s="18">
        <v>0</v>
      </c>
      <c r="L78" s="18" t="s">
        <v>490</v>
      </c>
      <c r="M78" s="18" t="s">
        <v>8</v>
      </c>
      <c r="N78" s="18">
        <f t="shared" si="1"/>
        <v>0</v>
      </c>
      <c r="O78" s="20" t="s">
        <v>451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</row>
    <row r="79" spans="1:66" s="16" customFormat="1" ht="16" customHeight="1" x14ac:dyDescent="0.2">
      <c r="A79" s="18">
        <v>1897</v>
      </c>
      <c r="B79" s="18" t="s">
        <v>476</v>
      </c>
      <c r="C79" s="18" t="s">
        <v>761</v>
      </c>
      <c r="D79" s="18" t="s">
        <v>766</v>
      </c>
      <c r="E79" s="18" t="s">
        <v>474</v>
      </c>
      <c r="F79" s="18" t="s">
        <v>654</v>
      </c>
      <c r="G79" s="18" t="s">
        <v>768</v>
      </c>
      <c r="H79" s="19">
        <v>43628</v>
      </c>
      <c r="I79" s="18">
        <v>5</v>
      </c>
      <c r="J79" s="18">
        <v>50</v>
      </c>
      <c r="K79" s="18">
        <v>0</v>
      </c>
      <c r="L79" s="18" t="s">
        <v>490</v>
      </c>
      <c r="M79" s="18" t="s">
        <v>8</v>
      </c>
      <c r="N79" s="18">
        <f t="shared" si="1"/>
        <v>0</v>
      </c>
      <c r="O79" s="20" t="s">
        <v>451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</row>
    <row r="80" spans="1:66" s="16" customFormat="1" ht="16" customHeight="1" x14ac:dyDescent="0.2">
      <c r="A80" s="18">
        <v>1904</v>
      </c>
      <c r="B80" s="18" t="s">
        <v>476</v>
      </c>
      <c r="C80" s="18" t="s">
        <v>761</v>
      </c>
      <c r="D80" s="18" t="s">
        <v>766</v>
      </c>
      <c r="E80" s="18" t="s">
        <v>474</v>
      </c>
      <c r="F80" s="18" t="s">
        <v>654</v>
      </c>
      <c r="G80" s="18" t="s">
        <v>768</v>
      </c>
      <c r="H80" s="19">
        <v>43628</v>
      </c>
      <c r="I80" s="18">
        <v>5</v>
      </c>
      <c r="J80" s="18">
        <v>50</v>
      </c>
      <c r="K80" s="18">
        <v>0</v>
      </c>
      <c r="L80" s="18" t="s">
        <v>490</v>
      </c>
      <c r="M80" s="18" t="s">
        <v>8</v>
      </c>
      <c r="N80" s="18">
        <f t="shared" si="1"/>
        <v>0</v>
      </c>
      <c r="O80" s="20" t="s">
        <v>451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</row>
    <row r="81" spans="1:66" s="16" customFormat="1" ht="16" customHeight="1" x14ac:dyDescent="0.2">
      <c r="A81" s="18">
        <v>1911</v>
      </c>
      <c r="B81" s="18" t="s">
        <v>476</v>
      </c>
      <c r="C81" s="18" t="s">
        <v>761</v>
      </c>
      <c r="D81" s="18" t="s">
        <v>766</v>
      </c>
      <c r="E81" s="18" t="s">
        <v>474</v>
      </c>
      <c r="F81" s="18" t="s">
        <v>654</v>
      </c>
      <c r="G81" s="18" t="s">
        <v>768</v>
      </c>
      <c r="H81" s="19">
        <v>43628</v>
      </c>
      <c r="I81" s="18">
        <v>5</v>
      </c>
      <c r="J81" s="18">
        <v>50</v>
      </c>
      <c r="K81" s="18">
        <v>0</v>
      </c>
      <c r="L81" s="18" t="s">
        <v>490</v>
      </c>
      <c r="M81" s="18" t="s">
        <v>8</v>
      </c>
      <c r="N81" s="18">
        <f t="shared" si="1"/>
        <v>0</v>
      </c>
      <c r="O81" s="20" t="s">
        <v>451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</row>
    <row r="82" spans="1:66" s="18" customFormat="1" ht="16" customHeight="1" x14ac:dyDescent="0.2">
      <c r="A82" s="18">
        <v>1918</v>
      </c>
      <c r="B82" s="18" t="s">
        <v>476</v>
      </c>
      <c r="C82" s="18" t="s">
        <v>761</v>
      </c>
      <c r="D82" s="18" t="s">
        <v>766</v>
      </c>
      <c r="E82" s="18" t="s">
        <v>474</v>
      </c>
      <c r="F82" s="18" t="s">
        <v>654</v>
      </c>
      <c r="G82" s="18" t="s">
        <v>769</v>
      </c>
      <c r="H82" s="19">
        <v>43628</v>
      </c>
      <c r="I82" s="18">
        <v>5</v>
      </c>
      <c r="J82" s="18">
        <v>50</v>
      </c>
      <c r="K82" s="18">
        <v>0</v>
      </c>
      <c r="L82" s="18" t="s">
        <v>490</v>
      </c>
      <c r="M82" s="18" t="s">
        <v>8</v>
      </c>
      <c r="N82" s="18">
        <f t="shared" si="1"/>
        <v>0</v>
      </c>
      <c r="O82" s="20" t="s">
        <v>451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</row>
    <row r="83" spans="1:66" s="18" customFormat="1" ht="16" customHeight="1" x14ac:dyDescent="0.2">
      <c r="A83" s="18">
        <v>1925</v>
      </c>
      <c r="B83" s="18" t="s">
        <v>476</v>
      </c>
      <c r="C83" s="18" t="s">
        <v>761</v>
      </c>
      <c r="D83" s="18" t="s">
        <v>766</v>
      </c>
      <c r="E83" s="18" t="s">
        <v>474</v>
      </c>
      <c r="F83" s="18" t="s">
        <v>654</v>
      </c>
      <c r="G83" s="18" t="s">
        <v>769</v>
      </c>
      <c r="H83" s="19">
        <v>43628</v>
      </c>
      <c r="I83" s="18">
        <v>5</v>
      </c>
      <c r="J83" s="18">
        <v>50</v>
      </c>
      <c r="K83" s="18">
        <v>0</v>
      </c>
      <c r="L83" s="18" t="s">
        <v>490</v>
      </c>
      <c r="M83" s="18" t="s">
        <v>8</v>
      </c>
      <c r="N83" s="18">
        <f t="shared" si="1"/>
        <v>0</v>
      </c>
      <c r="O83" s="20" t="s">
        <v>451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</row>
    <row r="84" spans="1:66" s="18" customFormat="1" ht="16" customHeight="1" x14ac:dyDescent="0.2">
      <c r="A84" s="18">
        <v>1932</v>
      </c>
      <c r="B84" s="18" t="s">
        <v>476</v>
      </c>
      <c r="C84" s="18" t="s">
        <v>761</v>
      </c>
      <c r="D84" s="18" t="s">
        <v>766</v>
      </c>
      <c r="E84" s="18" t="s">
        <v>474</v>
      </c>
      <c r="F84" s="18" t="s">
        <v>654</v>
      </c>
      <c r="G84" s="18" t="s">
        <v>769</v>
      </c>
      <c r="H84" s="19">
        <v>43628</v>
      </c>
      <c r="I84" s="18">
        <v>5</v>
      </c>
      <c r="J84" s="18">
        <v>50</v>
      </c>
      <c r="K84" s="18">
        <v>0</v>
      </c>
      <c r="L84" s="18" t="s">
        <v>490</v>
      </c>
      <c r="M84" s="18" t="s">
        <v>8</v>
      </c>
      <c r="N84" s="18">
        <f t="shared" si="1"/>
        <v>0</v>
      </c>
      <c r="O84" s="20" t="s">
        <v>451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</row>
    <row r="85" spans="1:66" s="18" customFormat="1" ht="16" customHeight="1" x14ac:dyDescent="0.2">
      <c r="A85" s="16">
        <v>1933</v>
      </c>
      <c r="B85" s="16" t="s">
        <v>478</v>
      </c>
      <c r="C85" s="16" t="s">
        <v>770</v>
      </c>
      <c r="D85" s="16" t="s">
        <v>771</v>
      </c>
      <c r="E85" s="16" t="s">
        <v>480</v>
      </c>
      <c r="F85" s="16" t="s">
        <v>654</v>
      </c>
      <c r="G85" s="16" t="s">
        <v>772</v>
      </c>
      <c r="H85" s="17">
        <v>43628</v>
      </c>
      <c r="I85" s="16">
        <v>5</v>
      </c>
      <c r="J85" s="16">
        <v>60</v>
      </c>
      <c r="K85" s="16">
        <v>0</v>
      </c>
      <c r="L85" s="16" t="s">
        <v>451</v>
      </c>
      <c r="M85" s="16" t="s">
        <v>490</v>
      </c>
      <c r="N85" s="16">
        <f t="shared" si="1"/>
        <v>0</v>
      </c>
      <c r="O85" s="16" t="s">
        <v>451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</row>
    <row r="86" spans="1:66" s="18" customFormat="1" ht="16" customHeight="1" x14ac:dyDescent="0.2">
      <c r="A86" s="16">
        <v>1940</v>
      </c>
      <c r="B86" s="16" t="s">
        <v>478</v>
      </c>
      <c r="C86" s="16" t="s">
        <v>770</v>
      </c>
      <c r="D86" s="16" t="s">
        <v>771</v>
      </c>
      <c r="E86" s="16" t="s">
        <v>480</v>
      </c>
      <c r="F86" s="16" t="s">
        <v>654</v>
      </c>
      <c r="G86" s="16" t="s">
        <v>772</v>
      </c>
      <c r="H86" s="17">
        <v>43628</v>
      </c>
      <c r="I86" s="16">
        <v>5</v>
      </c>
      <c r="J86" s="16">
        <v>60</v>
      </c>
      <c r="K86" s="16">
        <v>0</v>
      </c>
      <c r="L86" s="16" t="s">
        <v>451</v>
      </c>
      <c r="M86" s="16" t="s">
        <v>490</v>
      </c>
      <c r="N86" s="16">
        <f t="shared" si="1"/>
        <v>0</v>
      </c>
      <c r="O86" s="16" t="s">
        <v>451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</row>
    <row r="87" spans="1:66" s="18" customFormat="1" ht="16" customHeight="1" x14ac:dyDescent="0.2">
      <c r="A87" s="16">
        <v>1947</v>
      </c>
      <c r="B87" s="16" t="s">
        <v>478</v>
      </c>
      <c r="C87" s="16" t="s">
        <v>770</v>
      </c>
      <c r="D87" s="16" t="s">
        <v>771</v>
      </c>
      <c r="E87" s="16" t="s">
        <v>480</v>
      </c>
      <c r="F87" s="16" t="s">
        <v>654</v>
      </c>
      <c r="G87" s="16" t="s">
        <v>772</v>
      </c>
      <c r="H87" s="17">
        <v>43628</v>
      </c>
      <c r="I87" s="16">
        <v>5</v>
      </c>
      <c r="J87" s="16">
        <v>60</v>
      </c>
      <c r="K87" s="16">
        <v>0</v>
      </c>
      <c r="L87" s="16" t="s">
        <v>451</v>
      </c>
      <c r="M87" s="16" t="s">
        <v>490</v>
      </c>
      <c r="N87" s="16">
        <f t="shared" si="1"/>
        <v>0</v>
      </c>
      <c r="O87" s="16" t="s">
        <v>451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</row>
    <row r="88" spans="1:66" s="18" customFormat="1" ht="16" customHeight="1" x14ac:dyDescent="0.2">
      <c r="A88" s="16">
        <v>1954</v>
      </c>
      <c r="B88" s="16" t="s">
        <v>478</v>
      </c>
      <c r="C88" s="16" t="s">
        <v>770</v>
      </c>
      <c r="D88" s="16" t="s">
        <v>771</v>
      </c>
      <c r="E88" s="16" t="s">
        <v>480</v>
      </c>
      <c r="F88" s="16" t="s">
        <v>654</v>
      </c>
      <c r="G88" s="16" t="s">
        <v>773</v>
      </c>
      <c r="H88" s="17">
        <v>43628</v>
      </c>
      <c r="I88" s="16">
        <v>5</v>
      </c>
      <c r="J88" s="16">
        <v>60</v>
      </c>
      <c r="K88" s="16">
        <v>0</v>
      </c>
      <c r="L88" s="16" t="s">
        <v>451</v>
      </c>
      <c r="M88" s="16" t="s">
        <v>490</v>
      </c>
      <c r="N88" s="16">
        <f t="shared" si="1"/>
        <v>0</v>
      </c>
      <c r="O88" s="16" t="s">
        <v>451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</row>
    <row r="89" spans="1:66" s="18" customFormat="1" ht="16" customHeight="1" x14ac:dyDescent="0.2">
      <c r="A89" s="16">
        <v>1959</v>
      </c>
      <c r="B89" s="16" t="s">
        <v>478</v>
      </c>
      <c r="C89" s="16" t="s">
        <v>770</v>
      </c>
      <c r="D89" s="16" t="s">
        <v>771</v>
      </c>
      <c r="E89" s="16" t="s">
        <v>480</v>
      </c>
      <c r="F89" s="16" t="s">
        <v>654</v>
      </c>
      <c r="G89" s="16" t="s">
        <v>773</v>
      </c>
      <c r="H89" s="17">
        <v>43628</v>
      </c>
      <c r="I89" s="16">
        <v>5</v>
      </c>
      <c r="J89" s="16">
        <v>60</v>
      </c>
      <c r="K89" s="16">
        <v>0</v>
      </c>
      <c r="L89" s="16" t="s">
        <v>451</v>
      </c>
      <c r="M89" s="16" t="s">
        <v>490</v>
      </c>
      <c r="N89" s="16">
        <f t="shared" si="1"/>
        <v>0</v>
      </c>
      <c r="O89" s="16" t="s">
        <v>451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</row>
    <row r="90" spans="1:66" s="18" customFormat="1" ht="16" customHeight="1" x14ac:dyDescent="0.2">
      <c r="A90" s="16">
        <v>1964</v>
      </c>
      <c r="B90" s="16" t="s">
        <v>478</v>
      </c>
      <c r="C90" s="16" t="s">
        <v>770</v>
      </c>
      <c r="D90" s="16" t="s">
        <v>771</v>
      </c>
      <c r="E90" s="16" t="s">
        <v>480</v>
      </c>
      <c r="F90" s="16" t="s">
        <v>654</v>
      </c>
      <c r="G90" s="16" t="s">
        <v>773</v>
      </c>
      <c r="H90" s="17">
        <v>43628</v>
      </c>
      <c r="I90" s="16">
        <v>5</v>
      </c>
      <c r="J90" s="16">
        <v>60</v>
      </c>
      <c r="K90" s="16">
        <v>0</v>
      </c>
      <c r="L90" s="16" t="s">
        <v>451</v>
      </c>
      <c r="M90" s="16" t="s">
        <v>490</v>
      </c>
      <c r="N90" s="16">
        <f t="shared" si="1"/>
        <v>0</v>
      </c>
      <c r="O90" s="16" t="s">
        <v>451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</row>
    <row r="91" spans="1:66" s="16" customFormat="1" ht="16" customHeight="1" x14ac:dyDescent="0.2">
      <c r="A91" s="16">
        <v>1934</v>
      </c>
      <c r="B91" s="16" t="s">
        <v>478</v>
      </c>
      <c r="C91" s="16" t="s">
        <v>770</v>
      </c>
      <c r="D91" s="16" t="s">
        <v>771</v>
      </c>
      <c r="E91" s="16" t="s">
        <v>480</v>
      </c>
      <c r="F91" s="16" t="s">
        <v>654</v>
      </c>
      <c r="G91" s="16" t="s">
        <v>774</v>
      </c>
      <c r="H91" s="17">
        <v>43628</v>
      </c>
      <c r="I91" s="16">
        <v>5</v>
      </c>
      <c r="J91" s="16">
        <v>60</v>
      </c>
      <c r="K91" s="16">
        <v>0</v>
      </c>
      <c r="L91" s="16" t="s">
        <v>451</v>
      </c>
      <c r="M91" s="16" t="s">
        <v>490</v>
      </c>
      <c r="N91" s="16">
        <f t="shared" si="1"/>
        <v>0</v>
      </c>
      <c r="O91" s="16" t="s">
        <v>451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</row>
    <row r="92" spans="1:66" s="16" customFormat="1" ht="16" customHeight="1" x14ac:dyDescent="0.2">
      <c r="A92" s="16">
        <v>1941</v>
      </c>
      <c r="B92" s="16" t="s">
        <v>478</v>
      </c>
      <c r="C92" s="16" t="s">
        <v>770</v>
      </c>
      <c r="D92" s="16" t="s">
        <v>771</v>
      </c>
      <c r="E92" s="16" t="s">
        <v>480</v>
      </c>
      <c r="F92" s="16" t="s">
        <v>654</v>
      </c>
      <c r="G92" s="16" t="s">
        <v>774</v>
      </c>
      <c r="H92" s="17">
        <v>43628</v>
      </c>
      <c r="I92" s="16">
        <v>5</v>
      </c>
      <c r="J92" s="16">
        <v>60</v>
      </c>
      <c r="K92" s="16">
        <v>0</v>
      </c>
      <c r="L92" s="16" t="s">
        <v>451</v>
      </c>
      <c r="M92" s="16" t="s">
        <v>490</v>
      </c>
      <c r="N92" s="16">
        <f t="shared" si="1"/>
        <v>0</v>
      </c>
      <c r="O92" s="16" t="s">
        <v>451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</row>
    <row r="93" spans="1:66" s="16" customFormat="1" ht="16" customHeight="1" x14ac:dyDescent="0.2">
      <c r="A93" s="16">
        <v>1948</v>
      </c>
      <c r="B93" s="16" t="s">
        <v>478</v>
      </c>
      <c r="C93" s="16" t="s">
        <v>770</v>
      </c>
      <c r="D93" s="16" t="s">
        <v>771</v>
      </c>
      <c r="E93" s="16" t="s">
        <v>480</v>
      </c>
      <c r="F93" s="16" t="s">
        <v>654</v>
      </c>
      <c r="G93" s="16" t="s">
        <v>774</v>
      </c>
      <c r="H93" s="17">
        <v>43628</v>
      </c>
      <c r="I93" s="16">
        <v>5</v>
      </c>
      <c r="J93" s="16">
        <v>60</v>
      </c>
      <c r="K93" s="16">
        <v>0</v>
      </c>
      <c r="L93" s="16" t="s">
        <v>451</v>
      </c>
      <c r="M93" s="16" t="s">
        <v>490</v>
      </c>
      <c r="N93" s="16">
        <f t="shared" si="1"/>
        <v>0</v>
      </c>
      <c r="O93" s="16" t="s">
        <v>451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</row>
    <row r="94" spans="1:66" s="16" customFormat="1" ht="16" customHeight="1" x14ac:dyDescent="0.2">
      <c r="A94" s="18">
        <v>1935</v>
      </c>
      <c r="B94" s="18" t="s">
        <v>482</v>
      </c>
      <c r="C94" s="18" t="s">
        <v>775</v>
      </c>
      <c r="D94" s="18" t="s">
        <v>776</v>
      </c>
      <c r="E94" s="18" t="s">
        <v>484</v>
      </c>
      <c r="F94" s="18" t="s">
        <v>654</v>
      </c>
      <c r="G94" s="18" t="s">
        <v>777</v>
      </c>
      <c r="H94" s="19">
        <v>43629</v>
      </c>
      <c r="I94" s="18">
        <v>5</v>
      </c>
      <c r="J94" s="18">
        <v>120</v>
      </c>
      <c r="K94" s="18">
        <v>0</v>
      </c>
      <c r="L94" s="18" t="s">
        <v>451</v>
      </c>
      <c r="M94" s="18" t="s">
        <v>490</v>
      </c>
      <c r="N94" s="18">
        <f t="shared" si="1"/>
        <v>0</v>
      </c>
      <c r="O94" s="18" t="s">
        <v>451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</row>
    <row r="95" spans="1:66" s="16" customFormat="1" ht="16" customHeight="1" x14ac:dyDescent="0.2">
      <c r="A95" s="18">
        <v>1942</v>
      </c>
      <c r="B95" s="18" t="s">
        <v>482</v>
      </c>
      <c r="C95" s="18" t="s">
        <v>775</v>
      </c>
      <c r="D95" s="18" t="s">
        <v>776</v>
      </c>
      <c r="E95" s="18" t="s">
        <v>484</v>
      </c>
      <c r="F95" s="18" t="s">
        <v>654</v>
      </c>
      <c r="G95" s="18" t="s">
        <v>777</v>
      </c>
      <c r="H95" s="19">
        <v>43629</v>
      </c>
      <c r="I95" s="18">
        <v>5</v>
      </c>
      <c r="J95" s="18">
        <v>120</v>
      </c>
      <c r="K95" s="18">
        <v>0</v>
      </c>
      <c r="L95" s="18" t="s">
        <v>451</v>
      </c>
      <c r="M95" s="18" t="s">
        <v>490</v>
      </c>
      <c r="N95" s="18">
        <f t="shared" si="1"/>
        <v>0</v>
      </c>
      <c r="O95" s="18" t="s">
        <v>451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</row>
    <row r="96" spans="1:66" s="16" customFormat="1" ht="16" customHeight="1" x14ac:dyDescent="0.2">
      <c r="A96" s="18">
        <v>1949</v>
      </c>
      <c r="B96" s="18" t="s">
        <v>482</v>
      </c>
      <c r="C96" s="18" t="s">
        <v>775</v>
      </c>
      <c r="D96" s="18" t="s">
        <v>776</v>
      </c>
      <c r="E96" s="18" t="s">
        <v>484</v>
      </c>
      <c r="F96" s="18" t="s">
        <v>654</v>
      </c>
      <c r="G96" s="18" t="s">
        <v>777</v>
      </c>
      <c r="H96" s="19">
        <v>43629</v>
      </c>
      <c r="I96" s="18">
        <v>5</v>
      </c>
      <c r="J96" s="18">
        <v>120</v>
      </c>
      <c r="K96" s="18">
        <v>0</v>
      </c>
      <c r="L96" s="18" t="s">
        <v>451</v>
      </c>
      <c r="M96" s="18" t="s">
        <v>490</v>
      </c>
      <c r="N96" s="18">
        <f t="shared" si="1"/>
        <v>0</v>
      </c>
      <c r="O96" s="18" t="s">
        <v>451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</row>
    <row r="97" spans="1:66" s="16" customFormat="1" ht="16" customHeight="1" x14ac:dyDescent="0.2">
      <c r="A97" s="18">
        <v>1955</v>
      </c>
      <c r="B97" s="18" t="s">
        <v>482</v>
      </c>
      <c r="C97" s="18" t="s">
        <v>775</v>
      </c>
      <c r="D97" s="18" t="s">
        <v>776</v>
      </c>
      <c r="E97" s="18" t="s">
        <v>484</v>
      </c>
      <c r="F97" s="18" t="s">
        <v>654</v>
      </c>
      <c r="G97" s="18" t="s">
        <v>778</v>
      </c>
      <c r="H97" s="19">
        <v>43629</v>
      </c>
      <c r="I97" s="18">
        <v>5</v>
      </c>
      <c r="J97" s="18">
        <v>120</v>
      </c>
      <c r="K97" s="18">
        <v>0</v>
      </c>
      <c r="L97" s="18" t="s">
        <v>451</v>
      </c>
      <c r="M97" s="18" t="s">
        <v>490</v>
      </c>
      <c r="N97" s="18">
        <f t="shared" si="1"/>
        <v>0</v>
      </c>
      <c r="O97" s="18" t="s">
        <v>451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</row>
    <row r="98" spans="1:66" s="16" customFormat="1" ht="16" customHeight="1" x14ac:dyDescent="0.2">
      <c r="A98" s="18">
        <v>1960</v>
      </c>
      <c r="B98" s="18" t="s">
        <v>482</v>
      </c>
      <c r="C98" s="18" t="s">
        <v>775</v>
      </c>
      <c r="D98" s="18" t="s">
        <v>776</v>
      </c>
      <c r="E98" s="18" t="s">
        <v>484</v>
      </c>
      <c r="F98" s="18" t="s">
        <v>654</v>
      </c>
      <c r="G98" s="18" t="s">
        <v>778</v>
      </c>
      <c r="H98" s="19">
        <v>43629</v>
      </c>
      <c r="I98" s="18">
        <v>5</v>
      </c>
      <c r="J98" s="18">
        <v>120</v>
      </c>
      <c r="K98" s="18">
        <v>0</v>
      </c>
      <c r="L98" s="18" t="s">
        <v>451</v>
      </c>
      <c r="M98" s="18" t="s">
        <v>490</v>
      </c>
      <c r="N98" s="18">
        <f t="shared" si="1"/>
        <v>0</v>
      </c>
      <c r="O98" s="18" t="s">
        <v>451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</row>
    <row r="99" spans="1:66" s="16" customFormat="1" ht="16" customHeight="1" x14ac:dyDescent="0.2">
      <c r="A99" s="18">
        <v>1965</v>
      </c>
      <c r="B99" s="18" t="s">
        <v>482</v>
      </c>
      <c r="C99" s="18" t="s">
        <v>775</v>
      </c>
      <c r="D99" s="18" t="s">
        <v>776</v>
      </c>
      <c r="E99" s="18" t="s">
        <v>484</v>
      </c>
      <c r="F99" s="18" t="s">
        <v>654</v>
      </c>
      <c r="G99" s="18" t="s">
        <v>778</v>
      </c>
      <c r="H99" s="19">
        <v>43629</v>
      </c>
      <c r="I99" s="18">
        <v>5</v>
      </c>
      <c r="J99" s="18">
        <v>120</v>
      </c>
      <c r="K99" s="18">
        <v>0</v>
      </c>
      <c r="L99" s="18" t="s">
        <v>451</v>
      </c>
      <c r="M99" s="18" t="s">
        <v>490</v>
      </c>
      <c r="N99" s="18">
        <f t="shared" si="1"/>
        <v>0</v>
      </c>
      <c r="O99" s="18" t="s">
        <v>451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</row>
    <row r="100" spans="1:66" s="16" customFormat="1" ht="16" customHeight="1" x14ac:dyDescent="0.2">
      <c r="A100" s="18">
        <v>1936</v>
      </c>
      <c r="B100" s="18" t="s">
        <v>482</v>
      </c>
      <c r="C100" s="18" t="s">
        <v>775</v>
      </c>
      <c r="D100" s="18" t="s">
        <v>776</v>
      </c>
      <c r="E100" s="18" t="s">
        <v>484</v>
      </c>
      <c r="F100" s="18" t="s">
        <v>654</v>
      </c>
      <c r="G100" s="18" t="s">
        <v>779</v>
      </c>
      <c r="H100" s="19">
        <v>43629</v>
      </c>
      <c r="I100" s="18">
        <v>5</v>
      </c>
      <c r="J100" s="18">
        <v>120</v>
      </c>
      <c r="K100" s="18">
        <v>0</v>
      </c>
      <c r="L100" s="18" t="s">
        <v>451</v>
      </c>
      <c r="M100" s="18" t="s">
        <v>490</v>
      </c>
      <c r="N100" s="18">
        <f t="shared" si="1"/>
        <v>0</v>
      </c>
      <c r="O100" s="18" t="s">
        <v>451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</row>
    <row r="101" spans="1:66" s="16" customFormat="1" ht="16" customHeight="1" x14ac:dyDescent="0.2">
      <c r="A101" s="18">
        <v>1943</v>
      </c>
      <c r="B101" s="18" t="s">
        <v>482</v>
      </c>
      <c r="C101" s="18" t="s">
        <v>775</v>
      </c>
      <c r="D101" s="18" t="s">
        <v>776</v>
      </c>
      <c r="E101" s="18" t="s">
        <v>484</v>
      </c>
      <c r="F101" s="18" t="s">
        <v>654</v>
      </c>
      <c r="G101" s="18" t="s">
        <v>779</v>
      </c>
      <c r="H101" s="19">
        <v>43629</v>
      </c>
      <c r="I101" s="18">
        <v>5</v>
      </c>
      <c r="J101" s="18">
        <v>120</v>
      </c>
      <c r="K101" s="18">
        <v>0</v>
      </c>
      <c r="L101" s="18" t="s">
        <v>451</v>
      </c>
      <c r="M101" s="18" t="s">
        <v>490</v>
      </c>
      <c r="N101" s="18">
        <f t="shared" si="1"/>
        <v>0</v>
      </c>
      <c r="O101" s="18" t="s">
        <v>451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</row>
    <row r="102" spans="1:66" s="16" customFormat="1" ht="16" customHeight="1" x14ac:dyDescent="0.2">
      <c r="A102" s="18">
        <v>1950</v>
      </c>
      <c r="B102" s="18" t="s">
        <v>482</v>
      </c>
      <c r="C102" s="18" t="s">
        <v>775</v>
      </c>
      <c r="D102" s="18" t="s">
        <v>776</v>
      </c>
      <c r="E102" s="18" t="s">
        <v>484</v>
      </c>
      <c r="F102" s="18" t="s">
        <v>654</v>
      </c>
      <c r="G102" s="18" t="s">
        <v>779</v>
      </c>
      <c r="H102" s="19">
        <v>43629</v>
      </c>
      <c r="I102" s="18">
        <v>5</v>
      </c>
      <c r="J102" s="18">
        <v>120</v>
      </c>
      <c r="K102" s="18">
        <v>0</v>
      </c>
      <c r="L102" s="18" t="s">
        <v>451</v>
      </c>
      <c r="M102" s="18" t="s">
        <v>490</v>
      </c>
      <c r="N102" s="18">
        <f t="shared" si="1"/>
        <v>0</v>
      </c>
      <c r="O102" s="18" t="s">
        <v>451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</row>
    <row r="103" spans="1:66" s="16" customFormat="1" ht="16" customHeight="1" x14ac:dyDescent="0.2">
      <c r="A103" s="16">
        <v>1937</v>
      </c>
      <c r="B103" s="16" t="s">
        <v>486</v>
      </c>
      <c r="C103" s="16" t="s">
        <v>780</v>
      </c>
      <c r="D103" s="16" t="s">
        <v>781</v>
      </c>
      <c r="E103" s="16" t="s">
        <v>488</v>
      </c>
      <c r="F103" s="16" t="s">
        <v>654</v>
      </c>
      <c r="G103" s="16" t="s">
        <v>782</v>
      </c>
      <c r="H103" s="17">
        <v>43629</v>
      </c>
      <c r="I103" s="16">
        <v>5</v>
      </c>
      <c r="J103" s="16">
        <v>210</v>
      </c>
      <c r="K103" s="16">
        <v>0</v>
      </c>
      <c r="L103" s="16" t="s">
        <v>451</v>
      </c>
      <c r="M103" s="16" t="s">
        <v>451</v>
      </c>
      <c r="N103" s="16">
        <f t="shared" si="1"/>
        <v>0</v>
      </c>
      <c r="O103" s="22" t="s">
        <v>451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</row>
    <row r="104" spans="1:66" s="16" customFormat="1" ht="16" customHeight="1" x14ac:dyDescent="0.2">
      <c r="A104" s="16">
        <v>1944</v>
      </c>
      <c r="B104" s="16" t="s">
        <v>486</v>
      </c>
      <c r="C104" s="16" t="s">
        <v>780</v>
      </c>
      <c r="D104" s="16" t="s">
        <v>781</v>
      </c>
      <c r="E104" s="16" t="s">
        <v>488</v>
      </c>
      <c r="F104" s="16" t="s">
        <v>654</v>
      </c>
      <c r="G104" s="16" t="s">
        <v>782</v>
      </c>
      <c r="H104" s="17">
        <v>43629</v>
      </c>
      <c r="I104" s="16">
        <v>5</v>
      </c>
      <c r="J104" s="16">
        <v>210</v>
      </c>
      <c r="K104" s="16">
        <v>0</v>
      </c>
      <c r="L104" s="16" t="s">
        <v>451</v>
      </c>
      <c r="M104" s="16" t="s">
        <v>451</v>
      </c>
      <c r="N104" s="16">
        <f t="shared" si="1"/>
        <v>0</v>
      </c>
      <c r="O104" s="22" t="s">
        <v>451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</row>
    <row r="105" spans="1:66" s="16" customFormat="1" ht="16" customHeight="1" x14ac:dyDescent="0.2">
      <c r="A105" s="16">
        <v>1951</v>
      </c>
      <c r="B105" s="16" t="s">
        <v>486</v>
      </c>
      <c r="C105" s="16" t="s">
        <v>780</v>
      </c>
      <c r="D105" s="16" t="s">
        <v>781</v>
      </c>
      <c r="E105" s="16" t="s">
        <v>488</v>
      </c>
      <c r="F105" s="16" t="s">
        <v>654</v>
      </c>
      <c r="G105" s="16" t="s">
        <v>782</v>
      </c>
      <c r="H105" s="17">
        <v>43629</v>
      </c>
      <c r="I105" s="16">
        <v>5</v>
      </c>
      <c r="J105" s="16">
        <v>210</v>
      </c>
      <c r="K105" s="16">
        <v>0</v>
      </c>
      <c r="L105" s="16" t="s">
        <v>451</v>
      </c>
      <c r="M105" s="16" t="s">
        <v>451</v>
      </c>
      <c r="N105" s="16">
        <f t="shared" si="1"/>
        <v>0</v>
      </c>
      <c r="O105" s="22" t="s">
        <v>451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</row>
    <row r="106" spans="1:66" s="18" customFormat="1" ht="16" customHeight="1" x14ac:dyDescent="0.2">
      <c r="A106" s="16">
        <v>1956</v>
      </c>
      <c r="B106" s="16" t="s">
        <v>486</v>
      </c>
      <c r="C106" s="16" t="s">
        <v>780</v>
      </c>
      <c r="D106" s="16" t="s">
        <v>781</v>
      </c>
      <c r="E106" s="16" t="s">
        <v>488</v>
      </c>
      <c r="F106" s="16" t="s">
        <v>654</v>
      </c>
      <c r="G106" s="16" t="s">
        <v>783</v>
      </c>
      <c r="H106" s="17">
        <v>43629</v>
      </c>
      <c r="I106" s="16">
        <v>5</v>
      </c>
      <c r="J106" s="16">
        <v>210</v>
      </c>
      <c r="K106" s="16">
        <v>0</v>
      </c>
      <c r="L106" s="16" t="s">
        <v>451</v>
      </c>
      <c r="M106" s="16" t="s">
        <v>451</v>
      </c>
      <c r="N106" s="16">
        <f t="shared" si="1"/>
        <v>0</v>
      </c>
      <c r="O106" s="22" t="s">
        <v>451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</row>
    <row r="107" spans="1:66" s="18" customFormat="1" ht="16" customHeight="1" x14ac:dyDescent="0.2">
      <c r="A107" s="16">
        <v>1961</v>
      </c>
      <c r="B107" s="16" t="s">
        <v>486</v>
      </c>
      <c r="C107" s="16" t="s">
        <v>780</v>
      </c>
      <c r="D107" s="16" t="s">
        <v>781</v>
      </c>
      <c r="E107" s="16" t="s">
        <v>488</v>
      </c>
      <c r="F107" s="16" t="s">
        <v>654</v>
      </c>
      <c r="G107" s="16" t="s">
        <v>783</v>
      </c>
      <c r="H107" s="17">
        <v>43629</v>
      </c>
      <c r="I107" s="16">
        <v>5</v>
      </c>
      <c r="J107" s="16">
        <v>210</v>
      </c>
      <c r="K107" s="16">
        <v>0</v>
      </c>
      <c r="L107" s="16" t="s">
        <v>451</v>
      </c>
      <c r="M107" s="16" t="s">
        <v>451</v>
      </c>
      <c r="N107" s="16">
        <f t="shared" si="1"/>
        <v>0</v>
      </c>
      <c r="O107" s="22" t="s">
        <v>451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</row>
    <row r="108" spans="1:66" s="18" customFormat="1" ht="16" customHeight="1" x14ac:dyDescent="0.2">
      <c r="A108" s="16">
        <v>1966</v>
      </c>
      <c r="B108" s="16" t="s">
        <v>486</v>
      </c>
      <c r="C108" s="16" t="s">
        <v>780</v>
      </c>
      <c r="D108" s="16" t="s">
        <v>781</v>
      </c>
      <c r="E108" s="16" t="s">
        <v>488</v>
      </c>
      <c r="F108" s="16" t="s">
        <v>654</v>
      </c>
      <c r="G108" s="16" t="s">
        <v>783</v>
      </c>
      <c r="H108" s="17">
        <v>43629</v>
      </c>
      <c r="I108" s="16">
        <v>5</v>
      </c>
      <c r="J108" s="16">
        <v>210</v>
      </c>
      <c r="K108" s="16">
        <v>0</v>
      </c>
      <c r="L108" s="16" t="s">
        <v>451</v>
      </c>
      <c r="M108" s="16" t="s">
        <v>451</v>
      </c>
      <c r="N108" s="16">
        <f t="shared" si="1"/>
        <v>0</v>
      </c>
      <c r="O108" s="22" t="s">
        <v>451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</row>
    <row r="109" spans="1:66" s="18" customFormat="1" ht="16" customHeight="1" x14ac:dyDescent="0.2">
      <c r="A109" s="16">
        <v>1938</v>
      </c>
      <c r="B109" s="16" t="s">
        <v>486</v>
      </c>
      <c r="C109" s="16" t="s">
        <v>780</v>
      </c>
      <c r="D109" s="16" t="s">
        <v>781</v>
      </c>
      <c r="E109" s="16" t="s">
        <v>488</v>
      </c>
      <c r="F109" s="16" t="s">
        <v>654</v>
      </c>
      <c r="G109" s="16" t="s">
        <v>784</v>
      </c>
      <c r="H109" s="17">
        <v>43629</v>
      </c>
      <c r="I109" s="16">
        <v>5</v>
      </c>
      <c r="J109" s="16">
        <v>210</v>
      </c>
      <c r="K109" s="16">
        <v>0</v>
      </c>
      <c r="L109" s="16" t="s">
        <v>451</v>
      </c>
      <c r="M109" s="16" t="s">
        <v>451</v>
      </c>
      <c r="N109" s="16">
        <f t="shared" si="1"/>
        <v>0</v>
      </c>
      <c r="O109" s="22" t="s">
        <v>451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</row>
    <row r="110" spans="1:66" s="18" customFormat="1" ht="16" customHeight="1" x14ac:dyDescent="0.2">
      <c r="A110" s="16">
        <v>1945</v>
      </c>
      <c r="B110" s="16" t="s">
        <v>486</v>
      </c>
      <c r="C110" s="16" t="s">
        <v>780</v>
      </c>
      <c r="D110" s="16" t="s">
        <v>781</v>
      </c>
      <c r="E110" s="16" t="s">
        <v>488</v>
      </c>
      <c r="F110" s="16" t="s">
        <v>654</v>
      </c>
      <c r="G110" s="16" t="s">
        <v>784</v>
      </c>
      <c r="H110" s="17">
        <v>43629</v>
      </c>
      <c r="I110" s="16">
        <v>5</v>
      </c>
      <c r="J110" s="16">
        <v>210</v>
      </c>
      <c r="K110" s="16">
        <v>0</v>
      </c>
      <c r="L110" s="16" t="s">
        <v>451</v>
      </c>
      <c r="M110" s="16" t="s">
        <v>451</v>
      </c>
      <c r="N110" s="16">
        <f t="shared" si="1"/>
        <v>0</v>
      </c>
      <c r="O110" s="22" t="s">
        <v>451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</row>
    <row r="111" spans="1:66" s="18" customFormat="1" ht="16" customHeight="1" x14ac:dyDescent="0.2">
      <c r="A111" s="16">
        <v>1952</v>
      </c>
      <c r="B111" s="16" t="s">
        <v>486</v>
      </c>
      <c r="C111" s="16" t="s">
        <v>780</v>
      </c>
      <c r="D111" s="16" t="s">
        <v>781</v>
      </c>
      <c r="E111" s="16" t="s">
        <v>488</v>
      </c>
      <c r="F111" s="16" t="s">
        <v>654</v>
      </c>
      <c r="G111" s="16" t="s">
        <v>784</v>
      </c>
      <c r="H111" s="17">
        <v>43629</v>
      </c>
      <c r="I111" s="16">
        <v>5</v>
      </c>
      <c r="J111" s="16">
        <v>210</v>
      </c>
      <c r="K111" s="16">
        <v>0</v>
      </c>
      <c r="L111" s="16" t="s">
        <v>451</v>
      </c>
      <c r="M111" s="16" t="s">
        <v>451</v>
      </c>
      <c r="N111" s="16">
        <f t="shared" si="1"/>
        <v>0</v>
      </c>
      <c r="O111" s="22" t="s">
        <v>451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</row>
    <row r="112" spans="1:66" s="18" customFormat="1" ht="16" customHeight="1" x14ac:dyDescent="0.2">
      <c r="A112" s="16">
        <v>1957</v>
      </c>
      <c r="B112" s="16" t="s">
        <v>486</v>
      </c>
      <c r="C112" s="16" t="s">
        <v>780</v>
      </c>
      <c r="D112" s="16" t="s">
        <v>781</v>
      </c>
      <c r="E112" s="16" t="s">
        <v>488</v>
      </c>
      <c r="F112" s="16" t="s">
        <v>654</v>
      </c>
      <c r="G112" s="16" t="s">
        <v>785</v>
      </c>
      <c r="H112" s="17">
        <v>43629</v>
      </c>
      <c r="I112" s="16">
        <v>5</v>
      </c>
      <c r="J112" s="16">
        <v>210</v>
      </c>
      <c r="K112" s="16">
        <v>0</v>
      </c>
      <c r="L112" s="16" t="s">
        <v>451</v>
      </c>
      <c r="M112" s="16" t="s">
        <v>451</v>
      </c>
      <c r="N112" s="16">
        <f t="shared" si="1"/>
        <v>0</v>
      </c>
      <c r="O112" s="16" t="s">
        <v>786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</row>
    <row r="113" spans="1:66" s="18" customFormat="1" ht="16" customHeight="1" x14ac:dyDescent="0.2">
      <c r="A113" s="16">
        <v>1962</v>
      </c>
      <c r="B113" s="16" t="s">
        <v>486</v>
      </c>
      <c r="C113" s="16" t="s">
        <v>780</v>
      </c>
      <c r="D113" s="16" t="s">
        <v>781</v>
      </c>
      <c r="E113" s="16" t="s">
        <v>488</v>
      </c>
      <c r="F113" s="16" t="s">
        <v>654</v>
      </c>
      <c r="G113" s="16" t="s">
        <v>785</v>
      </c>
      <c r="H113" s="17">
        <v>43629</v>
      </c>
      <c r="I113" s="16">
        <v>5</v>
      </c>
      <c r="J113" s="16">
        <v>210</v>
      </c>
      <c r="K113" s="16">
        <v>0</v>
      </c>
      <c r="L113" s="16" t="s">
        <v>451</v>
      </c>
      <c r="M113" s="16" t="s">
        <v>451</v>
      </c>
      <c r="N113" s="16">
        <f t="shared" si="1"/>
        <v>0</v>
      </c>
      <c r="O113" s="16" t="s">
        <v>786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</row>
    <row r="114" spans="1:66" s="18" customFormat="1" ht="16" customHeight="1" x14ac:dyDescent="0.2">
      <c r="A114" s="16">
        <v>1967</v>
      </c>
      <c r="B114" s="16" t="s">
        <v>486</v>
      </c>
      <c r="C114" s="16" t="s">
        <v>780</v>
      </c>
      <c r="D114" s="16" t="s">
        <v>781</v>
      </c>
      <c r="E114" s="16" t="s">
        <v>488</v>
      </c>
      <c r="F114" s="16" t="s">
        <v>654</v>
      </c>
      <c r="G114" s="16" t="s">
        <v>785</v>
      </c>
      <c r="H114" s="17">
        <v>43629</v>
      </c>
      <c r="I114" s="16">
        <v>5</v>
      </c>
      <c r="J114" s="16">
        <v>210</v>
      </c>
      <c r="K114" s="16">
        <v>0</v>
      </c>
      <c r="L114" s="16" t="s">
        <v>451</v>
      </c>
      <c r="M114" s="16" t="s">
        <v>451</v>
      </c>
      <c r="N114" s="16">
        <f t="shared" si="1"/>
        <v>0</v>
      </c>
      <c r="O114" s="16" t="s">
        <v>786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</row>
    <row r="115" spans="1:66" s="16" customFormat="1" ht="16" customHeight="1" x14ac:dyDescent="0.2">
      <c r="A115" s="18">
        <v>1939</v>
      </c>
      <c r="B115" s="18" t="s">
        <v>491</v>
      </c>
      <c r="C115" s="18" t="s">
        <v>787</v>
      </c>
      <c r="D115" s="18" t="s">
        <v>788</v>
      </c>
      <c r="E115" s="18" t="s">
        <v>493</v>
      </c>
      <c r="F115" s="18" t="s">
        <v>654</v>
      </c>
      <c r="G115" s="18" t="s">
        <v>789</v>
      </c>
      <c r="H115" s="19">
        <v>43629</v>
      </c>
      <c r="I115" s="18">
        <v>5</v>
      </c>
      <c r="J115" s="18">
        <v>200</v>
      </c>
      <c r="K115" s="18">
        <v>10.539670392482201</v>
      </c>
      <c r="L115" s="18" t="s">
        <v>451</v>
      </c>
      <c r="M115" s="18" t="s">
        <v>451</v>
      </c>
      <c r="N115" s="18">
        <f t="shared" si="1"/>
        <v>263.49175981205502</v>
      </c>
      <c r="O115" s="20" t="s">
        <v>451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</row>
    <row r="116" spans="1:66" s="16" customFormat="1" ht="16" customHeight="1" x14ac:dyDescent="0.2">
      <c r="A116" s="18">
        <v>1946</v>
      </c>
      <c r="B116" s="18" t="s">
        <v>491</v>
      </c>
      <c r="C116" s="18" t="s">
        <v>787</v>
      </c>
      <c r="D116" s="18" t="s">
        <v>788</v>
      </c>
      <c r="E116" s="18" t="s">
        <v>493</v>
      </c>
      <c r="F116" s="18" t="s">
        <v>654</v>
      </c>
      <c r="G116" s="18" t="s">
        <v>789</v>
      </c>
      <c r="H116" s="19">
        <v>43629</v>
      </c>
      <c r="I116" s="18">
        <v>5</v>
      </c>
      <c r="J116" s="18">
        <v>200</v>
      </c>
      <c r="K116" s="18">
        <v>0</v>
      </c>
      <c r="L116" s="18" t="s">
        <v>451</v>
      </c>
      <c r="M116" s="18" t="s">
        <v>451</v>
      </c>
      <c r="N116" s="18">
        <f t="shared" si="1"/>
        <v>0</v>
      </c>
      <c r="O116" s="20" t="s">
        <v>451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</row>
    <row r="117" spans="1:66" s="16" customFormat="1" ht="16" customHeight="1" x14ac:dyDescent="0.2">
      <c r="A117" s="18">
        <v>1953</v>
      </c>
      <c r="B117" s="18" t="s">
        <v>491</v>
      </c>
      <c r="C117" s="18" t="s">
        <v>787</v>
      </c>
      <c r="D117" s="18" t="s">
        <v>788</v>
      </c>
      <c r="E117" s="18" t="s">
        <v>493</v>
      </c>
      <c r="F117" s="18" t="s">
        <v>654</v>
      </c>
      <c r="G117" s="18" t="s">
        <v>789</v>
      </c>
      <c r="H117" s="19">
        <v>43629</v>
      </c>
      <c r="I117" s="18">
        <v>5</v>
      </c>
      <c r="J117" s="18">
        <v>200</v>
      </c>
      <c r="K117" s="18">
        <v>14.474968075348499</v>
      </c>
      <c r="L117" s="18" t="s">
        <v>451</v>
      </c>
      <c r="M117" s="18" t="s">
        <v>451</v>
      </c>
      <c r="N117" s="18">
        <f t="shared" si="1"/>
        <v>361.87420188371249</v>
      </c>
      <c r="O117" s="20" t="s">
        <v>451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</row>
    <row r="118" spans="1:66" s="16" customFormat="1" ht="16" customHeight="1" x14ac:dyDescent="0.2">
      <c r="A118" s="18">
        <v>1958</v>
      </c>
      <c r="B118" s="18" t="s">
        <v>491</v>
      </c>
      <c r="C118" s="18" t="s">
        <v>787</v>
      </c>
      <c r="D118" s="18" t="s">
        <v>788</v>
      </c>
      <c r="E118" s="18" t="s">
        <v>493</v>
      </c>
      <c r="F118" s="18" t="s">
        <v>654</v>
      </c>
      <c r="G118" s="18" t="s">
        <v>790</v>
      </c>
      <c r="H118" s="19">
        <v>43629</v>
      </c>
      <c r="I118" s="18">
        <v>5</v>
      </c>
      <c r="J118" s="18">
        <v>200</v>
      </c>
      <c r="K118" s="18">
        <v>0</v>
      </c>
      <c r="L118" s="18" t="s">
        <v>451</v>
      </c>
      <c r="M118" s="18" t="s">
        <v>451</v>
      </c>
      <c r="N118" s="18">
        <f t="shared" si="1"/>
        <v>0</v>
      </c>
      <c r="O118" s="20" t="s">
        <v>451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</row>
    <row r="119" spans="1:66" s="16" customFormat="1" ht="16" customHeight="1" x14ac:dyDescent="0.2">
      <c r="A119" s="18">
        <v>1963</v>
      </c>
      <c r="B119" s="18" t="s">
        <v>491</v>
      </c>
      <c r="C119" s="18" t="s">
        <v>787</v>
      </c>
      <c r="D119" s="18" t="s">
        <v>788</v>
      </c>
      <c r="E119" s="18" t="s">
        <v>493</v>
      </c>
      <c r="F119" s="18" t="s">
        <v>654</v>
      </c>
      <c r="G119" s="18" t="s">
        <v>790</v>
      </c>
      <c r="H119" s="19">
        <v>43629</v>
      </c>
      <c r="I119" s="18">
        <v>5</v>
      </c>
      <c r="J119" s="18">
        <v>200</v>
      </c>
      <c r="K119" s="18">
        <v>0</v>
      </c>
      <c r="L119" s="18" t="s">
        <v>451</v>
      </c>
      <c r="M119" s="18" t="s">
        <v>451</v>
      </c>
      <c r="N119" s="18">
        <f t="shared" si="1"/>
        <v>0</v>
      </c>
      <c r="O119" s="20" t="s">
        <v>451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</row>
    <row r="120" spans="1:66" s="16" customFormat="1" ht="16" customHeight="1" x14ac:dyDescent="0.2">
      <c r="A120" s="18">
        <v>1968</v>
      </c>
      <c r="B120" s="18" t="s">
        <v>491</v>
      </c>
      <c r="C120" s="18" t="s">
        <v>787</v>
      </c>
      <c r="D120" s="18" t="s">
        <v>788</v>
      </c>
      <c r="E120" s="18" t="s">
        <v>493</v>
      </c>
      <c r="F120" s="18" t="s">
        <v>654</v>
      </c>
      <c r="G120" s="18" t="s">
        <v>790</v>
      </c>
      <c r="H120" s="19">
        <v>43629</v>
      </c>
      <c r="I120" s="18">
        <v>5</v>
      </c>
      <c r="J120" s="18">
        <v>200</v>
      </c>
      <c r="K120" s="18">
        <v>8.9806193765050004</v>
      </c>
      <c r="L120" s="18" t="s">
        <v>451</v>
      </c>
      <c r="M120" s="18" t="s">
        <v>451</v>
      </c>
      <c r="N120" s="18">
        <f t="shared" si="1"/>
        <v>224.51548441262503</v>
      </c>
      <c r="O120" s="20" t="s">
        <v>451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</row>
    <row r="121" spans="1:66" s="16" customFormat="1" ht="16" customHeight="1" x14ac:dyDescent="0.2">
      <c r="A121" s="18">
        <v>1339</v>
      </c>
      <c r="B121" s="18" t="s">
        <v>491</v>
      </c>
      <c r="C121" s="18" t="s">
        <v>787</v>
      </c>
      <c r="D121" s="18" t="s">
        <v>788</v>
      </c>
      <c r="E121" s="18" t="s">
        <v>493</v>
      </c>
      <c r="F121" s="18" t="s">
        <v>654</v>
      </c>
      <c r="G121" s="18" t="s">
        <v>791</v>
      </c>
      <c r="H121" s="19">
        <v>43629</v>
      </c>
      <c r="I121" s="18">
        <v>5</v>
      </c>
      <c r="J121" s="18">
        <v>200</v>
      </c>
      <c r="K121" s="18">
        <v>16.472728390811302</v>
      </c>
      <c r="L121" s="18" t="s">
        <v>451</v>
      </c>
      <c r="M121" s="18" t="s">
        <v>451</v>
      </c>
      <c r="N121" s="18">
        <f t="shared" si="1"/>
        <v>411.81820977028252</v>
      </c>
      <c r="O121" s="20" t="s">
        <v>451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</row>
    <row r="122" spans="1:66" s="16" customFormat="1" ht="16" customHeight="1" x14ac:dyDescent="0.2">
      <c r="A122" s="18">
        <v>1346</v>
      </c>
      <c r="B122" s="18" t="s">
        <v>491</v>
      </c>
      <c r="C122" s="18" t="s">
        <v>787</v>
      </c>
      <c r="D122" s="18" t="s">
        <v>788</v>
      </c>
      <c r="E122" s="18" t="s">
        <v>493</v>
      </c>
      <c r="F122" s="18" t="s">
        <v>654</v>
      </c>
      <c r="G122" s="18" t="s">
        <v>791</v>
      </c>
      <c r="H122" s="19">
        <v>43629</v>
      </c>
      <c r="I122" s="18">
        <v>5</v>
      </c>
      <c r="J122" s="18">
        <v>200</v>
      </c>
      <c r="K122" s="18">
        <v>13.2418927345187</v>
      </c>
      <c r="L122" s="18" t="s">
        <v>451</v>
      </c>
      <c r="M122" s="18" t="s">
        <v>451</v>
      </c>
      <c r="N122" s="18">
        <f t="shared" si="1"/>
        <v>331.04731836296753</v>
      </c>
      <c r="O122" s="20" t="s">
        <v>451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</row>
    <row r="123" spans="1:66" s="16" customFormat="1" ht="16" customHeight="1" x14ac:dyDescent="0.2">
      <c r="A123" s="18">
        <v>1353</v>
      </c>
      <c r="B123" s="18" t="s">
        <v>491</v>
      </c>
      <c r="C123" s="18" t="s">
        <v>787</v>
      </c>
      <c r="D123" s="18" t="s">
        <v>788</v>
      </c>
      <c r="E123" s="18" t="s">
        <v>493</v>
      </c>
      <c r="F123" s="18" t="s">
        <v>654</v>
      </c>
      <c r="G123" s="18" t="s">
        <v>791</v>
      </c>
      <c r="H123" s="19">
        <v>43629</v>
      </c>
      <c r="I123" s="18">
        <v>5</v>
      </c>
      <c r="J123" s="18">
        <v>200</v>
      </c>
      <c r="K123" s="18">
        <v>5.7686378719532803</v>
      </c>
      <c r="L123" s="18" t="s">
        <v>451</v>
      </c>
      <c r="M123" s="18" t="s">
        <v>451</v>
      </c>
      <c r="N123" s="18">
        <f t="shared" si="1"/>
        <v>144.21594679883202</v>
      </c>
      <c r="O123" s="20" t="s">
        <v>451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</row>
    <row r="124" spans="1:66" s="16" customFormat="1" ht="16" customHeight="1" x14ac:dyDescent="0.2">
      <c r="A124" s="18">
        <v>1360</v>
      </c>
      <c r="B124" s="18" t="s">
        <v>491</v>
      </c>
      <c r="C124" s="18" t="s">
        <v>787</v>
      </c>
      <c r="D124" s="18" t="s">
        <v>788</v>
      </c>
      <c r="E124" s="18" t="s">
        <v>493</v>
      </c>
      <c r="F124" s="18" t="s">
        <v>654</v>
      </c>
      <c r="G124" s="18" t="s">
        <v>792</v>
      </c>
      <c r="H124" s="19">
        <v>43629</v>
      </c>
      <c r="I124" s="18">
        <v>5</v>
      </c>
      <c r="J124" s="18">
        <v>200</v>
      </c>
      <c r="K124" s="18">
        <v>0.45252588928208698</v>
      </c>
      <c r="L124" s="18" t="s">
        <v>451</v>
      </c>
      <c r="M124" s="18" t="s">
        <v>451</v>
      </c>
      <c r="N124" s="18">
        <f t="shared" si="1"/>
        <v>11.313147232052174</v>
      </c>
      <c r="O124" s="20" t="s">
        <v>786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</row>
    <row r="125" spans="1:66" s="16" customFormat="1" ht="16" customHeight="1" x14ac:dyDescent="0.2">
      <c r="A125" s="18">
        <v>1366</v>
      </c>
      <c r="B125" s="18" t="s">
        <v>491</v>
      </c>
      <c r="C125" s="18" t="s">
        <v>787</v>
      </c>
      <c r="D125" s="18" t="s">
        <v>788</v>
      </c>
      <c r="E125" s="18" t="s">
        <v>493</v>
      </c>
      <c r="F125" s="18" t="s">
        <v>654</v>
      </c>
      <c r="G125" s="18" t="s">
        <v>792</v>
      </c>
      <c r="H125" s="19">
        <v>43629</v>
      </c>
      <c r="I125" s="18">
        <v>5</v>
      </c>
      <c r="J125" s="18">
        <v>200</v>
      </c>
      <c r="K125" s="18">
        <v>22.195506812166101</v>
      </c>
      <c r="L125" s="18" t="s">
        <v>451</v>
      </c>
      <c r="M125" s="18" t="s">
        <v>451</v>
      </c>
      <c r="N125" s="18">
        <f t="shared" si="1"/>
        <v>554.88767030415249</v>
      </c>
      <c r="O125" s="20" t="s">
        <v>786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</row>
    <row r="126" spans="1:66" s="16" customFormat="1" ht="16" customHeight="1" x14ac:dyDescent="0.2">
      <c r="A126" s="18">
        <v>1372</v>
      </c>
      <c r="B126" s="18" t="s">
        <v>491</v>
      </c>
      <c r="C126" s="18" t="s">
        <v>787</v>
      </c>
      <c r="D126" s="18" t="s">
        <v>788</v>
      </c>
      <c r="E126" s="18" t="s">
        <v>493</v>
      </c>
      <c r="F126" s="18" t="s">
        <v>654</v>
      </c>
      <c r="G126" s="18" t="s">
        <v>792</v>
      </c>
      <c r="H126" s="19">
        <v>43629</v>
      </c>
      <c r="I126" s="18">
        <v>5</v>
      </c>
      <c r="J126" s="18">
        <v>200</v>
      </c>
      <c r="K126" s="18">
        <v>6.7202919006617803</v>
      </c>
      <c r="L126" s="18" t="s">
        <v>451</v>
      </c>
      <c r="M126" s="18" t="s">
        <v>451</v>
      </c>
      <c r="N126" s="18">
        <f t="shared" si="1"/>
        <v>168.0072975165445</v>
      </c>
      <c r="O126" s="20" t="s">
        <v>786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</row>
    <row r="127" spans="1:66" s="16" customFormat="1" ht="16" customHeight="1" x14ac:dyDescent="0.2">
      <c r="A127" s="16">
        <v>1340</v>
      </c>
      <c r="B127" s="16" t="s">
        <v>495</v>
      </c>
      <c r="C127" s="16" t="s">
        <v>793</v>
      </c>
      <c r="D127" s="16" t="s">
        <v>794</v>
      </c>
      <c r="E127" s="16" t="s">
        <v>497</v>
      </c>
      <c r="F127" s="16" t="s">
        <v>654</v>
      </c>
      <c r="G127" s="16" t="s">
        <v>795</v>
      </c>
      <c r="H127" s="17">
        <v>43629</v>
      </c>
      <c r="I127" s="16">
        <v>5</v>
      </c>
      <c r="J127" s="16">
        <v>250</v>
      </c>
      <c r="K127" s="16">
        <v>103.52516586098901</v>
      </c>
      <c r="L127" s="16" t="s">
        <v>451</v>
      </c>
      <c r="M127" s="16" t="s">
        <v>490</v>
      </c>
      <c r="N127" s="16">
        <f t="shared" si="1"/>
        <v>2070.50331721978</v>
      </c>
      <c r="O127" s="24" t="s">
        <v>451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</row>
    <row r="128" spans="1:66" s="16" customFormat="1" ht="16" customHeight="1" x14ac:dyDescent="0.2">
      <c r="A128" s="16">
        <v>1347</v>
      </c>
      <c r="B128" s="16" t="s">
        <v>495</v>
      </c>
      <c r="C128" s="16" t="s">
        <v>793</v>
      </c>
      <c r="D128" s="16" t="s">
        <v>794</v>
      </c>
      <c r="E128" s="16" t="s">
        <v>497</v>
      </c>
      <c r="F128" s="16" t="s">
        <v>654</v>
      </c>
      <c r="G128" s="16" t="s">
        <v>795</v>
      </c>
      <c r="H128" s="17">
        <v>43629</v>
      </c>
      <c r="I128" s="16">
        <v>5</v>
      </c>
      <c r="J128" s="16">
        <v>250</v>
      </c>
      <c r="K128" s="16">
        <v>141.47605562321101</v>
      </c>
      <c r="L128" s="16" t="s">
        <v>451</v>
      </c>
      <c r="M128" s="16" t="s">
        <v>490</v>
      </c>
      <c r="N128" s="16">
        <f t="shared" si="1"/>
        <v>2829.5211124642201</v>
      </c>
      <c r="O128" s="24" t="s">
        <v>451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</row>
    <row r="129" spans="1:66" s="16" customFormat="1" ht="16" customHeight="1" x14ac:dyDescent="0.2">
      <c r="A129" s="16">
        <v>1354</v>
      </c>
      <c r="B129" s="16" t="s">
        <v>495</v>
      </c>
      <c r="C129" s="16" t="s">
        <v>793</v>
      </c>
      <c r="D129" s="16" t="s">
        <v>794</v>
      </c>
      <c r="E129" s="16" t="s">
        <v>497</v>
      </c>
      <c r="F129" s="16" t="s">
        <v>654</v>
      </c>
      <c r="G129" s="16" t="s">
        <v>795</v>
      </c>
      <c r="H129" s="17">
        <v>43629</v>
      </c>
      <c r="I129" s="16">
        <v>5</v>
      </c>
      <c r="J129" s="16">
        <v>250</v>
      </c>
      <c r="K129" s="16">
        <v>142.71373898916801</v>
      </c>
      <c r="L129" s="16" t="s">
        <v>451</v>
      </c>
      <c r="M129" s="16" t="s">
        <v>490</v>
      </c>
      <c r="N129" s="16">
        <f t="shared" si="1"/>
        <v>2854.2747797833599</v>
      </c>
      <c r="O129" s="24" t="s">
        <v>451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</row>
    <row r="130" spans="1:66" s="16" customFormat="1" ht="16" customHeight="1" x14ac:dyDescent="0.2">
      <c r="A130" s="16">
        <v>1361</v>
      </c>
      <c r="B130" s="16" t="s">
        <v>495</v>
      </c>
      <c r="C130" s="16" t="s">
        <v>793</v>
      </c>
      <c r="D130" s="16" t="s">
        <v>794</v>
      </c>
      <c r="E130" s="16" t="s">
        <v>497</v>
      </c>
      <c r="F130" s="16" t="s">
        <v>654</v>
      </c>
      <c r="G130" s="16" t="s">
        <v>796</v>
      </c>
      <c r="H130" s="17">
        <v>43629</v>
      </c>
      <c r="I130" s="16">
        <v>5</v>
      </c>
      <c r="J130" s="16">
        <v>250</v>
      </c>
      <c r="K130" s="16">
        <v>5.9889518912695303</v>
      </c>
      <c r="L130" s="16" t="s">
        <v>451</v>
      </c>
      <c r="M130" s="16" t="s">
        <v>490</v>
      </c>
      <c r="N130" s="16">
        <f t="shared" si="1"/>
        <v>119.7790378253906</v>
      </c>
      <c r="O130" s="24" t="s">
        <v>451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</row>
    <row r="131" spans="1:66" s="16" customFormat="1" ht="16" customHeight="1" x14ac:dyDescent="0.2">
      <c r="A131" s="16">
        <v>1367</v>
      </c>
      <c r="B131" s="16" t="s">
        <v>495</v>
      </c>
      <c r="C131" s="16" t="s">
        <v>793</v>
      </c>
      <c r="D131" s="16" t="s">
        <v>794</v>
      </c>
      <c r="E131" s="16" t="s">
        <v>497</v>
      </c>
      <c r="F131" s="16" t="s">
        <v>654</v>
      </c>
      <c r="G131" s="16" t="s">
        <v>796</v>
      </c>
      <c r="H131" s="17">
        <v>43629</v>
      </c>
      <c r="I131" s="16">
        <v>5</v>
      </c>
      <c r="J131" s="16">
        <v>250</v>
      </c>
      <c r="K131" s="16">
        <v>1.79238722235187</v>
      </c>
      <c r="L131" s="16" t="s">
        <v>451</v>
      </c>
      <c r="M131" s="16" t="s">
        <v>490</v>
      </c>
      <c r="N131" s="16">
        <f t="shared" si="1"/>
        <v>35.8477444470374</v>
      </c>
      <c r="O131" s="24" t="s">
        <v>451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</row>
    <row r="132" spans="1:66" s="16" customFormat="1" ht="16" customHeight="1" x14ac:dyDescent="0.2">
      <c r="A132" s="16">
        <v>1373</v>
      </c>
      <c r="B132" s="16" t="s">
        <v>495</v>
      </c>
      <c r="C132" s="16" t="s">
        <v>793</v>
      </c>
      <c r="D132" s="16" t="s">
        <v>794</v>
      </c>
      <c r="E132" s="16" t="s">
        <v>497</v>
      </c>
      <c r="F132" s="16" t="s">
        <v>654</v>
      </c>
      <c r="G132" s="16" t="s">
        <v>796</v>
      </c>
      <c r="H132" s="17">
        <v>43629</v>
      </c>
      <c r="I132" s="16">
        <v>5</v>
      </c>
      <c r="J132" s="16">
        <v>250</v>
      </c>
      <c r="K132" s="16">
        <v>0</v>
      </c>
      <c r="L132" s="16" t="s">
        <v>451</v>
      </c>
      <c r="M132" s="16" t="s">
        <v>490</v>
      </c>
      <c r="N132" s="16">
        <f t="shared" ref="N132:N195" si="2">K132*I132*(1000/J132)</f>
        <v>0</v>
      </c>
      <c r="O132" s="24" t="s">
        <v>451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</row>
    <row r="133" spans="1:66" s="16" customFormat="1" ht="16" customHeight="1" x14ac:dyDescent="0.2">
      <c r="A133" s="16">
        <v>1341</v>
      </c>
      <c r="B133" s="16" t="s">
        <v>495</v>
      </c>
      <c r="C133" s="16" t="s">
        <v>793</v>
      </c>
      <c r="D133" s="16" t="s">
        <v>794</v>
      </c>
      <c r="E133" s="16" t="s">
        <v>497</v>
      </c>
      <c r="F133" s="16" t="s">
        <v>654</v>
      </c>
      <c r="G133" s="16" t="s">
        <v>797</v>
      </c>
      <c r="H133" s="17">
        <v>43629</v>
      </c>
      <c r="I133" s="16">
        <v>5</v>
      </c>
      <c r="J133" s="16">
        <v>250</v>
      </c>
      <c r="K133" s="16">
        <v>0</v>
      </c>
      <c r="L133" s="16" t="s">
        <v>451</v>
      </c>
      <c r="M133" s="16" t="s">
        <v>490</v>
      </c>
      <c r="N133" s="16">
        <f t="shared" si="2"/>
        <v>0</v>
      </c>
      <c r="O133" s="24" t="s">
        <v>451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</row>
    <row r="134" spans="1:66" s="16" customFormat="1" ht="16" customHeight="1" x14ac:dyDescent="0.2">
      <c r="A134" s="16">
        <v>1348</v>
      </c>
      <c r="B134" s="16" t="s">
        <v>495</v>
      </c>
      <c r="C134" s="16" t="s">
        <v>793</v>
      </c>
      <c r="D134" s="16" t="s">
        <v>794</v>
      </c>
      <c r="E134" s="16" t="s">
        <v>497</v>
      </c>
      <c r="F134" s="16" t="s">
        <v>654</v>
      </c>
      <c r="G134" s="16" t="s">
        <v>797</v>
      </c>
      <c r="H134" s="17">
        <v>43629</v>
      </c>
      <c r="I134" s="16">
        <v>5</v>
      </c>
      <c r="J134" s="16">
        <v>250</v>
      </c>
      <c r="K134" s="16">
        <v>74.645076135660602</v>
      </c>
      <c r="L134" s="16" t="s">
        <v>451</v>
      </c>
      <c r="M134" s="16" t="s">
        <v>490</v>
      </c>
      <c r="N134" s="16">
        <f t="shared" si="2"/>
        <v>1492.901522713212</v>
      </c>
      <c r="O134" s="24" t="s">
        <v>451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</row>
    <row r="135" spans="1:66" s="16" customFormat="1" ht="16" customHeight="1" x14ac:dyDescent="0.2">
      <c r="A135" s="16">
        <v>1355</v>
      </c>
      <c r="B135" s="16" t="s">
        <v>495</v>
      </c>
      <c r="C135" s="16" t="s">
        <v>793</v>
      </c>
      <c r="D135" s="16" t="s">
        <v>794</v>
      </c>
      <c r="E135" s="16" t="s">
        <v>497</v>
      </c>
      <c r="F135" s="16" t="s">
        <v>654</v>
      </c>
      <c r="G135" s="16" t="s">
        <v>797</v>
      </c>
      <c r="H135" s="17">
        <v>43629</v>
      </c>
      <c r="I135" s="16">
        <v>5</v>
      </c>
      <c r="J135" s="16">
        <v>250</v>
      </c>
      <c r="K135" s="16">
        <v>65.184978366520397</v>
      </c>
      <c r="L135" s="16" t="s">
        <v>451</v>
      </c>
      <c r="M135" s="16" t="s">
        <v>490</v>
      </c>
      <c r="N135" s="16">
        <f t="shared" si="2"/>
        <v>1303.6995673304079</v>
      </c>
      <c r="O135" s="24" t="s">
        <v>451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</row>
    <row r="136" spans="1:66" s="16" customFormat="1" ht="16" customHeight="1" x14ac:dyDescent="0.2">
      <c r="A136" s="18">
        <v>1362</v>
      </c>
      <c r="B136" s="18" t="s">
        <v>499</v>
      </c>
      <c r="C136" s="18" t="s">
        <v>798</v>
      </c>
      <c r="D136" s="18" t="s">
        <v>799</v>
      </c>
      <c r="E136" s="18" t="s">
        <v>501</v>
      </c>
      <c r="F136" s="18" t="s">
        <v>654</v>
      </c>
      <c r="G136" s="18" t="s">
        <v>800</v>
      </c>
      <c r="H136" s="19">
        <v>43629</v>
      </c>
      <c r="I136" s="18">
        <v>5</v>
      </c>
      <c r="J136" s="18">
        <v>150</v>
      </c>
      <c r="K136" s="18">
        <v>60.379342542384499</v>
      </c>
      <c r="L136" s="18" t="s">
        <v>451</v>
      </c>
      <c r="M136" s="18" t="s">
        <v>451</v>
      </c>
      <c r="N136" s="18">
        <f t="shared" si="2"/>
        <v>2012.6447514128165</v>
      </c>
      <c r="O136" s="20" t="s">
        <v>451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</row>
    <row r="137" spans="1:66" s="16" customFormat="1" ht="16" customHeight="1" x14ac:dyDescent="0.2">
      <c r="A137" s="18">
        <v>1368</v>
      </c>
      <c r="B137" s="18" t="s">
        <v>499</v>
      </c>
      <c r="C137" s="18" t="s">
        <v>798</v>
      </c>
      <c r="D137" s="18" t="s">
        <v>799</v>
      </c>
      <c r="E137" s="18" t="s">
        <v>501</v>
      </c>
      <c r="F137" s="18" t="s">
        <v>654</v>
      </c>
      <c r="G137" s="18" t="s">
        <v>800</v>
      </c>
      <c r="H137" s="19">
        <v>43629</v>
      </c>
      <c r="I137" s="18">
        <v>5</v>
      </c>
      <c r="J137" s="18">
        <v>150</v>
      </c>
      <c r="K137" s="18">
        <v>79.827769392287607</v>
      </c>
      <c r="L137" s="18" t="s">
        <v>451</v>
      </c>
      <c r="M137" s="18" t="s">
        <v>451</v>
      </c>
      <c r="N137" s="18">
        <f t="shared" si="2"/>
        <v>2660.925646409587</v>
      </c>
      <c r="O137" s="20" t="s">
        <v>451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</row>
    <row r="138" spans="1:66" s="16" customFormat="1" ht="16" customHeight="1" x14ac:dyDescent="0.2">
      <c r="A138" s="18">
        <v>1374</v>
      </c>
      <c r="B138" s="18" t="s">
        <v>499</v>
      </c>
      <c r="C138" s="18" t="s">
        <v>798</v>
      </c>
      <c r="D138" s="18" t="s">
        <v>799</v>
      </c>
      <c r="E138" s="18" t="s">
        <v>501</v>
      </c>
      <c r="F138" s="18" t="s">
        <v>654</v>
      </c>
      <c r="G138" s="18" t="s">
        <v>800</v>
      </c>
      <c r="H138" s="19">
        <v>43629</v>
      </c>
      <c r="I138" s="18">
        <v>5</v>
      </c>
      <c r="J138" s="18">
        <v>150</v>
      </c>
      <c r="K138" s="18">
        <v>0</v>
      </c>
      <c r="L138" s="18" t="s">
        <v>451</v>
      </c>
      <c r="M138" s="18" t="s">
        <v>451</v>
      </c>
      <c r="N138" s="18">
        <f t="shared" si="2"/>
        <v>0</v>
      </c>
      <c r="O138" s="20" t="s">
        <v>451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</row>
    <row r="139" spans="1:66" s="16" customFormat="1" ht="16" customHeight="1" x14ac:dyDescent="0.2">
      <c r="A139" s="18">
        <v>1381</v>
      </c>
      <c r="B139" s="18" t="s">
        <v>499</v>
      </c>
      <c r="C139" s="18" t="s">
        <v>798</v>
      </c>
      <c r="D139" s="18" t="s">
        <v>799</v>
      </c>
      <c r="E139" s="18" t="s">
        <v>501</v>
      </c>
      <c r="F139" s="18" t="s">
        <v>654</v>
      </c>
      <c r="G139" s="18" t="s">
        <v>801</v>
      </c>
      <c r="H139" s="19">
        <v>43629</v>
      </c>
      <c r="I139" s="18">
        <v>5</v>
      </c>
      <c r="J139" s="18">
        <v>150</v>
      </c>
      <c r="K139" s="18">
        <v>20.757733184484099</v>
      </c>
      <c r="L139" s="18" t="s">
        <v>451</v>
      </c>
      <c r="M139" s="18" t="s">
        <v>451</v>
      </c>
      <c r="N139" s="18">
        <f t="shared" si="2"/>
        <v>691.92443948280334</v>
      </c>
      <c r="O139" s="20" t="s">
        <v>451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</row>
    <row r="140" spans="1:66" s="16" customFormat="1" ht="16" customHeight="1" x14ac:dyDescent="0.2">
      <c r="A140" s="18">
        <v>1388</v>
      </c>
      <c r="B140" s="18" t="s">
        <v>499</v>
      </c>
      <c r="C140" s="18" t="s">
        <v>798</v>
      </c>
      <c r="D140" s="18" t="s">
        <v>799</v>
      </c>
      <c r="E140" s="18" t="s">
        <v>501</v>
      </c>
      <c r="F140" s="18" t="s">
        <v>654</v>
      </c>
      <c r="G140" s="18" t="s">
        <v>801</v>
      </c>
      <c r="H140" s="19">
        <v>43629</v>
      </c>
      <c r="I140" s="18">
        <v>5</v>
      </c>
      <c r="J140" s="18">
        <v>150</v>
      </c>
      <c r="K140" s="18">
        <v>33.357370433234202</v>
      </c>
      <c r="L140" s="18" t="s">
        <v>451</v>
      </c>
      <c r="M140" s="18" t="s">
        <v>451</v>
      </c>
      <c r="N140" s="18">
        <f t="shared" si="2"/>
        <v>1111.9123477744733</v>
      </c>
      <c r="O140" s="20" t="s">
        <v>451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</row>
    <row r="141" spans="1:66" s="16" customFormat="1" ht="16" customHeight="1" x14ac:dyDescent="0.2">
      <c r="A141" s="18">
        <v>1395</v>
      </c>
      <c r="B141" s="18" t="s">
        <v>499</v>
      </c>
      <c r="C141" s="18" t="s">
        <v>798</v>
      </c>
      <c r="D141" s="18" t="s">
        <v>799</v>
      </c>
      <c r="E141" s="18" t="s">
        <v>501</v>
      </c>
      <c r="F141" s="18" t="s">
        <v>654</v>
      </c>
      <c r="G141" s="18" t="s">
        <v>801</v>
      </c>
      <c r="H141" s="19">
        <v>43629</v>
      </c>
      <c r="I141" s="18">
        <v>5</v>
      </c>
      <c r="J141" s="18">
        <v>150</v>
      </c>
      <c r="K141" s="18">
        <v>26.415902100565699</v>
      </c>
      <c r="L141" s="18" t="s">
        <v>451</v>
      </c>
      <c r="M141" s="18" t="s">
        <v>451</v>
      </c>
      <c r="N141" s="18">
        <f t="shared" si="2"/>
        <v>880.53007001885669</v>
      </c>
      <c r="O141" s="20" t="s">
        <v>451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</row>
    <row r="142" spans="1:66" s="16" customFormat="1" ht="16" customHeight="1" x14ac:dyDescent="0.2">
      <c r="A142" s="18">
        <v>1342</v>
      </c>
      <c r="B142" s="18" t="s">
        <v>499</v>
      </c>
      <c r="C142" s="18" t="s">
        <v>798</v>
      </c>
      <c r="D142" s="18" t="s">
        <v>799</v>
      </c>
      <c r="E142" s="18" t="s">
        <v>501</v>
      </c>
      <c r="F142" s="18" t="s">
        <v>654</v>
      </c>
      <c r="G142" s="18" t="s">
        <v>802</v>
      </c>
      <c r="H142" s="19">
        <v>43629</v>
      </c>
      <c r="I142" s="18">
        <v>5</v>
      </c>
      <c r="J142" s="18">
        <v>150</v>
      </c>
      <c r="K142" s="18">
        <v>63.895692707778998</v>
      </c>
      <c r="L142" s="18" t="s">
        <v>451</v>
      </c>
      <c r="M142" s="18" t="s">
        <v>451</v>
      </c>
      <c r="N142" s="18">
        <f t="shared" si="2"/>
        <v>2129.8564235926333</v>
      </c>
      <c r="O142" s="20" t="s">
        <v>451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</row>
    <row r="143" spans="1:66" s="16" customFormat="1" ht="16" customHeight="1" x14ac:dyDescent="0.2">
      <c r="A143" s="18">
        <v>1349</v>
      </c>
      <c r="B143" s="18" t="s">
        <v>499</v>
      </c>
      <c r="C143" s="18" t="s">
        <v>798</v>
      </c>
      <c r="D143" s="18" t="s">
        <v>799</v>
      </c>
      <c r="E143" s="18" t="s">
        <v>501</v>
      </c>
      <c r="F143" s="18" t="s">
        <v>654</v>
      </c>
      <c r="G143" s="18" t="s">
        <v>802</v>
      </c>
      <c r="H143" s="19">
        <v>43629</v>
      </c>
      <c r="I143" s="18">
        <v>5</v>
      </c>
      <c r="J143" s="18">
        <v>150</v>
      </c>
      <c r="K143" s="18">
        <v>56.575216026468802</v>
      </c>
      <c r="L143" s="18" t="s">
        <v>451</v>
      </c>
      <c r="M143" s="18" t="s">
        <v>451</v>
      </c>
      <c r="N143" s="18">
        <f t="shared" si="2"/>
        <v>1885.8405342156266</v>
      </c>
      <c r="O143" s="20" t="s">
        <v>451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</row>
    <row r="144" spans="1:66" s="16" customFormat="1" ht="16" customHeight="1" x14ac:dyDescent="0.2">
      <c r="A144" s="18">
        <v>1356</v>
      </c>
      <c r="B144" s="18" t="s">
        <v>499</v>
      </c>
      <c r="C144" s="18" t="s">
        <v>798</v>
      </c>
      <c r="D144" s="18" t="s">
        <v>799</v>
      </c>
      <c r="E144" s="18" t="s">
        <v>501</v>
      </c>
      <c r="F144" s="18" t="s">
        <v>654</v>
      </c>
      <c r="G144" s="18" t="s">
        <v>802</v>
      </c>
      <c r="H144" s="19">
        <v>43629</v>
      </c>
      <c r="I144" s="18">
        <v>5</v>
      </c>
      <c r="J144" s="18">
        <v>150</v>
      </c>
      <c r="K144" s="18">
        <v>69.813253319338102</v>
      </c>
      <c r="L144" s="18" t="s">
        <v>451</v>
      </c>
      <c r="M144" s="18" t="s">
        <v>451</v>
      </c>
      <c r="N144" s="18">
        <f t="shared" si="2"/>
        <v>2327.108443977937</v>
      </c>
      <c r="O144" s="20" t="s">
        <v>451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</row>
    <row r="145" spans="1:66" s="16" customFormat="1" ht="16" customHeight="1" x14ac:dyDescent="0.2">
      <c r="A145" s="16">
        <v>1363</v>
      </c>
      <c r="B145" s="16" t="s">
        <v>503</v>
      </c>
      <c r="C145" s="16" t="s">
        <v>803</v>
      </c>
      <c r="D145" s="16" t="s">
        <v>804</v>
      </c>
      <c r="E145" s="16" t="s">
        <v>505</v>
      </c>
      <c r="F145" s="16" t="s">
        <v>654</v>
      </c>
      <c r="G145" s="16" t="s">
        <v>805</v>
      </c>
      <c r="H145" s="17">
        <v>43629</v>
      </c>
      <c r="I145" s="16">
        <v>5</v>
      </c>
      <c r="J145" s="16">
        <v>210</v>
      </c>
      <c r="K145" s="16">
        <v>0.56235728488969206</v>
      </c>
      <c r="L145" s="16" t="s">
        <v>451</v>
      </c>
      <c r="M145" s="16" t="s">
        <v>451</v>
      </c>
      <c r="N145" s="16">
        <f t="shared" si="2"/>
        <v>13.389459164040286</v>
      </c>
      <c r="O145" s="22" t="s">
        <v>451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</row>
    <row r="146" spans="1:66" s="16" customFormat="1" ht="16" customHeight="1" x14ac:dyDescent="0.2">
      <c r="A146" s="16">
        <v>1369</v>
      </c>
      <c r="B146" s="16" t="s">
        <v>503</v>
      </c>
      <c r="C146" s="16" t="s">
        <v>803</v>
      </c>
      <c r="D146" s="16" t="s">
        <v>804</v>
      </c>
      <c r="E146" s="16" t="s">
        <v>505</v>
      </c>
      <c r="F146" s="16" t="s">
        <v>654</v>
      </c>
      <c r="G146" s="16" t="s">
        <v>805</v>
      </c>
      <c r="H146" s="17">
        <v>43629</v>
      </c>
      <c r="I146" s="16">
        <v>5</v>
      </c>
      <c r="J146" s="16">
        <v>210</v>
      </c>
      <c r="K146" s="16">
        <v>0</v>
      </c>
      <c r="L146" s="16" t="s">
        <v>451</v>
      </c>
      <c r="M146" s="16" t="s">
        <v>451</v>
      </c>
      <c r="N146" s="16">
        <f t="shared" si="2"/>
        <v>0</v>
      </c>
      <c r="O146" s="22" t="s">
        <v>451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</row>
    <row r="147" spans="1:66" s="16" customFormat="1" ht="16" customHeight="1" x14ac:dyDescent="0.2">
      <c r="A147" s="16">
        <v>1375</v>
      </c>
      <c r="B147" s="16" t="s">
        <v>503</v>
      </c>
      <c r="C147" s="16" t="s">
        <v>803</v>
      </c>
      <c r="D147" s="16" t="s">
        <v>804</v>
      </c>
      <c r="E147" s="16" t="s">
        <v>505</v>
      </c>
      <c r="F147" s="16" t="s">
        <v>654</v>
      </c>
      <c r="G147" s="16" t="s">
        <v>805</v>
      </c>
      <c r="H147" s="17">
        <v>43629</v>
      </c>
      <c r="I147" s="16">
        <v>5</v>
      </c>
      <c r="J147" s="16">
        <v>210</v>
      </c>
      <c r="K147" s="16">
        <v>0</v>
      </c>
      <c r="L147" s="16" t="s">
        <v>451</v>
      </c>
      <c r="M147" s="16" t="s">
        <v>451</v>
      </c>
      <c r="N147" s="16">
        <f t="shared" si="2"/>
        <v>0</v>
      </c>
      <c r="O147" s="22" t="s">
        <v>451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</row>
    <row r="148" spans="1:66" s="16" customFormat="1" ht="16" customHeight="1" x14ac:dyDescent="0.2">
      <c r="A148" s="16">
        <v>1343</v>
      </c>
      <c r="B148" s="16" t="s">
        <v>503</v>
      </c>
      <c r="C148" s="16" t="s">
        <v>803</v>
      </c>
      <c r="D148" s="16" t="s">
        <v>804</v>
      </c>
      <c r="E148" s="16" t="s">
        <v>505</v>
      </c>
      <c r="F148" s="16" t="s">
        <v>654</v>
      </c>
      <c r="G148" s="16" t="s">
        <v>806</v>
      </c>
      <c r="H148" s="17">
        <v>43629</v>
      </c>
      <c r="I148" s="16">
        <v>5</v>
      </c>
      <c r="J148" s="16">
        <v>210</v>
      </c>
      <c r="K148" s="16">
        <v>0</v>
      </c>
      <c r="L148" s="16" t="s">
        <v>451</v>
      </c>
      <c r="M148" s="16" t="s">
        <v>451</v>
      </c>
      <c r="N148" s="16">
        <f t="shared" si="2"/>
        <v>0</v>
      </c>
      <c r="O148" s="22" t="s">
        <v>451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</row>
    <row r="149" spans="1:66" s="16" customFormat="1" ht="16" customHeight="1" x14ac:dyDescent="0.2">
      <c r="A149" s="16">
        <v>1350</v>
      </c>
      <c r="B149" s="16" t="s">
        <v>503</v>
      </c>
      <c r="C149" s="16" t="s">
        <v>803</v>
      </c>
      <c r="D149" s="16" t="s">
        <v>804</v>
      </c>
      <c r="E149" s="16" t="s">
        <v>505</v>
      </c>
      <c r="F149" s="16" t="s">
        <v>654</v>
      </c>
      <c r="G149" s="16" t="s">
        <v>806</v>
      </c>
      <c r="H149" s="17">
        <v>43629</v>
      </c>
      <c r="I149" s="16">
        <v>5</v>
      </c>
      <c r="J149" s="16">
        <v>210</v>
      </c>
      <c r="K149" s="16">
        <v>0</v>
      </c>
      <c r="L149" s="16" t="s">
        <v>451</v>
      </c>
      <c r="M149" s="16" t="s">
        <v>451</v>
      </c>
      <c r="N149" s="16">
        <f t="shared" si="2"/>
        <v>0</v>
      </c>
      <c r="O149" s="22" t="s">
        <v>451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</row>
    <row r="150" spans="1:66" s="16" customFormat="1" ht="16" customHeight="1" x14ac:dyDescent="0.2">
      <c r="A150" s="16">
        <v>1357</v>
      </c>
      <c r="B150" s="16" t="s">
        <v>503</v>
      </c>
      <c r="C150" s="16" t="s">
        <v>803</v>
      </c>
      <c r="D150" s="16" t="s">
        <v>804</v>
      </c>
      <c r="E150" s="16" t="s">
        <v>505</v>
      </c>
      <c r="F150" s="16" t="s">
        <v>654</v>
      </c>
      <c r="G150" s="16" t="s">
        <v>806</v>
      </c>
      <c r="H150" s="17">
        <v>43629</v>
      </c>
      <c r="I150" s="16">
        <v>5</v>
      </c>
      <c r="J150" s="16">
        <v>210</v>
      </c>
      <c r="K150" s="16">
        <v>1.1672801936424799</v>
      </c>
      <c r="L150" s="16" t="s">
        <v>451</v>
      </c>
      <c r="M150" s="16" t="s">
        <v>451</v>
      </c>
      <c r="N150" s="16">
        <f t="shared" si="2"/>
        <v>27.792385562916188</v>
      </c>
      <c r="O150" s="22" t="s">
        <v>451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</row>
    <row r="151" spans="1:66" s="16" customFormat="1" ht="16" customHeight="1" x14ac:dyDescent="0.2">
      <c r="A151" s="16">
        <v>1364</v>
      </c>
      <c r="B151" s="16" t="s">
        <v>503</v>
      </c>
      <c r="C151" s="16" t="s">
        <v>803</v>
      </c>
      <c r="D151" s="16" t="s">
        <v>804</v>
      </c>
      <c r="E151" s="16" t="s">
        <v>505</v>
      </c>
      <c r="F151" s="16" t="s">
        <v>654</v>
      </c>
      <c r="G151" s="16" t="s">
        <v>807</v>
      </c>
      <c r="H151" s="17">
        <v>43629</v>
      </c>
      <c r="I151" s="16">
        <v>5</v>
      </c>
      <c r="J151" s="16">
        <v>210</v>
      </c>
      <c r="K151" s="16">
        <v>0</v>
      </c>
      <c r="L151" s="16" t="s">
        <v>451</v>
      </c>
      <c r="M151" s="16" t="s">
        <v>451</v>
      </c>
      <c r="N151" s="16">
        <f t="shared" si="2"/>
        <v>0</v>
      </c>
      <c r="O151" s="22" t="s">
        <v>451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</row>
    <row r="152" spans="1:66" s="16" customFormat="1" ht="16" customHeight="1" x14ac:dyDescent="0.2">
      <c r="A152" s="16">
        <v>1370</v>
      </c>
      <c r="B152" s="16" t="s">
        <v>503</v>
      </c>
      <c r="C152" s="16" t="s">
        <v>803</v>
      </c>
      <c r="D152" s="16" t="s">
        <v>804</v>
      </c>
      <c r="E152" s="16" t="s">
        <v>505</v>
      </c>
      <c r="F152" s="16" t="s">
        <v>654</v>
      </c>
      <c r="G152" s="16" t="s">
        <v>807</v>
      </c>
      <c r="H152" s="17">
        <v>43629</v>
      </c>
      <c r="I152" s="16">
        <v>5</v>
      </c>
      <c r="J152" s="16">
        <v>210</v>
      </c>
      <c r="K152" s="16">
        <v>0</v>
      </c>
      <c r="L152" s="16" t="s">
        <v>451</v>
      </c>
      <c r="M152" s="16" t="s">
        <v>451</v>
      </c>
      <c r="N152" s="16">
        <f t="shared" si="2"/>
        <v>0</v>
      </c>
      <c r="O152" s="22" t="s">
        <v>451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</row>
    <row r="153" spans="1:66" s="18" customFormat="1" ht="16" customHeight="1" x14ac:dyDescent="0.2">
      <c r="A153" s="16">
        <v>1376</v>
      </c>
      <c r="B153" s="16" t="s">
        <v>503</v>
      </c>
      <c r="C153" s="16" t="s">
        <v>803</v>
      </c>
      <c r="D153" s="16" t="s">
        <v>804</v>
      </c>
      <c r="E153" s="16" t="s">
        <v>505</v>
      </c>
      <c r="F153" s="16" t="s">
        <v>654</v>
      </c>
      <c r="G153" s="16" t="s">
        <v>807</v>
      </c>
      <c r="H153" s="17">
        <v>43629</v>
      </c>
      <c r="I153" s="16">
        <v>5</v>
      </c>
      <c r="J153" s="16">
        <v>210</v>
      </c>
      <c r="K153" s="16">
        <v>0</v>
      </c>
      <c r="L153" s="16" t="s">
        <v>451</v>
      </c>
      <c r="M153" s="16" t="s">
        <v>451</v>
      </c>
      <c r="N153" s="16">
        <f t="shared" si="2"/>
        <v>0</v>
      </c>
      <c r="O153" s="22" t="s">
        <v>451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</row>
    <row r="154" spans="1:66" s="18" customFormat="1" ht="16" customHeight="1" x14ac:dyDescent="0.2">
      <c r="A154" s="16">
        <v>1344</v>
      </c>
      <c r="B154" s="16" t="s">
        <v>503</v>
      </c>
      <c r="C154" s="16" t="s">
        <v>803</v>
      </c>
      <c r="D154" s="16" t="s">
        <v>804</v>
      </c>
      <c r="E154" s="16" t="s">
        <v>505</v>
      </c>
      <c r="F154" s="16" t="s">
        <v>654</v>
      </c>
      <c r="G154" s="16" t="s">
        <v>808</v>
      </c>
      <c r="H154" s="17">
        <v>43629</v>
      </c>
      <c r="I154" s="16">
        <v>5</v>
      </c>
      <c r="J154" s="16">
        <v>210</v>
      </c>
      <c r="K154" s="16">
        <v>0</v>
      </c>
      <c r="L154" s="16" t="s">
        <v>451</v>
      </c>
      <c r="M154" s="16" t="s">
        <v>451</v>
      </c>
      <c r="N154" s="16">
        <f t="shared" si="2"/>
        <v>0</v>
      </c>
      <c r="O154" s="22" t="s">
        <v>786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</row>
    <row r="155" spans="1:66" s="18" customFormat="1" ht="16" customHeight="1" x14ac:dyDescent="0.2">
      <c r="A155" s="16">
        <v>1351</v>
      </c>
      <c r="B155" s="16" t="s">
        <v>503</v>
      </c>
      <c r="C155" s="16" t="s">
        <v>803</v>
      </c>
      <c r="D155" s="16" t="s">
        <v>804</v>
      </c>
      <c r="E155" s="16" t="s">
        <v>505</v>
      </c>
      <c r="F155" s="16" t="s">
        <v>654</v>
      </c>
      <c r="G155" s="16" t="s">
        <v>808</v>
      </c>
      <c r="H155" s="17">
        <v>43629</v>
      </c>
      <c r="I155" s="16">
        <v>5</v>
      </c>
      <c r="J155" s="16">
        <v>210</v>
      </c>
      <c r="K155" s="16">
        <v>3.7406027015114001</v>
      </c>
      <c r="L155" s="16" t="s">
        <v>451</v>
      </c>
      <c r="M155" s="16" t="s">
        <v>451</v>
      </c>
      <c r="N155" s="16">
        <f t="shared" si="2"/>
        <v>89.061969083604765</v>
      </c>
      <c r="O155" s="22" t="s">
        <v>786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</row>
    <row r="156" spans="1:66" s="18" customFormat="1" ht="16" customHeight="1" x14ac:dyDescent="0.2">
      <c r="A156" s="16">
        <v>1358</v>
      </c>
      <c r="B156" s="16" t="s">
        <v>503</v>
      </c>
      <c r="C156" s="16" t="s">
        <v>803</v>
      </c>
      <c r="D156" s="16" t="s">
        <v>804</v>
      </c>
      <c r="E156" s="16" t="s">
        <v>505</v>
      </c>
      <c r="F156" s="16" t="s">
        <v>654</v>
      </c>
      <c r="G156" s="16" t="s">
        <v>808</v>
      </c>
      <c r="H156" s="17">
        <v>43629</v>
      </c>
      <c r="I156" s="16">
        <v>5</v>
      </c>
      <c r="J156" s="16">
        <v>210</v>
      </c>
      <c r="K156" s="16">
        <v>0</v>
      </c>
      <c r="L156" s="16" t="s">
        <v>451</v>
      </c>
      <c r="M156" s="16" t="s">
        <v>451</v>
      </c>
      <c r="N156" s="16">
        <f t="shared" si="2"/>
        <v>0</v>
      </c>
      <c r="O156" s="22" t="s">
        <v>786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</row>
    <row r="157" spans="1:66" s="18" customFormat="1" ht="16" customHeight="1" x14ac:dyDescent="0.2">
      <c r="A157" s="16">
        <v>1365</v>
      </c>
      <c r="B157" s="16" t="s">
        <v>503</v>
      </c>
      <c r="C157" s="16" t="s">
        <v>803</v>
      </c>
      <c r="D157" s="16" t="s">
        <v>804</v>
      </c>
      <c r="E157" s="16" t="s">
        <v>505</v>
      </c>
      <c r="F157" s="16" t="s">
        <v>654</v>
      </c>
      <c r="G157" s="16" t="s">
        <v>809</v>
      </c>
      <c r="H157" s="17">
        <v>43629</v>
      </c>
      <c r="I157" s="16">
        <v>5</v>
      </c>
      <c r="J157" s="16">
        <v>210</v>
      </c>
      <c r="K157" s="16">
        <v>6.6726977571785001E-2</v>
      </c>
      <c r="L157" s="16" t="s">
        <v>451</v>
      </c>
      <c r="M157" s="16" t="s">
        <v>451</v>
      </c>
      <c r="N157" s="16">
        <f t="shared" si="2"/>
        <v>1.5887375612329764</v>
      </c>
      <c r="O157" s="22" t="s">
        <v>786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</row>
    <row r="158" spans="1:66" s="18" customFormat="1" ht="16" customHeight="1" x14ac:dyDescent="0.2">
      <c r="A158" s="16">
        <v>1371</v>
      </c>
      <c r="B158" s="16" t="s">
        <v>503</v>
      </c>
      <c r="C158" s="16" t="s">
        <v>803</v>
      </c>
      <c r="D158" s="16" t="s">
        <v>804</v>
      </c>
      <c r="E158" s="16" t="s">
        <v>505</v>
      </c>
      <c r="F158" s="16" t="s">
        <v>654</v>
      </c>
      <c r="G158" s="16" t="s">
        <v>809</v>
      </c>
      <c r="H158" s="17">
        <v>43629</v>
      </c>
      <c r="I158" s="16">
        <v>5</v>
      </c>
      <c r="J158" s="16">
        <v>210</v>
      </c>
      <c r="K158" s="16">
        <v>0</v>
      </c>
      <c r="L158" s="16" t="s">
        <v>451</v>
      </c>
      <c r="M158" s="16" t="s">
        <v>451</v>
      </c>
      <c r="N158" s="16">
        <f t="shared" si="2"/>
        <v>0</v>
      </c>
      <c r="O158" s="22" t="s">
        <v>786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</row>
    <row r="159" spans="1:66" s="18" customFormat="1" ht="16" customHeight="1" x14ac:dyDescent="0.2">
      <c r="A159" s="16">
        <v>1377</v>
      </c>
      <c r="B159" s="16" t="s">
        <v>503</v>
      </c>
      <c r="C159" s="16" t="s">
        <v>803</v>
      </c>
      <c r="D159" s="16" t="s">
        <v>804</v>
      </c>
      <c r="E159" s="16" t="s">
        <v>505</v>
      </c>
      <c r="F159" s="16" t="s">
        <v>654</v>
      </c>
      <c r="G159" s="16" t="s">
        <v>809</v>
      </c>
      <c r="H159" s="17">
        <v>43629</v>
      </c>
      <c r="I159" s="16">
        <v>5</v>
      </c>
      <c r="J159" s="16">
        <v>210</v>
      </c>
      <c r="K159" s="16">
        <v>0</v>
      </c>
      <c r="L159" s="16" t="s">
        <v>451</v>
      </c>
      <c r="M159" s="16" t="s">
        <v>451</v>
      </c>
      <c r="N159" s="16">
        <f t="shared" si="2"/>
        <v>0</v>
      </c>
      <c r="O159" s="22" t="s">
        <v>786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</row>
    <row r="160" spans="1:66" s="18" customFormat="1" ht="16" customHeight="1" x14ac:dyDescent="0.2">
      <c r="A160" s="16">
        <v>1345</v>
      </c>
      <c r="B160" s="16" t="s">
        <v>503</v>
      </c>
      <c r="C160" s="16" t="s">
        <v>803</v>
      </c>
      <c r="D160" s="16" t="s">
        <v>804</v>
      </c>
      <c r="E160" s="16" t="s">
        <v>505</v>
      </c>
      <c r="F160" s="16" t="s">
        <v>654</v>
      </c>
      <c r="G160" s="16" t="s">
        <v>810</v>
      </c>
      <c r="H160" s="17">
        <v>43629</v>
      </c>
      <c r="I160" s="16">
        <v>5</v>
      </c>
      <c r="J160" s="16">
        <v>210</v>
      </c>
      <c r="K160" s="16">
        <v>0</v>
      </c>
      <c r="L160" s="16" t="s">
        <v>451</v>
      </c>
      <c r="M160" s="16" t="s">
        <v>451</v>
      </c>
      <c r="N160" s="16">
        <f t="shared" si="2"/>
        <v>0</v>
      </c>
      <c r="O160" s="22" t="s">
        <v>786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</row>
    <row r="161" spans="1:66" s="18" customFormat="1" ht="16" customHeight="1" x14ac:dyDescent="0.2">
      <c r="A161" s="16">
        <v>1352</v>
      </c>
      <c r="B161" s="16" t="s">
        <v>503</v>
      </c>
      <c r="C161" s="16" t="s">
        <v>803</v>
      </c>
      <c r="D161" s="16" t="s">
        <v>804</v>
      </c>
      <c r="E161" s="16" t="s">
        <v>505</v>
      </c>
      <c r="F161" s="16" t="s">
        <v>654</v>
      </c>
      <c r="G161" s="16" t="s">
        <v>810</v>
      </c>
      <c r="H161" s="17">
        <v>43629</v>
      </c>
      <c r="I161" s="16">
        <v>5</v>
      </c>
      <c r="J161" s="16">
        <v>210</v>
      </c>
      <c r="K161" s="16">
        <v>0</v>
      </c>
      <c r="L161" s="16" t="s">
        <v>451</v>
      </c>
      <c r="M161" s="16" t="s">
        <v>451</v>
      </c>
      <c r="N161" s="16">
        <f t="shared" si="2"/>
        <v>0</v>
      </c>
      <c r="O161" s="22" t="s">
        <v>786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</row>
    <row r="162" spans="1:66" s="18" customFormat="1" ht="16" customHeight="1" x14ac:dyDescent="0.2">
      <c r="A162" s="16">
        <v>1359</v>
      </c>
      <c r="B162" s="16" t="s">
        <v>503</v>
      </c>
      <c r="C162" s="16" t="s">
        <v>803</v>
      </c>
      <c r="D162" s="16" t="s">
        <v>804</v>
      </c>
      <c r="E162" s="16" t="s">
        <v>505</v>
      </c>
      <c r="F162" s="16" t="s">
        <v>654</v>
      </c>
      <c r="G162" s="16" t="s">
        <v>810</v>
      </c>
      <c r="H162" s="17">
        <v>43629</v>
      </c>
      <c r="I162" s="16">
        <v>5</v>
      </c>
      <c r="J162" s="16">
        <v>210</v>
      </c>
      <c r="K162" s="16">
        <v>0</v>
      </c>
      <c r="L162" s="16" t="s">
        <v>451</v>
      </c>
      <c r="M162" s="16" t="s">
        <v>451</v>
      </c>
      <c r="N162" s="16">
        <f t="shared" si="2"/>
        <v>0</v>
      </c>
      <c r="O162" s="22" t="s">
        <v>786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</row>
    <row r="163" spans="1:66" s="18" customFormat="1" ht="16" customHeight="1" x14ac:dyDescent="0.2">
      <c r="A163" s="18">
        <v>1378</v>
      </c>
      <c r="B163" s="18" t="s">
        <v>507</v>
      </c>
      <c r="C163" s="18" t="s">
        <v>803</v>
      </c>
      <c r="D163" s="18" t="s">
        <v>811</v>
      </c>
      <c r="E163" s="18" t="s">
        <v>505</v>
      </c>
      <c r="F163" s="18" t="s">
        <v>654</v>
      </c>
      <c r="G163" s="18" t="s">
        <v>812</v>
      </c>
      <c r="H163" s="19">
        <v>43633</v>
      </c>
      <c r="I163" s="18">
        <v>5</v>
      </c>
      <c r="J163" s="18">
        <v>210</v>
      </c>
      <c r="K163" s="18">
        <v>0</v>
      </c>
      <c r="L163" s="18" t="s">
        <v>490</v>
      </c>
      <c r="M163" s="18" t="s">
        <v>8</v>
      </c>
      <c r="N163" s="18">
        <f t="shared" si="2"/>
        <v>0</v>
      </c>
      <c r="O163" s="20" t="s">
        <v>451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</row>
    <row r="164" spans="1:66" s="18" customFormat="1" ht="16" customHeight="1" x14ac:dyDescent="0.2">
      <c r="A164" s="18">
        <v>1385</v>
      </c>
      <c r="B164" s="18" t="s">
        <v>507</v>
      </c>
      <c r="C164" s="18" t="s">
        <v>803</v>
      </c>
      <c r="D164" s="18" t="s">
        <v>811</v>
      </c>
      <c r="E164" s="18" t="s">
        <v>505</v>
      </c>
      <c r="F164" s="18" t="s">
        <v>654</v>
      </c>
      <c r="G164" s="18" t="s">
        <v>812</v>
      </c>
      <c r="H164" s="19">
        <v>43633</v>
      </c>
      <c r="I164" s="18">
        <v>5</v>
      </c>
      <c r="J164" s="18">
        <v>210</v>
      </c>
      <c r="K164" s="18">
        <v>5.2401918024499796</v>
      </c>
      <c r="L164" s="18" t="s">
        <v>490</v>
      </c>
      <c r="M164" s="18" t="s">
        <v>8</v>
      </c>
      <c r="N164" s="18">
        <f t="shared" si="2"/>
        <v>124.76647148690427</v>
      </c>
      <c r="O164" s="20" t="s">
        <v>451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</row>
    <row r="165" spans="1:66" s="16" customFormat="1" ht="16" customHeight="1" x14ac:dyDescent="0.2">
      <c r="A165" s="18">
        <v>1392</v>
      </c>
      <c r="B165" s="18" t="s">
        <v>507</v>
      </c>
      <c r="C165" s="18" t="s">
        <v>803</v>
      </c>
      <c r="D165" s="18" t="s">
        <v>811</v>
      </c>
      <c r="E165" s="18" t="s">
        <v>505</v>
      </c>
      <c r="F165" s="18" t="s">
        <v>654</v>
      </c>
      <c r="G165" s="18" t="s">
        <v>812</v>
      </c>
      <c r="H165" s="19">
        <v>43633</v>
      </c>
      <c r="I165" s="18">
        <v>5</v>
      </c>
      <c r="J165" s="18">
        <v>210</v>
      </c>
      <c r="K165" s="18">
        <v>0</v>
      </c>
      <c r="L165" s="18" t="s">
        <v>490</v>
      </c>
      <c r="M165" s="18" t="s">
        <v>8</v>
      </c>
      <c r="N165" s="18">
        <f t="shared" si="2"/>
        <v>0</v>
      </c>
      <c r="O165" s="20" t="s">
        <v>451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</row>
    <row r="166" spans="1:66" s="16" customFormat="1" ht="16" customHeight="1" x14ac:dyDescent="0.2">
      <c r="A166" s="18">
        <v>1399</v>
      </c>
      <c r="B166" s="18" t="s">
        <v>507</v>
      </c>
      <c r="C166" s="18" t="s">
        <v>803</v>
      </c>
      <c r="D166" s="18" t="s">
        <v>811</v>
      </c>
      <c r="E166" s="18" t="s">
        <v>505</v>
      </c>
      <c r="F166" s="18" t="s">
        <v>654</v>
      </c>
      <c r="G166" s="18" t="s">
        <v>813</v>
      </c>
      <c r="H166" s="19">
        <v>43633</v>
      </c>
      <c r="I166" s="18">
        <v>5</v>
      </c>
      <c r="J166" s="18">
        <v>210</v>
      </c>
      <c r="K166" s="18">
        <v>0</v>
      </c>
      <c r="L166" s="18" t="s">
        <v>490</v>
      </c>
      <c r="M166" s="18" t="s">
        <v>8</v>
      </c>
      <c r="N166" s="18">
        <f t="shared" si="2"/>
        <v>0</v>
      </c>
      <c r="O166" s="20" t="s">
        <v>451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</row>
    <row r="167" spans="1:66" s="16" customFormat="1" ht="16" customHeight="1" x14ac:dyDescent="0.2">
      <c r="A167" s="18">
        <v>1406</v>
      </c>
      <c r="B167" s="18" t="s">
        <v>507</v>
      </c>
      <c r="C167" s="18" t="s">
        <v>803</v>
      </c>
      <c r="D167" s="18" t="s">
        <v>811</v>
      </c>
      <c r="E167" s="18" t="s">
        <v>505</v>
      </c>
      <c r="F167" s="18" t="s">
        <v>654</v>
      </c>
      <c r="G167" s="18" t="s">
        <v>813</v>
      </c>
      <c r="H167" s="19">
        <v>43633</v>
      </c>
      <c r="I167" s="18">
        <v>5</v>
      </c>
      <c r="J167" s="18">
        <v>210</v>
      </c>
      <c r="K167" s="18">
        <v>0</v>
      </c>
      <c r="L167" s="18" t="s">
        <v>490</v>
      </c>
      <c r="M167" s="18" t="s">
        <v>8</v>
      </c>
      <c r="N167" s="18">
        <f t="shared" si="2"/>
        <v>0</v>
      </c>
      <c r="O167" s="20" t="s">
        <v>451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</row>
    <row r="168" spans="1:66" s="16" customFormat="1" ht="16" customHeight="1" x14ac:dyDescent="0.2">
      <c r="A168" s="18">
        <v>1413</v>
      </c>
      <c r="B168" s="18" t="s">
        <v>507</v>
      </c>
      <c r="C168" s="18" t="s">
        <v>803</v>
      </c>
      <c r="D168" s="18" t="s">
        <v>811</v>
      </c>
      <c r="E168" s="18" t="s">
        <v>505</v>
      </c>
      <c r="F168" s="18" t="s">
        <v>654</v>
      </c>
      <c r="G168" s="18" t="s">
        <v>813</v>
      </c>
      <c r="H168" s="19">
        <v>43633</v>
      </c>
      <c r="I168" s="18">
        <v>5</v>
      </c>
      <c r="J168" s="18">
        <v>210</v>
      </c>
      <c r="K168" s="18">
        <v>0</v>
      </c>
      <c r="L168" s="18" t="s">
        <v>490</v>
      </c>
      <c r="M168" s="18" t="s">
        <v>8</v>
      </c>
      <c r="N168" s="18">
        <f t="shared" si="2"/>
        <v>0</v>
      </c>
      <c r="O168" s="20" t="s">
        <v>451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</row>
    <row r="169" spans="1:66" s="16" customFormat="1" ht="16" customHeight="1" x14ac:dyDescent="0.2">
      <c r="A169" s="18">
        <v>1379</v>
      </c>
      <c r="B169" s="18" t="s">
        <v>507</v>
      </c>
      <c r="C169" s="18" t="s">
        <v>803</v>
      </c>
      <c r="D169" s="18" t="s">
        <v>811</v>
      </c>
      <c r="E169" s="18" t="s">
        <v>505</v>
      </c>
      <c r="F169" s="18" t="s">
        <v>654</v>
      </c>
      <c r="G169" s="18" t="s">
        <v>814</v>
      </c>
      <c r="H169" s="19">
        <v>43633</v>
      </c>
      <c r="I169" s="18">
        <v>5</v>
      </c>
      <c r="J169" s="18">
        <v>210</v>
      </c>
      <c r="K169" s="18">
        <v>8.3151560910986994E-2</v>
      </c>
      <c r="L169" s="18" t="s">
        <v>490</v>
      </c>
      <c r="M169" s="18" t="s">
        <v>8</v>
      </c>
      <c r="N169" s="18">
        <f t="shared" si="2"/>
        <v>1.979799069309214</v>
      </c>
      <c r="O169" s="20" t="s">
        <v>451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</row>
    <row r="170" spans="1:66" s="16" customFormat="1" ht="16" customHeight="1" x14ac:dyDescent="0.2">
      <c r="A170" s="18">
        <v>1386</v>
      </c>
      <c r="B170" s="18" t="s">
        <v>507</v>
      </c>
      <c r="C170" s="18" t="s">
        <v>803</v>
      </c>
      <c r="D170" s="18" t="s">
        <v>811</v>
      </c>
      <c r="E170" s="18" t="s">
        <v>505</v>
      </c>
      <c r="F170" s="18" t="s">
        <v>654</v>
      </c>
      <c r="G170" s="18" t="s">
        <v>814</v>
      </c>
      <c r="H170" s="19">
        <v>43633</v>
      </c>
      <c r="I170" s="18">
        <v>5</v>
      </c>
      <c r="J170" s="18">
        <v>210</v>
      </c>
      <c r="K170" s="18">
        <v>0</v>
      </c>
      <c r="L170" s="18" t="s">
        <v>490</v>
      </c>
      <c r="M170" s="18" t="s">
        <v>8</v>
      </c>
      <c r="N170" s="18">
        <f t="shared" si="2"/>
        <v>0</v>
      </c>
      <c r="O170" s="20" t="s">
        <v>451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</row>
    <row r="171" spans="1:66" s="16" customFormat="1" ht="16" customHeight="1" x14ac:dyDescent="0.2">
      <c r="A171" s="18">
        <v>1393</v>
      </c>
      <c r="B171" s="18" t="s">
        <v>507</v>
      </c>
      <c r="C171" s="18" t="s">
        <v>803</v>
      </c>
      <c r="D171" s="18" t="s">
        <v>811</v>
      </c>
      <c r="E171" s="18" t="s">
        <v>505</v>
      </c>
      <c r="F171" s="18" t="s">
        <v>654</v>
      </c>
      <c r="G171" s="18" t="s">
        <v>814</v>
      </c>
      <c r="H171" s="19">
        <v>43633</v>
      </c>
      <c r="I171" s="18">
        <v>5</v>
      </c>
      <c r="J171" s="18">
        <v>210</v>
      </c>
      <c r="K171" s="18">
        <v>0</v>
      </c>
      <c r="L171" s="18" t="s">
        <v>490</v>
      </c>
      <c r="M171" s="18" t="s">
        <v>8</v>
      </c>
      <c r="N171" s="18">
        <f t="shared" si="2"/>
        <v>0</v>
      </c>
      <c r="O171" s="20" t="s">
        <v>451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</row>
    <row r="172" spans="1:66" s="16" customFormat="1" ht="16" customHeight="1" x14ac:dyDescent="0.2">
      <c r="A172" s="18">
        <v>1400</v>
      </c>
      <c r="B172" s="18" t="s">
        <v>507</v>
      </c>
      <c r="C172" s="18" t="s">
        <v>803</v>
      </c>
      <c r="D172" s="18" t="s">
        <v>811</v>
      </c>
      <c r="E172" s="18" t="s">
        <v>505</v>
      </c>
      <c r="F172" s="18" t="s">
        <v>654</v>
      </c>
      <c r="G172" s="18" t="s">
        <v>815</v>
      </c>
      <c r="H172" s="19">
        <v>43633</v>
      </c>
      <c r="I172" s="18">
        <v>5</v>
      </c>
      <c r="J172" s="18">
        <v>210</v>
      </c>
      <c r="K172" s="18">
        <v>0</v>
      </c>
      <c r="L172" s="18" t="s">
        <v>490</v>
      </c>
      <c r="M172" s="18" t="s">
        <v>8</v>
      </c>
      <c r="N172" s="18">
        <f t="shared" si="2"/>
        <v>0</v>
      </c>
      <c r="O172" s="20" t="s">
        <v>786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</row>
    <row r="173" spans="1:66" s="18" customFormat="1" ht="16" customHeight="1" x14ac:dyDescent="0.2">
      <c r="A173" s="18">
        <v>1407</v>
      </c>
      <c r="B173" s="18" t="s">
        <v>507</v>
      </c>
      <c r="C173" s="18" t="s">
        <v>803</v>
      </c>
      <c r="D173" s="18" t="s">
        <v>811</v>
      </c>
      <c r="E173" s="18" t="s">
        <v>505</v>
      </c>
      <c r="F173" s="18" t="s">
        <v>654</v>
      </c>
      <c r="G173" s="18" t="s">
        <v>815</v>
      </c>
      <c r="H173" s="19">
        <v>43633</v>
      </c>
      <c r="I173" s="18">
        <v>5</v>
      </c>
      <c r="J173" s="18">
        <v>210</v>
      </c>
      <c r="K173" s="18">
        <v>0</v>
      </c>
      <c r="L173" s="18" t="s">
        <v>490</v>
      </c>
      <c r="M173" s="18" t="s">
        <v>8</v>
      </c>
      <c r="N173" s="18">
        <f t="shared" si="2"/>
        <v>0</v>
      </c>
      <c r="O173" s="20" t="s">
        <v>786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</row>
    <row r="174" spans="1:66" s="18" customFormat="1" ht="16" customHeight="1" x14ac:dyDescent="0.2">
      <c r="A174" s="18">
        <v>1414</v>
      </c>
      <c r="B174" s="18" t="s">
        <v>507</v>
      </c>
      <c r="C174" s="18" t="s">
        <v>803</v>
      </c>
      <c r="D174" s="18" t="s">
        <v>811</v>
      </c>
      <c r="E174" s="18" t="s">
        <v>505</v>
      </c>
      <c r="F174" s="18" t="s">
        <v>654</v>
      </c>
      <c r="G174" s="18" t="s">
        <v>815</v>
      </c>
      <c r="H174" s="19">
        <v>43633</v>
      </c>
      <c r="I174" s="18">
        <v>5</v>
      </c>
      <c r="J174" s="18">
        <v>210</v>
      </c>
      <c r="K174" s="18">
        <v>0</v>
      </c>
      <c r="L174" s="18" t="s">
        <v>490</v>
      </c>
      <c r="M174" s="18" t="s">
        <v>8</v>
      </c>
      <c r="N174" s="18">
        <f t="shared" si="2"/>
        <v>0</v>
      </c>
      <c r="O174" s="20" t="s">
        <v>786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</row>
    <row r="175" spans="1:66" s="18" customFormat="1" ht="16" customHeight="1" x14ac:dyDescent="0.2">
      <c r="A175" s="18">
        <v>1380</v>
      </c>
      <c r="B175" s="18" t="s">
        <v>507</v>
      </c>
      <c r="C175" s="18" t="s">
        <v>803</v>
      </c>
      <c r="D175" s="18" t="s">
        <v>811</v>
      </c>
      <c r="E175" s="18" t="s">
        <v>505</v>
      </c>
      <c r="F175" s="18" t="s">
        <v>654</v>
      </c>
      <c r="G175" s="18" t="s">
        <v>816</v>
      </c>
      <c r="H175" s="19">
        <v>43633</v>
      </c>
      <c r="I175" s="18">
        <v>5</v>
      </c>
      <c r="J175" s="18">
        <v>210</v>
      </c>
      <c r="K175" s="18">
        <v>0</v>
      </c>
      <c r="L175" s="18" t="s">
        <v>490</v>
      </c>
      <c r="M175" s="18" t="s">
        <v>8</v>
      </c>
      <c r="N175" s="18">
        <f t="shared" si="2"/>
        <v>0</v>
      </c>
      <c r="O175" s="20" t="s">
        <v>786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</row>
    <row r="176" spans="1:66" s="18" customFormat="1" ht="16" customHeight="1" x14ac:dyDescent="0.2">
      <c r="A176" s="18">
        <v>1387</v>
      </c>
      <c r="B176" s="18" t="s">
        <v>507</v>
      </c>
      <c r="C176" s="18" t="s">
        <v>803</v>
      </c>
      <c r="D176" s="18" t="s">
        <v>811</v>
      </c>
      <c r="E176" s="18" t="s">
        <v>505</v>
      </c>
      <c r="F176" s="18" t="s">
        <v>654</v>
      </c>
      <c r="G176" s="18" t="s">
        <v>816</v>
      </c>
      <c r="H176" s="19">
        <v>43633</v>
      </c>
      <c r="I176" s="18">
        <v>5</v>
      </c>
      <c r="J176" s="18">
        <v>210</v>
      </c>
      <c r="K176" s="18">
        <v>0</v>
      </c>
      <c r="L176" s="18" t="s">
        <v>490</v>
      </c>
      <c r="M176" s="18" t="s">
        <v>8</v>
      </c>
      <c r="N176" s="18">
        <f t="shared" si="2"/>
        <v>0</v>
      </c>
      <c r="O176" s="20" t="s">
        <v>786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</row>
    <row r="177" spans="1:66" s="18" customFormat="1" ht="16" customHeight="1" x14ac:dyDescent="0.2">
      <c r="A177" s="18">
        <v>1394</v>
      </c>
      <c r="B177" s="18" t="s">
        <v>507</v>
      </c>
      <c r="C177" s="18" t="s">
        <v>803</v>
      </c>
      <c r="D177" s="18" t="s">
        <v>811</v>
      </c>
      <c r="E177" s="18" t="s">
        <v>505</v>
      </c>
      <c r="F177" s="18" t="s">
        <v>654</v>
      </c>
      <c r="G177" s="18" t="s">
        <v>816</v>
      </c>
      <c r="H177" s="19">
        <v>43633</v>
      </c>
      <c r="I177" s="18">
        <v>5</v>
      </c>
      <c r="J177" s="18">
        <v>210</v>
      </c>
      <c r="K177" s="18">
        <v>0</v>
      </c>
      <c r="L177" s="18" t="s">
        <v>490</v>
      </c>
      <c r="M177" s="18" t="s">
        <v>8</v>
      </c>
      <c r="N177" s="18">
        <f t="shared" si="2"/>
        <v>0</v>
      </c>
      <c r="O177" s="20" t="s">
        <v>786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</row>
    <row r="178" spans="1:66" s="18" customFormat="1" ht="16" customHeight="1" x14ac:dyDescent="0.2">
      <c r="A178" s="18">
        <v>1401</v>
      </c>
      <c r="B178" s="18" t="s">
        <v>507</v>
      </c>
      <c r="C178" s="18" t="s">
        <v>803</v>
      </c>
      <c r="D178" s="18" t="s">
        <v>811</v>
      </c>
      <c r="E178" s="18" t="s">
        <v>505</v>
      </c>
      <c r="F178" s="18" t="s">
        <v>654</v>
      </c>
      <c r="G178" s="18" t="s">
        <v>817</v>
      </c>
      <c r="H178" s="19">
        <v>43633</v>
      </c>
      <c r="I178" s="18">
        <v>5</v>
      </c>
      <c r="J178" s="18">
        <v>210</v>
      </c>
      <c r="K178" s="18">
        <v>0.79402837991485697</v>
      </c>
      <c r="L178" s="18" t="s">
        <v>490</v>
      </c>
      <c r="M178" s="18" t="s">
        <v>8</v>
      </c>
      <c r="N178" s="18">
        <f t="shared" si="2"/>
        <v>18.905437617020404</v>
      </c>
      <c r="O178" s="20" t="s">
        <v>786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</row>
    <row r="179" spans="1:66" s="18" customFormat="1" ht="16" customHeight="1" x14ac:dyDescent="0.2">
      <c r="A179" s="18">
        <v>1408</v>
      </c>
      <c r="B179" s="18" t="s">
        <v>507</v>
      </c>
      <c r="C179" s="18" t="s">
        <v>803</v>
      </c>
      <c r="D179" s="18" t="s">
        <v>811</v>
      </c>
      <c r="E179" s="18" t="s">
        <v>505</v>
      </c>
      <c r="F179" s="18" t="s">
        <v>654</v>
      </c>
      <c r="G179" s="18" t="s">
        <v>817</v>
      </c>
      <c r="H179" s="19">
        <v>43633</v>
      </c>
      <c r="I179" s="18">
        <v>5</v>
      </c>
      <c r="J179" s="18">
        <v>210</v>
      </c>
      <c r="K179" s="18">
        <v>0</v>
      </c>
      <c r="L179" s="18" t="s">
        <v>490</v>
      </c>
      <c r="M179" s="18" t="s">
        <v>8</v>
      </c>
      <c r="N179" s="18">
        <f t="shared" si="2"/>
        <v>0</v>
      </c>
      <c r="O179" s="20" t="s">
        <v>786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</row>
    <row r="180" spans="1:66" s="18" customFormat="1" ht="16" customHeight="1" x14ac:dyDescent="0.2">
      <c r="A180" s="18">
        <v>1415</v>
      </c>
      <c r="B180" s="18" t="s">
        <v>507</v>
      </c>
      <c r="C180" s="18" t="s">
        <v>803</v>
      </c>
      <c r="D180" s="18" t="s">
        <v>811</v>
      </c>
      <c r="E180" s="18" t="s">
        <v>505</v>
      </c>
      <c r="F180" s="18" t="s">
        <v>654</v>
      </c>
      <c r="G180" s="18" t="s">
        <v>817</v>
      </c>
      <c r="H180" s="19">
        <v>43633</v>
      </c>
      <c r="I180" s="18">
        <v>5</v>
      </c>
      <c r="J180" s="18">
        <v>210</v>
      </c>
      <c r="K180" s="18">
        <v>0</v>
      </c>
      <c r="L180" s="18" t="s">
        <v>490</v>
      </c>
      <c r="M180" s="18" t="s">
        <v>8</v>
      </c>
      <c r="N180" s="18">
        <f t="shared" si="2"/>
        <v>0</v>
      </c>
      <c r="O180" s="20" t="s">
        <v>786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</row>
    <row r="181" spans="1:66" s="18" customFormat="1" ht="16" customHeight="1" x14ac:dyDescent="0.2">
      <c r="A181" s="16">
        <v>1402</v>
      </c>
      <c r="B181" s="16" t="s">
        <v>509</v>
      </c>
      <c r="C181" s="16" t="s">
        <v>818</v>
      </c>
      <c r="D181" s="16" t="s">
        <v>819</v>
      </c>
      <c r="E181" s="16" t="s">
        <v>511</v>
      </c>
      <c r="F181" s="16" t="s">
        <v>654</v>
      </c>
      <c r="G181" s="16" t="s">
        <v>820</v>
      </c>
      <c r="H181" s="17">
        <v>44328</v>
      </c>
      <c r="I181" s="16">
        <v>5</v>
      </c>
      <c r="J181" s="16">
        <v>150</v>
      </c>
      <c r="K181" s="16">
        <v>0</v>
      </c>
      <c r="L181" s="16" t="s">
        <v>490</v>
      </c>
      <c r="M181" s="16" t="s">
        <v>8</v>
      </c>
      <c r="N181" s="16">
        <f t="shared" si="2"/>
        <v>0</v>
      </c>
      <c r="O181" s="22" t="s">
        <v>451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</row>
    <row r="182" spans="1:66" s="16" customFormat="1" ht="16" customHeight="1" x14ac:dyDescent="0.2">
      <c r="A182" s="16">
        <v>1409</v>
      </c>
      <c r="B182" s="16" t="s">
        <v>509</v>
      </c>
      <c r="C182" s="16" t="s">
        <v>818</v>
      </c>
      <c r="D182" s="16" t="s">
        <v>819</v>
      </c>
      <c r="E182" s="16" t="s">
        <v>511</v>
      </c>
      <c r="F182" s="16" t="s">
        <v>654</v>
      </c>
      <c r="G182" s="16" t="s">
        <v>820</v>
      </c>
      <c r="H182" s="17">
        <v>44328</v>
      </c>
      <c r="I182" s="16">
        <v>5</v>
      </c>
      <c r="J182" s="16">
        <v>150</v>
      </c>
      <c r="K182" s="16">
        <v>0</v>
      </c>
      <c r="L182" s="16" t="s">
        <v>490</v>
      </c>
      <c r="M182" s="16" t="s">
        <v>8</v>
      </c>
      <c r="N182" s="16">
        <f t="shared" si="2"/>
        <v>0</v>
      </c>
      <c r="O182" s="22" t="s">
        <v>451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</row>
    <row r="183" spans="1:66" s="16" customFormat="1" ht="16" customHeight="1" x14ac:dyDescent="0.2">
      <c r="A183" s="16">
        <v>1416</v>
      </c>
      <c r="B183" s="16" t="s">
        <v>509</v>
      </c>
      <c r="C183" s="16" t="s">
        <v>818</v>
      </c>
      <c r="D183" s="16" t="s">
        <v>819</v>
      </c>
      <c r="E183" s="16" t="s">
        <v>511</v>
      </c>
      <c r="F183" s="16" t="s">
        <v>654</v>
      </c>
      <c r="G183" s="16" t="s">
        <v>820</v>
      </c>
      <c r="H183" s="17">
        <v>44328</v>
      </c>
      <c r="I183" s="16">
        <v>5</v>
      </c>
      <c r="J183" s="16">
        <v>150</v>
      </c>
      <c r="K183" s="16">
        <v>0</v>
      </c>
      <c r="L183" s="16" t="s">
        <v>490</v>
      </c>
      <c r="M183" s="16" t="s">
        <v>8</v>
      </c>
      <c r="N183" s="16">
        <f t="shared" si="2"/>
        <v>0</v>
      </c>
      <c r="O183" s="22" t="s">
        <v>451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</row>
    <row r="184" spans="1:66" s="16" customFormat="1" ht="16" customHeight="1" x14ac:dyDescent="0.2">
      <c r="A184" s="16">
        <v>1382</v>
      </c>
      <c r="B184" s="16" t="s">
        <v>509</v>
      </c>
      <c r="C184" s="16" t="s">
        <v>818</v>
      </c>
      <c r="D184" s="16" t="s">
        <v>819</v>
      </c>
      <c r="E184" s="16" t="s">
        <v>511</v>
      </c>
      <c r="F184" s="16" t="s">
        <v>654</v>
      </c>
      <c r="G184" s="16" t="s">
        <v>821</v>
      </c>
      <c r="H184" s="17">
        <v>44328</v>
      </c>
      <c r="I184" s="16">
        <v>5</v>
      </c>
      <c r="J184" s="16">
        <v>150</v>
      </c>
      <c r="K184" s="16">
        <v>0</v>
      </c>
      <c r="L184" s="16" t="s">
        <v>490</v>
      </c>
      <c r="M184" s="16" t="s">
        <v>8</v>
      </c>
      <c r="N184" s="16">
        <f t="shared" si="2"/>
        <v>0</v>
      </c>
      <c r="O184" s="22" t="s">
        <v>451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</row>
    <row r="185" spans="1:66" s="16" customFormat="1" ht="16" customHeight="1" x14ac:dyDescent="0.2">
      <c r="A185" s="16">
        <v>1389</v>
      </c>
      <c r="B185" s="16" t="s">
        <v>509</v>
      </c>
      <c r="C185" s="16" t="s">
        <v>818</v>
      </c>
      <c r="D185" s="16" t="s">
        <v>819</v>
      </c>
      <c r="E185" s="16" t="s">
        <v>511</v>
      </c>
      <c r="F185" s="16" t="s">
        <v>654</v>
      </c>
      <c r="G185" s="16" t="s">
        <v>821</v>
      </c>
      <c r="H185" s="17">
        <v>44328</v>
      </c>
      <c r="I185" s="16">
        <v>5</v>
      </c>
      <c r="J185" s="16">
        <v>150</v>
      </c>
      <c r="K185" s="16">
        <v>0</v>
      </c>
      <c r="L185" s="16" t="s">
        <v>490</v>
      </c>
      <c r="M185" s="16" t="s">
        <v>8</v>
      </c>
      <c r="N185" s="16">
        <f t="shared" si="2"/>
        <v>0</v>
      </c>
      <c r="O185" s="22" t="s">
        <v>451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</row>
    <row r="186" spans="1:66" s="16" customFormat="1" ht="16" customHeight="1" x14ac:dyDescent="0.2">
      <c r="A186" s="16">
        <v>1396</v>
      </c>
      <c r="B186" s="16" t="s">
        <v>509</v>
      </c>
      <c r="C186" s="16" t="s">
        <v>818</v>
      </c>
      <c r="D186" s="16" t="s">
        <v>819</v>
      </c>
      <c r="E186" s="16" t="s">
        <v>511</v>
      </c>
      <c r="F186" s="16" t="s">
        <v>654</v>
      </c>
      <c r="G186" s="16" t="s">
        <v>821</v>
      </c>
      <c r="H186" s="17">
        <v>44328</v>
      </c>
      <c r="I186" s="16">
        <v>5</v>
      </c>
      <c r="J186" s="16">
        <v>150</v>
      </c>
      <c r="K186" s="16">
        <v>0</v>
      </c>
      <c r="L186" s="16" t="s">
        <v>490</v>
      </c>
      <c r="M186" s="16" t="s">
        <v>8</v>
      </c>
      <c r="N186" s="16">
        <f t="shared" si="2"/>
        <v>0</v>
      </c>
      <c r="O186" s="22" t="s">
        <v>451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</row>
    <row r="187" spans="1:66" s="16" customFormat="1" ht="16" customHeight="1" x14ac:dyDescent="0.2">
      <c r="A187" s="16">
        <v>1403</v>
      </c>
      <c r="B187" s="16" t="s">
        <v>509</v>
      </c>
      <c r="C187" s="16" t="s">
        <v>818</v>
      </c>
      <c r="D187" s="16" t="s">
        <v>819</v>
      </c>
      <c r="E187" s="16" t="s">
        <v>511</v>
      </c>
      <c r="F187" s="16" t="s">
        <v>654</v>
      </c>
      <c r="G187" s="16" t="s">
        <v>822</v>
      </c>
      <c r="H187" s="17">
        <v>44328</v>
      </c>
      <c r="I187" s="16">
        <v>5</v>
      </c>
      <c r="J187" s="16">
        <v>150</v>
      </c>
      <c r="K187" s="16">
        <v>0</v>
      </c>
      <c r="L187" s="16" t="s">
        <v>490</v>
      </c>
      <c r="M187" s="16" t="s">
        <v>8</v>
      </c>
      <c r="N187" s="16">
        <f t="shared" si="2"/>
        <v>0</v>
      </c>
      <c r="O187" s="22" t="s">
        <v>451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</row>
    <row r="188" spans="1:66" s="16" customFormat="1" ht="16" customHeight="1" x14ac:dyDescent="0.2">
      <c r="A188" s="16">
        <v>1410</v>
      </c>
      <c r="B188" s="16" t="s">
        <v>509</v>
      </c>
      <c r="C188" s="16" t="s">
        <v>818</v>
      </c>
      <c r="D188" s="16" t="s">
        <v>819</v>
      </c>
      <c r="E188" s="16" t="s">
        <v>511</v>
      </c>
      <c r="F188" s="16" t="s">
        <v>654</v>
      </c>
      <c r="G188" s="16" t="s">
        <v>822</v>
      </c>
      <c r="H188" s="17">
        <v>44328</v>
      </c>
      <c r="I188" s="16">
        <v>5</v>
      </c>
      <c r="J188" s="16">
        <v>150</v>
      </c>
      <c r="K188" s="16">
        <v>0</v>
      </c>
      <c r="L188" s="16" t="s">
        <v>490</v>
      </c>
      <c r="M188" s="16" t="s">
        <v>8</v>
      </c>
      <c r="N188" s="16">
        <f t="shared" si="2"/>
        <v>0</v>
      </c>
      <c r="O188" s="22" t="s">
        <v>451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</row>
    <row r="189" spans="1:66" s="16" customFormat="1" ht="16" customHeight="1" x14ac:dyDescent="0.2">
      <c r="A189" s="16">
        <v>1417</v>
      </c>
      <c r="B189" s="16" t="s">
        <v>509</v>
      </c>
      <c r="C189" s="16" t="s">
        <v>818</v>
      </c>
      <c r="D189" s="16" t="s">
        <v>819</v>
      </c>
      <c r="E189" s="16" t="s">
        <v>511</v>
      </c>
      <c r="F189" s="16" t="s">
        <v>654</v>
      </c>
      <c r="G189" s="16" t="s">
        <v>822</v>
      </c>
      <c r="H189" s="17">
        <v>44328</v>
      </c>
      <c r="I189" s="16">
        <v>5</v>
      </c>
      <c r="J189" s="16">
        <v>150</v>
      </c>
      <c r="K189" s="16">
        <v>0</v>
      </c>
      <c r="L189" s="16" t="s">
        <v>490</v>
      </c>
      <c r="M189" s="16" t="s">
        <v>8</v>
      </c>
      <c r="N189" s="16">
        <f t="shared" si="2"/>
        <v>0</v>
      </c>
      <c r="O189" s="22" t="s">
        <v>451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</row>
    <row r="190" spans="1:66" s="16" customFormat="1" ht="16" customHeight="1" x14ac:dyDescent="0.2">
      <c r="A190" s="18">
        <v>1383</v>
      </c>
      <c r="B190" s="18" t="s">
        <v>514</v>
      </c>
      <c r="C190" s="18" t="s">
        <v>823</v>
      </c>
      <c r="D190" s="18" t="s">
        <v>824</v>
      </c>
      <c r="E190" s="18" t="s">
        <v>516</v>
      </c>
      <c r="F190" s="18" t="s">
        <v>654</v>
      </c>
      <c r="G190" s="18" t="s">
        <v>825</v>
      </c>
      <c r="H190" s="19">
        <v>44328</v>
      </c>
      <c r="I190" s="18">
        <v>5</v>
      </c>
      <c r="J190" s="18">
        <v>150</v>
      </c>
      <c r="K190" s="18">
        <v>44.034055936168897</v>
      </c>
      <c r="L190" s="18" t="s">
        <v>490</v>
      </c>
      <c r="M190" s="18" t="s">
        <v>8</v>
      </c>
      <c r="N190" s="18">
        <f t="shared" si="2"/>
        <v>1467.8018645389634</v>
      </c>
      <c r="O190" s="20" t="s">
        <v>451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</row>
    <row r="191" spans="1:66" s="16" customFormat="1" ht="16" customHeight="1" x14ac:dyDescent="0.2">
      <c r="A191" s="18">
        <v>1390</v>
      </c>
      <c r="B191" s="18" t="s">
        <v>514</v>
      </c>
      <c r="C191" s="18" t="s">
        <v>823</v>
      </c>
      <c r="D191" s="18" t="s">
        <v>824</v>
      </c>
      <c r="E191" s="18" t="s">
        <v>516</v>
      </c>
      <c r="F191" s="18" t="s">
        <v>654</v>
      </c>
      <c r="G191" s="18" t="s">
        <v>825</v>
      </c>
      <c r="H191" s="19">
        <v>44328</v>
      </c>
      <c r="I191" s="18">
        <v>5</v>
      </c>
      <c r="J191" s="18">
        <v>150</v>
      </c>
      <c r="K191" s="18">
        <v>51.751186234182398</v>
      </c>
      <c r="L191" s="18" t="s">
        <v>490</v>
      </c>
      <c r="M191" s="18" t="s">
        <v>8</v>
      </c>
      <c r="N191" s="18">
        <f t="shared" si="2"/>
        <v>1725.0395411394134</v>
      </c>
      <c r="O191" s="20" t="s">
        <v>451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</row>
    <row r="192" spans="1:66" s="16" customFormat="1" ht="16" customHeight="1" x14ac:dyDescent="0.2">
      <c r="A192" s="18">
        <v>1397</v>
      </c>
      <c r="B192" s="18" t="s">
        <v>514</v>
      </c>
      <c r="C192" s="18" t="s">
        <v>823</v>
      </c>
      <c r="D192" s="18" t="s">
        <v>824</v>
      </c>
      <c r="E192" s="18" t="s">
        <v>516</v>
      </c>
      <c r="F192" s="18" t="s">
        <v>654</v>
      </c>
      <c r="G192" s="18" t="s">
        <v>825</v>
      </c>
      <c r="H192" s="19">
        <v>44328</v>
      </c>
      <c r="I192" s="18">
        <v>5</v>
      </c>
      <c r="J192" s="18">
        <v>150</v>
      </c>
      <c r="K192" s="18">
        <v>35.521352649558999</v>
      </c>
      <c r="L192" s="18" t="s">
        <v>490</v>
      </c>
      <c r="M192" s="18" t="s">
        <v>8</v>
      </c>
      <c r="N192" s="18">
        <f t="shared" si="2"/>
        <v>1184.0450883186334</v>
      </c>
      <c r="O192" s="20" t="s">
        <v>451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</row>
    <row r="193" spans="1:66" s="16" customFormat="1" ht="16" customHeight="1" x14ac:dyDescent="0.2">
      <c r="A193" s="18">
        <v>1404</v>
      </c>
      <c r="B193" s="18" t="s">
        <v>514</v>
      </c>
      <c r="C193" s="18" t="s">
        <v>823</v>
      </c>
      <c r="D193" s="18" t="s">
        <v>824</v>
      </c>
      <c r="E193" s="18" t="s">
        <v>516</v>
      </c>
      <c r="F193" s="18" t="s">
        <v>654</v>
      </c>
      <c r="G193" s="18" t="s">
        <v>826</v>
      </c>
      <c r="H193" s="19">
        <v>44328</v>
      </c>
      <c r="I193" s="18">
        <v>5</v>
      </c>
      <c r="J193" s="18">
        <v>150</v>
      </c>
      <c r="K193" s="18">
        <v>40.922565958978403</v>
      </c>
      <c r="L193" s="18" t="s">
        <v>490</v>
      </c>
      <c r="M193" s="18" t="s">
        <v>8</v>
      </c>
      <c r="N193" s="18">
        <f t="shared" si="2"/>
        <v>1364.0855319659468</v>
      </c>
      <c r="O193" s="20" t="s">
        <v>451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</row>
    <row r="194" spans="1:66" s="16" customFormat="1" ht="16" customHeight="1" x14ac:dyDescent="0.2">
      <c r="A194" s="18">
        <v>1411</v>
      </c>
      <c r="B194" s="18" t="s">
        <v>514</v>
      </c>
      <c r="C194" s="18" t="s">
        <v>823</v>
      </c>
      <c r="D194" s="18" t="s">
        <v>824</v>
      </c>
      <c r="E194" s="18" t="s">
        <v>516</v>
      </c>
      <c r="F194" s="18" t="s">
        <v>654</v>
      </c>
      <c r="G194" s="18" t="s">
        <v>826</v>
      </c>
      <c r="H194" s="19">
        <v>44328</v>
      </c>
      <c r="I194" s="18">
        <v>5</v>
      </c>
      <c r="J194" s="18">
        <v>150</v>
      </c>
      <c r="K194" s="18">
        <v>69.555133312032694</v>
      </c>
      <c r="L194" s="18" t="s">
        <v>490</v>
      </c>
      <c r="M194" s="18" t="s">
        <v>8</v>
      </c>
      <c r="N194" s="18">
        <f t="shared" si="2"/>
        <v>2318.5044437344231</v>
      </c>
      <c r="O194" s="20" t="s">
        <v>451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</row>
    <row r="195" spans="1:66" s="16" customFormat="1" ht="16" customHeight="1" x14ac:dyDescent="0.2">
      <c r="A195" s="18">
        <v>1418</v>
      </c>
      <c r="B195" s="18" t="s">
        <v>514</v>
      </c>
      <c r="C195" s="18" t="s">
        <v>823</v>
      </c>
      <c r="D195" s="18" t="s">
        <v>824</v>
      </c>
      <c r="E195" s="18" t="s">
        <v>516</v>
      </c>
      <c r="F195" s="18" t="s">
        <v>654</v>
      </c>
      <c r="G195" s="18" t="s">
        <v>826</v>
      </c>
      <c r="H195" s="19">
        <v>44328</v>
      </c>
      <c r="I195" s="18">
        <v>5</v>
      </c>
      <c r="J195" s="18">
        <v>150</v>
      </c>
      <c r="K195" s="18">
        <v>70.340205550942102</v>
      </c>
      <c r="L195" s="18" t="s">
        <v>490</v>
      </c>
      <c r="M195" s="18" t="s">
        <v>8</v>
      </c>
      <c r="N195" s="18">
        <f t="shared" si="2"/>
        <v>2344.6735183647365</v>
      </c>
      <c r="O195" s="20" t="s">
        <v>451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</row>
    <row r="196" spans="1:66" s="16" customFormat="1" ht="16" customHeight="1" x14ac:dyDescent="0.2">
      <c r="A196" s="18">
        <v>1384</v>
      </c>
      <c r="B196" s="18" t="s">
        <v>514</v>
      </c>
      <c r="C196" s="18" t="s">
        <v>823</v>
      </c>
      <c r="D196" s="18" t="s">
        <v>824</v>
      </c>
      <c r="E196" s="18" t="s">
        <v>516</v>
      </c>
      <c r="F196" s="18" t="s">
        <v>654</v>
      </c>
      <c r="G196" s="18" t="s">
        <v>827</v>
      </c>
      <c r="H196" s="19">
        <v>44328</v>
      </c>
      <c r="I196" s="18">
        <v>5</v>
      </c>
      <c r="J196" s="18">
        <v>150</v>
      </c>
      <c r="K196" s="18">
        <v>61.970287618636902</v>
      </c>
      <c r="L196" s="18" t="s">
        <v>490</v>
      </c>
      <c r="M196" s="18" t="s">
        <v>8</v>
      </c>
      <c r="N196" s="18">
        <f t="shared" ref="N196:N259" si="3">K196*I196*(1000/J196)</f>
        <v>2065.6762539545634</v>
      </c>
      <c r="O196" s="20" t="s">
        <v>451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</row>
    <row r="197" spans="1:66" s="16" customFormat="1" ht="16" customHeight="1" x14ac:dyDescent="0.2">
      <c r="A197" s="18">
        <v>1391</v>
      </c>
      <c r="B197" s="18" t="s">
        <v>514</v>
      </c>
      <c r="C197" s="18" t="s">
        <v>823</v>
      </c>
      <c r="D197" s="18" t="s">
        <v>824</v>
      </c>
      <c r="E197" s="18" t="s">
        <v>516</v>
      </c>
      <c r="F197" s="18" t="s">
        <v>654</v>
      </c>
      <c r="G197" s="18" t="s">
        <v>827</v>
      </c>
      <c r="H197" s="19">
        <v>44328</v>
      </c>
      <c r="I197" s="18">
        <v>5</v>
      </c>
      <c r="J197" s="18">
        <v>150</v>
      </c>
      <c r="K197" s="18">
        <v>39.505135575376102</v>
      </c>
      <c r="L197" s="18" t="s">
        <v>490</v>
      </c>
      <c r="M197" s="18" t="s">
        <v>8</v>
      </c>
      <c r="N197" s="18">
        <f t="shared" si="3"/>
        <v>1316.8378525125368</v>
      </c>
      <c r="O197" s="20" t="s">
        <v>451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</row>
    <row r="198" spans="1:66" s="16" customFormat="1" ht="16" customHeight="1" x14ac:dyDescent="0.2">
      <c r="A198" s="18">
        <v>1398</v>
      </c>
      <c r="B198" s="18" t="s">
        <v>514</v>
      </c>
      <c r="C198" s="18" t="s">
        <v>823</v>
      </c>
      <c r="D198" s="18" t="s">
        <v>824</v>
      </c>
      <c r="E198" s="18" t="s">
        <v>516</v>
      </c>
      <c r="F198" s="18" t="s">
        <v>654</v>
      </c>
      <c r="G198" s="18" t="s">
        <v>827</v>
      </c>
      <c r="H198" s="19">
        <v>44328</v>
      </c>
      <c r="I198" s="18">
        <v>5</v>
      </c>
      <c r="J198" s="18">
        <v>150</v>
      </c>
      <c r="K198" s="18">
        <v>27.5421837387875</v>
      </c>
      <c r="L198" s="18" t="s">
        <v>490</v>
      </c>
      <c r="M198" s="18" t="s">
        <v>8</v>
      </c>
      <c r="N198" s="18">
        <f t="shared" si="3"/>
        <v>918.0727912929168</v>
      </c>
      <c r="O198" s="20" t="s">
        <v>451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</row>
    <row r="199" spans="1:66" s="16" customFormat="1" ht="16" customHeight="1" x14ac:dyDescent="0.2">
      <c r="A199" s="16">
        <v>1405</v>
      </c>
      <c r="B199" s="16" t="s">
        <v>518</v>
      </c>
      <c r="C199" s="16" t="s">
        <v>828</v>
      </c>
      <c r="D199" s="16" t="s">
        <v>829</v>
      </c>
      <c r="E199" s="16" t="s">
        <v>520</v>
      </c>
      <c r="F199" s="16" t="s">
        <v>654</v>
      </c>
      <c r="G199" s="16" t="s">
        <v>830</v>
      </c>
      <c r="H199" s="17">
        <v>44328</v>
      </c>
      <c r="I199" s="16">
        <v>5</v>
      </c>
      <c r="J199" s="16">
        <v>150</v>
      </c>
      <c r="K199" s="16">
        <v>1.5993317685639801</v>
      </c>
      <c r="L199" s="16" t="s">
        <v>490</v>
      </c>
      <c r="M199" s="16" t="s">
        <v>8</v>
      </c>
      <c r="N199" s="16">
        <f t="shared" si="3"/>
        <v>53.311058952132669</v>
      </c>
      <c r="O199" s="22" t="s">
        <v>451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</row>
    <row r="200" spans="1:66" s="16" customFormat="1" ht="16" customHeight="1" x14ac:dyDescent="0.2">
      <c r="A200" s="16">
        <v>1412</v>
      </c>
      <c r="B200" s="16" t="s">
        <v>518</v>
      </c>
      <c r="C200" s="16" t="s">
        <v>828</v>
      </c>
      <c r="D200" s="16" t="s">
        <v>829</v>
      </c>
      <c r="E200" s="16" t="s">
        <v>520</v>
      </c>
      <c r="F200" s="16" t="s">
        <v>654</v>
      </c>
      <c r="G200" s="16" t="s">
        <v>830</v>
      </c>
      <c r="H200" s="17">
        <v>44328</v>
      </c>
      <c r="I200" s="16">
        <v>5</v>
      </c>
      <c r="J200" s="16">
        <v>150</v>
      </c>
      <c r="K200" s="16">
        <v>0.83608289189006402</v>
      </c>
      <c r="L200" s="16" t="s">
        <v>490</v>
      </c>
      <c r="M200" s="16" t="s">
        <v>8</v>
      </c>
      <c r="N200" s="16">
        <f t="shared" si="3"/>
        <v>27.869429729668802</v>
      </c>
      <c r="O200" s="22" t="s">
        <v>451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</row>
    <row r="201" spans="1:66" s="16" customFormat="1" ht="16" customHeight="1" x14ac:dyDescent="0.2">
      <c r="A201" s="16">
        <v>1419</v>
      </c>
      <c r="B201" s="16" t="s">
        <v>518</v>
      </c>
      <c r="C201" s="16" t="s">
        <v>828</v>
      </c>
      <c r="D201" s="16" t="s">
        <v>829</v>
      </c>
      <c r="E201" s="16" t="s">
        <v>520</v>
      </c>
      <c r="F201" s="16" t="s">
        <v>654</v>
      </c>
      <c r="G201" s="16" t="s">
        <v>830</v>
      </c>
      <c r="H201" s="17">
        <v>44328</v>
      </c>
      <c r="I201" s="16">
        <v>5</v>
      </c>
      <c r="J201" s="16">
        <v>150</v>
      </c>
      <c r="K201" s="16">
        <v>0</v>
      </c>
      <c r="L201" s="16" t="s">
        <v>490</v>
      </c>
      <c r="M201" s="16" t="s">
        <v>8</v>
      </c>
      <c r="N201" s="16">
        <f t="shared" si="3"/>
        <v>0</v>
      </c>
      <c r="O201" s="22" t="s">
        <v>451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</row>
    <row r="202" spans="1:66" s="16" customFormat="1" ht="16" customHeight="1" x14ac:dyDescent="0.2">
      <c r="A202" s="16">
        <v>1420</v>
      </c>
      <c r="B202" s="16" t="s">
        <v>518</v>
      </c>
      <c r="C202" s="16" t="s">
        <v>828</v>
      </c>
      <c r="D202" s="16" t="s">
        <v>829</v>
      </c>
      <c r="E202" s="16" t="s">
        <v>520</v>
      </c>
      <c r="F202" s="16" t="s">
        <v>654</v>
      </c>
      <c r="G202" s="16" t="s">
        <v>831</v>
      </c>
      <c r="H202" s="17">
        <v>44328</v>
      </c>
      <c r="I202" s="16">
        <v>5</v>
      </c>
      <c r="J202" s="16">
        <v>150</v>
      </c>
      <c r="K202" s="16">
        <v>3.1065024412612599</v>
      </c>
      <c r="L202" s="16" t="s">
        <v>490</v>
      </c>
      <c r="M202" s="16" t="s">
        <v>8</v>
      </c>
      <c r="N202" s="16">
        <f t="shared" si="3"/>
        <v>103.55008137537533</v>
      </c>
      <c r="O202" s="22" t="s">
        <v>451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</row>
    <row r="203" spans="1:66" s="16" customFormat="1" ht="16" customHeight="1" x14ac:dyDescent="0.2">
      <c r="A203" s="16">
        <v>1426</v>
      </c>
      <c r="B203" s="16" t="s">
        <v>518</v>
      </c>
      <c r="C203" s="16" t="s">
        <v>828</v>
      </c>
      <c r="D203" s="16" t="s">
        <v>829</v>
      </c>
      <c r="E203" s="16" t="s">
        <v>520</v>
      </c>
      <c r="F203" s="16" t="s">
        <v>654</v>
      </c>
      <c r="G203" s="16" t="s">
        <v>831</v>
      </c>
      <c r="H203" s="17">
        <v>44328</v>
      </c>
      <c r="I203" s="16">
        <v>5</v>
      </c>
      <c r="J203" s="16">
        <v>150</v>
      </c>
      <c r="K203" s="16">
        <v>3.7721853484407202</v>
      </c>
      <c r="L203" s="16" t="s">
        <v>490</v>
      </c>
      <c r="M203" s="16" t="s">
        <v>8</v>
      </c>
      <c r="N203" s="16">
        <f t="shared" si="3"/>
        <v>125.73951161469068</v>
      </c>
      <c r="O203" s="22" t="s">
        <v>451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</row>
    <row r="204" spans="1:66" s="16" customFormat="1" ht="16" customHeight="1" x14ac:dyDescent="0.2">
      <c r="A204" s="16">
        <v>1432</v>
      </c>
      <c r="B204" s="16" t="s">
        <v>518</v>
      </c>
      <c r="C204" s="16" t="s">
        <v>828</v>
      </c>
      <c r="D204" s="16" t="s">
        <v>829</v>
      </c>
      <c r="E204" s="16" t="s">
        <v>520</v>
      </c>
      <c r="F204" s="16" t="s">
        <v>654</v>
      </c>
      <c r="G204" s="16" t="s">
        <v>831</v>
      </c>
      <c r="H204" s="17">
        <v>44328</v>
      </c>
      <c r="I204" s="16">
        <v>5</v>
      </c>
      <c r="J204" s="16">
        <v>150</v>
      </c>
      <c r="K204" s="16">
        <v>3.6969314770436599</v>
      </c>
      <c r="L204" s="16" t="s">
        <v>490</v>
      </c>
      <c r="M204" s="16" t="s">
        <v>8</v>
      </c>
      <c r="N204" s="16">
        <f t="shared" si="3"/>
        <v>123.23104923478866</v>
      </c>
      <c r="O204" s="22" t="s">
        <v>451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</row>
    <row r="205" spans="1:66" s="16" customFormat="1" ht="16" customHeight="1" x14ac:dyDescent="0.2">
      <c r="A205" s="16">
        <v>1438</v>
      </c>
      <c r="B205" s="16" t="s">
        <v>518</v>
      </c>
      <c r="C205" s="16" t="s">
        <v>828</v>
      </c>
      <c r="D205" s="16" t="s">
        <v>829</v>
      </c>
      <c r="E205" s="16" t="s">
        <v>520</v>
      </c>
      <c r="F205" s="16" t="s">
        <v>654</v>
      </c>
      <c r="G205" s="16" t="s">
        <v>832</v>
      </c>
      <c r="H205" s="17">
        <v>44328</v>
      </c>
      <c r="I205" s="16">
        <v>5</v>
      </c>
      <c r="J205" s="16">
        <v>150</v>
      </c>
      <c r="K205" s="16">
        <v>1.03693504724596</v>
      </c>
      <c r="L205" s="16" t="s">
        <v>490</v>
      </c>
      <c r="M205" s="16" t="s">
        <v>8</v>
      </c>
      <c r="N205" s="16">
        <f t="shared" si="3"/>
        <v>34.564501574865332</v>
      </c>
      <c r="O205" s="22" t="s">
        <v>451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</row>
    <row r="206" spans="1:66" s="16" customFormat="1" ht="16" customHeight="1" x14ac:dyDescent="0.2">
      <c r="A206" s="16">
        <v>1445</v>
      </c>
      <c r="B206" s="16" t="s">
        <v>518</v>
      </c>
      <c r="C206" s="16" t="s">
        <v>828</v>
      </c>
      <c r="D206" s="16" t="s">
        <v>829</v>
      </c>
      <c r="E206" s="16" t="s">
        <v>520</v>
      </c>
      <c r="F206" s="16" t="s">
        <v>654</v>
      </c>
      <c r="G206" s="16" t="s">
        <v>832</v>
      </c>
      <c r="H206" s="17">
        <v>44328</v>
      </c>
      <c r="I206" s="16">
        <v>5</v>
      </c>
      <c r="J206" s="16">
        <v>150</v>
      </c>
      <c r="K206" s="16">
        <v>1.0030536760909801</v>
      </c>
      <c r="L206" s="16" t="s">
        <v>490</v>
      </c>
      <c r="M206" s="16" t="s">
        <v>8</v>
      </c>
      <c r="N206" s="16">
        <f t="shared" si="3"/>
        <v>33.435122536366002</v>
      </c>
      <c r="O206" s="22" t="s">
        <v>451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</row>
    <row r="207" spans="1:66" s="16" customFormat="1" ht="16" customHeight="1" x14ac:dyDescent="0.2">
      <c r="A207" s="16">
        <v>1452</v>
      </c>
      <c r="B207" s="16" t="s">
        <v>518</v>
      </c>
      <c r="C207" s="16" t="s">
        <v>828</v>
      </c>
      <c r="D207" s="16" t="s">
        <v>829</v>
      </c>
      <c r="E207" s="16" t="s">
        <v>520</v>
      </c>
      <c r="F207" s="16" t="s">
        <v>654</v>
      </c>
      <c r="G207" s="16" t="s">
        <v>832</v>
      </c>
      <c r="H207" s="17">
        <v>44328</v>
      </c>
      <c r="I207" s="16">
        <v>5</v>
      </c>
      <c r="J207" s="16">
        <v>150</v>
      </c>
      <c r="K207" s="16">
        <v>7.9187678285471899</v>
      </c>
      <c r="L207" s="16" t="s">
        <v>490</v>
      </c>
      <c r="M207" s="16" t="s">
        <v>8</v>
      </c>
      <c r="N207" s="16">
        <f t="shared" si="3"/>
        <v>263.95892761823967</v>
      </c>
      <c r="O207" s="22" t="s">
        <v>451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</row>
    <row r="208" spans="1:66" s="16" customFormat="1" ht="16" customHeight="1" x14ac:dyDescent="0.2">
      <c r="A208" s="18">
        <v>1439</v>
      </c>
      <c r="B208" s="18" t="s">
        <v>522</v>
      </c>
      <c r="C208" s="18" t="s">
        <v>833</v>
      </c>
      <c r="D208" s="18" t="s">
        <v>834</v>
      </c>
      <c r="E208" s="18" t="s">
        <v>524</v>
      </c>
      <c r="F208" s="18" t="s">
        <v>654</v>
      </c>
      <c r="G208" s="18" t="s">
        <v>835</v>
      </c>
      <c r="H208" s="19">
        <v>44330</v>
      </c>
      <c r="I208" s="18">
        <v>5</v>
      </c>
      <c r="J208" s="18">
        <v>150</v>
      </c>
      <c r="K208" s="18">
        <v>0</v>
      </c>
      <c r="L208" s="18" t="s">
        <v>490</v>
      </c>
      <c r="M208" s="18" t="s">
        <v>8</v>
      </c>
      <c r="N208" s="18">
        <f t="shared" si="3"/>
        <v>0</v>
      </c>
      <c r="O208" s="20" t="s">
        <v>451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</row>
    <row r="209" spans="1:66" s="18" customFormat="1" ht="16" customHeight="1" x14ac:dyDescent="0.2">
      <c r="A209" s="18">
        <v>1446</v>
      </c>
      <c r="B209" s="18" t="s">
        <v>522</v>
      </c>
      <c r="C209" s="18" t="s">
        <v>833</v>
      </c>
      <c r="D209" s="18" t="s">
        <v>834</v>
      </c>
      <c r="E209" s="18" t="s">
        <v>524</v>
      </c>
      <c r="F209" s="18" t="s">
        <v>654</v>
      </c>
      <c r="G209" s="18" t="s">
        <v>835</v>
      </c>
      <c r="H209" s="19">
        <v>44330</v>
      </c>
      <c r="I209" s="18">
        <v>5</v>
      </c>
      <c r="J209" s="18">
        <v>150</v>
      </c>
      <c r="K209" s="18">
        <v>0</v>
      </c>
      <c r="L209" s="18" t="s">
        <v>490</v>
      </c>
      <c r="M209" s="18" t="s">
        <v>8</v>
      </c>
      <c r="N209" s="18">
        <f t="shared" si="3"/>
        <v>0</v>
      </c>
      <c r="O209" s="20" t="s">
        <v>451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</row>
    <row r="210" spans="1:66" s="18" customFormat="1" ht="16" customHeight="1" x14ac:dyDescent="0.2">
      <c r="A210" s="18">
        <v>1453</v>
      </c>
      <c r="B210" s="18" t="s">
        <v>522</v>
      </c>
      <c r="C210" s="18" t="s">
        <v>833</v>
      </c>
      <c r="D210" s="18" t="s">
        <v>834</v>
      </c>
      <c r="E210" s="18" t="s">
        <v>524</v>
      </c>
      <c r="F210" s="18" t="s">
        <v>654</v>
      </c>
      <c r="G210" s="18" t="s">
        <v>835</v>
      </c>
      <c r="H210" s="19">
        <v>44330</v>
      </c>
      <c r="I210" s="18">
        <v>5</v>
      </c>
      <c r="J210" s="18">
        <v>150</v>
      </c>
      <c r="K210" s="18">
        <v>0</v>
      </c>
      <c r="L210" s="18" t="s">
        <v>490</v>
      </c>
      <c r="M210" s="18" t="s">
        <v>8</v>
      </c>
      <c r="N210" s="18">
        <f t="shared" si="3"/>
        <v>0</v>
      </c>
      <c r="O210" s="20" t="s">
        <v>451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</row>
    <row r="211" spans="1:66" s="18" customFormat="1" ht="16" customHeight="1" x14ac:dyDescent="0.2">
      <c r="A211" s="18">
        <v>1421</v>
      </c>
      <c r="B211" s="18" t="s">
        <v>522</v>
      </c>
      <c r="C211" s="18" t="s">
        <v>833</v>
      </c>
      <c r="D211" s="18" t="s">
        <v>834</v>
      </c>
      <c r="E211" s="18" t="s">
        <v>524</v>
      </c>
      <c r="F211" s="18" t="s">
        <v>654</v>
      </c>
      <c r="G211" s="18" t="s">
        <v>836</v>
      </c>
      <c r="H211" s="19">
        <v>44330</v>
      </c>
      <c r="I211" s="18">
        <v>5</v>
      </c>
      <c r="J211" s="18">
        <v>150</v>
      </c>
      <c r="K211" s="18">
        <v>0</v>
      </c>
      <c r="L211" s="18" t="s">
        <v>490</v>
      </c>
      <c r="M211" s="18" t="s">
        <v>8</v>
      </c>
      <c r="N211" s="18">
        <f t="shared" si="3"/>
        <v>0</v>
      </c>
      <c r="O211" s="20" t="s">
        <v>451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</row>
    <row r="212" spans="1:66" s="18" customFormat="1" ht="16" customHeight="1" x14ac:dyDescent="0.2">
      <c r="A212" s="18">
        <v>1427</v>
      </c>
      <c r="B212" s="18" t="s">
        <v>522</v>
      </c>
      <c r="C212" s="18" t="s">
        <v>833</v>
      </c>
      <c r="D212" s="18" t="s">
        <v>834</v>
      </c>
      <c r="E212" s="18" t="s">
        <v>524</v>
      </c>
      <c r="F212" s="18" t="s">
        <v>654</v>
      </c>
      <c r="G212" s="18" t="s">
        <v>836</v>
      </c>
      <c r="H212" s="19">
        <v>44330</v>
      </c>
      <c r="I212" s="18">
        <v>5</v>
      </c>
      <c r="J212" s="18">
        <v>150</v>
      </c>
      <c r="K212" s="18">
        <v>0</v>
      </c>
      <c r="L212" s="18" t="s">
        <v>490</v>
      </c>
      <c r="M212" s="18" t="s">
        <v>8</v>
      </c>
      <c r="N212" s="18">
        <f t="shared" si="3"/>
        <v>0</v>
      </c>
      <c r="O212" s="20" t="s">
        <v>451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</row>
    <row r="213" spans="1:66" s="18" customFormat="1" ht="16" customHeight="1" x14ac:dyDescent="0.2">
      <c r="A213" s="18">
        <v>1433</v>
      </c>
      <c r="B213" s="18" t="s">
        <v>522</v>
      </c>
      <c r="C213" s="18" t="s">
        <v>833</v>
      </c>
      <c r="D213" s="18" t="s">
        <v>834</v>
      </c>
      <c r="E213" s="18" t="s">
        <v>524</v>
      </c>
      <c r="F213" s="18" t="s">
        <v>654</v>
      </c>
      <c r="G213" s="18" t="s">
        <v>836</v>
      </c>
      <c r="H213" s="19">
        <v>44330</v>
      </c>
      <c r="I213" s="18">
        <v>5</v>
      </c>
      <c r="J213" s="18">
        <v>150</v>
      </c>
      <c r="K213" s="18">
        <v>0</v>
      </c>
      <c r="L213" s="18" t="s">
        <v>490</v>
      </c>
      <c r="M213" s="18" t="s">
        <v>8</v>
      </c>
      <c r="N213" s="18">
        <f t="shared" si="3"/>
        <v>0</v>
      </c>
      <c r="O213" s="20" t="s">
        <v>451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</row>
    <row r="214" spans="1:66" s="18" customFormat="1" ht="16" customHeight="1" x14ac:dyDescent="0.2">
      <c r="A214" s="18">
        <v>1440</v>
      </c>
      <c r="B214" s="18" t="s">
        <v>522</v>
      </c>
      <c r="C214" s="18" t="s">
        <v>833</v>
      </c>
      <c r="D214" s="18" t="s">
        <v>834</v>
      </c>
      <c r="E214" s="18" t="s">
        <v>524</v>
      </c>
      <c r="F214" s="18" t="s">
        <v>654</v>
      </c>
      <c r="G214" s="18" t="s">
        <v>837</v>
      </c>
      <c r="H214" s="19">
        <v>44330</v>
      </c>
      <c r="I214" s="18">
        <v>5</v>
      </c>
      <c r="J214" s="18">
        <v>150</v>
      </c>
      <c r="K214" s="18">
        <v>0</v>
      </c>
      <c r="L214" s="18" t="s">
        <v>490</v>
      </c>
      <c r="M214" s="18" t="s">
        <v>8</v>
      </c>
      <c r="N214" s="18">
        <f t="shared" si="3"/>
        <v>0</v>
      </c>
      <c r="O214" s="20" t="s">
        <v>451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</row>
    <row r="215" spans="1:66" s="18" customFormat="1" ht="16" customHeight="1" x14ac:dyDescent="0.2">
      <c r="A215" s="18">
        <v>1447</v>
      </c>
      <c r="B215" s="18" t="s">
        <v>522</v>
      </c>
      <c r="C215" s="18" t="s">
        <v>833</v>
      </c>
      <c r="D215" s="18" t="s">
        <v>834</v>
      </c>
      <c r="E215" s="18" t="s">
        <v>524</v>
      </c>
      <c r="F215" s="18" t="s">
        <v>654</v>
      </c>
      <c r="G215" s="18" t="s">
        <v>837</v>
      </c>
      <c r="H215" s="19">
        <v>44330</v>
      </c>
      <c r="I215" s="18">
        <v>5</v>
      </c>
      <c r="J215" s="18">
        <v>150</v>
      </c>
      <c r="K215" s="18">
        <v>0</v>
      </c>
      <c r="L215" s="18" t="s">
        <v>490</v>
      </c>
      <c r="M215" s="18" t="s">
        <v>8</v>
      </c>
      <c r="N215" s="18">
        <f t="shared" si="3"/>
        <v>0</v>
      </c>
      <c r="O215" s="20" t="s">
        <v>451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</row>
    <row r="216" spans="1:66" s="18" customFormat="1" ht="16" customHeight="1" x14ac:dyDescent="0.2">
      <c r="A216" s="18">
        <v>1454</v>
      </c>
      <c r="B216" s="18" t="s">
        <v>522</v>
      </c>
      <c r="C216" s="18" t="s">
        <v>833</v>
      </c>
      <c r="D216" s="18" t="s">
        <v>834</v>
      </c>
      <c r="E216" s="18" t="s">
        <v>524</v>
      </c>
      <c r="F216" s="18" t="s">
        <v>654</v>
      </c>
      <c r="G216" s="18" t="s">
        <v>837</v>
      </c>
      <c r="H216" s="19">
        <v>44330</v>
      </c>
      <c r="I216" s="18">
        <v>5</v>
      </c>
      <c r="J216" s="18">
        <v>150</v>
      </c>
      <c r="K216" s="18">
        <v>0</v>
      </c>
      <c r="L216" s="18" t="s">
        <v>490</v>
      </c>
      <c r="M216" s="18" t="s">
        <v>8</v>
      </c>
      <c r="N216" s="18">
        <f t="shared" si="3"/>
        <v>0</v>
      </c>
      <c r="O216" s="20" t="s">
        <v>451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</row>
    <row r="217" spans="1:66" s="18" customFormat="1" ht="16" customHeight="1" x14ac:dyDescent="0.2">
      <c r="A217" s="16">
        <v>1422</v>
      </c>
      <c r="B217" s="16" t="s">
        <v>526</v>
      </c>
      <c r="C217" s="16" t="s">
        <v>838</v>
      </c>
      <c r="D217" s="16" t="s">
        <v>839</v>
      </c>
      <c r="E217" s="16" t="s">
        <v>528</v>
      </c>
      <c r="F217" s="16" t="s">
        <v>654</v>
      </c>
      <c r="G217" s="16" t="s">
        <v>840</v>
      </c>
      <c r="H217" s="17">
        <v>44330</v>
      </c>
      <c r="I217" s="16">
        <v>5</v>
      </c>
      <c r="J217" s="16">
        <v>100</v>
      </c>
      <c r="K217" s="16">
        <v>2.0557378471794499</v>
      </c>
      <c r="L217" s="16" t="s">
        <v>490</v>
      </c>
      <c r="M217" s="16" t="s">
        <v>8</v>
      </c>
      <c r="N217" s="16">
        <f t="shared" si="3"/>
        <v>102.78689235897249</v>
      </c>
      <c r="O217" s="22" t="s">
        <v>451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</row>
    <row r="218" spans="1:66" s="18" customFormat="1" ht="16" customHeight="1" x14ac:dyDescent="0.2">
      <c r="A218" s="16">
        <v>1428</v>
      </c>
      <c r="B218" s="16" t="s">
        <v>526</v>
      </c>
      <c r="C218" s="16" t="s">
        <v>838</v>
      </c>
      <c r="D218" s="16" t="s">
        <v>839</v>
      </c>
      <c r="E218" s="16" t="s">
        <v>528</v>
      </c>
      <c r="F218" s="16" t="s">
        <v>654</v>
      </c>
      <c r="G218" s="16" t="s">
        <v>840</v>
      </c>
      <c r="H218" s="17">
        <v>44330</v>
      </c>
      <c r="I218" s="16">
        <v>5</v>
      </c>
      <c r="J218" s="16">
        <v>100</v>
      </c>
      <c r="K218" s="16">
        <v>0.89029952895642295</v>
      </c>
      <c r="L218" s="16" t="s">
        <v>490</v>
      </c>
      <c r="M218" s="16" t="s">
        <v>8</v>
      </c>
      <c r="N218" s="16">
        <f t="shared" si="3"/>
        <v>44.514976447821148</v>
      </c>
      <c r="O218" s="22" t="s">
        <v>451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</row>
    <row r="219" spans="1:66" s="18" customFormat="1" ht="16" customHeight="1" x14ac:dyDescent="0.2">
      <c r="A219" s="16">
        <v>1434</v>
      </c>
      <c r="B219" s="16" t="s">
        <v>526</v>
      </c>
      <c r="C219" s="16" t="s">
        <v>838</v>
      </c>
      <c r="D219" s="16" t="s">
        <v>839</v>
      </c>
      <c r="E219" s="16" t="s">
        <v>528</v>
      </c>
      <c r="F219" s="16" t="s">
        <v>654</v>
      </c>
      <c r="G219" s="16" t="s">
        <v>840</v>
      </c>
      <c r="H219" s="17">
        <v>44330</v>
      </c>
      <c r="I219" s="16">
        <v>5</v>
      </c>
      <c r="J219" s="16">
        <v>100</v>
      </c>
      <c r="K219" s="16">
        <v>2.2109224935412</v>
      </c>
      <c r="L219" s="16" t="s">
        <v>490</v>
      </c>
      <c r="M219" s="16" t="s">
        <v>8</v>
      </c>
      <c r="N219" s="16">
        <f t="shared" si="3"/>
        <v>110.54612467706001</v>
      </c>
      <c r="O219" s="22" t="s">
        <v>451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</row>
    <row r="220" spans="1:66" s="18" customFormat="1" ht="16" customHeight="1" x14ac:dyDescent="0.2">
      <c r="A220" s="16">
        <v>1441</v>
      </c>
      <c r="B220" s="16" t="s">
        <v>526</v>
      </c>
      <c r="C220" s="16" t="s">
        <v>838</v>
      </c>
      <c r="D220" s="16" t="s">
        <v>839</v>
      </c>
      <c r="E220" s="16" t="s">
        <v>528</v>
      </c>
      <c r="F220" s="16" t="s">
        <v>654</v>
      </c>
      <c r="G220" s="16" t="s">
        <v>841</v>
      </c>
      <c r="H220" s="17">
        <v>44330</v>
      </c>
      <c r="I220" s="16">
        <v>5</v>
      </c>
      <c r="J220" s="16">
        <v>100</v>
      </c>
      <c r="K220" s="16">
        <v>0</v>
      </c>
      <c r="L220" s="16" t="s">
        <v>490</v>
      </c>
      <c r="M220" s="16" t="s">
        <v>8</v>
      </c>
      <c r="N220" s="16">
        <f t="shared" si="3"/>
        <v>0</v>
      </c>
      <c r="O220" s="22" t="s">
        <v>451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</row>
    <row r="221" spans="1:66" s="18" customFormat="1" ht="16" customHeight="1" x14ac:dyDescent="0.2">
      <c r="A221" s="16">
        <v>1448</v>
      </c>
      <c r="B221" s="16" t="s">
        <v>526</v>
      </c>
      <c r="C221" s="16" t="s">
        <v>838</v>
      </c>
      <c r="D221" s="16" t="s">
        <v>839</v>
      </c>
      <c r="E221" s="16" t="s">
        <v>528</v>
      </c>
      <c r="F221" s="16" t="s">
        <v>654</v>
      </c>
      <c r="G221" s="16" t="s">
        <v>841</v>
      </c>
      <c r="H221" s="17">
        <v>44330</v>
      </c>
      <c r="I221" s="16">
        <v>5</v>
      </c>
      <c r="J221" s="16">
        <v>100</v>
      </c>
      <c r="K221" s="16">
        <v>0.54947931916441595</v>
      </c>
      <c r="L221" s="16" t="s">
        <v>490</v>
      </c>
      <c r="M221" s="16" t="s">
        <v>8</v>
      </c>
      <c r="N221" s="16">
        <f t="shared" si="3"/>
        <v>27.473965958220798</v>
      </c>
      <c r="O221" s="22" t="s">
        <v>451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</row>
    <row r="222" spans="1:66" s="18" customFormat="1" ht="16" customHeight="1" x14ac:dyDescent="0.2">
      <c r="A222" s="16">
        <v>1455</v>
      </c>
      <c r="B222" s="16" t="s">
        <v>526</v>
      </c>
      <c r="C222" s="16" t="s">
        <v>838</v>
      </c>
      <c r="D222" s="16" t="s">
        <v>839</v>
      </c>
      <c r="E222" s="16" t="s">
        <v>528</v>
      </c>
      <c r="F222" s="16" t="s">
        <v>654</v>
      </c>
      <c r="G222" s="16" t="s">
        <v>841</v>
      </c>
      <c r="H222" s="17">
        <v>44330</v>
      </c>
      <c r="I222" s="16">
        <v>5</v>
      </c>
      <c r="J222" s="16">
        <v>100</v>
      </c>
      <c r="K222" s="16">
        <v>0</v>
      </c>
      <c r="L222" s="16" t="s">
        <v>490</v>
      </c>
      <c r="M222" s="16" t="s">
        <v>8</v>
      </c>
      <c r="N222" s="16">
        <f t="shared" si="3"/>
        <v>0</v>
      </c>
      <c r="O222" s="22" t="s">
        <v>451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</row>
    <row r="223" spans="1:66" s="18" customFormat="1" ht="16" customHeight="1" x14ac:dyDescent="0.2">
      <c r="A223" s="16">
        <v>1423</v>
      </c>
      <c r="B223" s="16" t="s">
        <v>526</v>
      </c>
      <c r="C223" s="16" t="s">
        <v>838</v>
      </c>
      <c r="D223" s="16" t="s">
        <v>839</v>
      </c>
      <c r="E223" s="16" t="s">
        <v>528</v>
      </c>
      <c r="F223" s="16" t="s">
        <v>654</v>
      </c>
      <c r="G223" s="16" t="s">
        <v>842</v>
      </c>
      <c r="H223" s="17">
        <v>44330</v>
      </c>
      <c r="I223" s="16">
        <v>5</v>
      </c>
      <c r="J223" s="16">
        <v>100</v>
      </c>
      <c r="K223" s="16">
        <v>0</v>
      </c>
      <c r="L223" s="16" t="s">
        <v>490</v>
      </c>
      <c r="M223" s="16" t="s">
        <v>8</v>
      </c>
      <c r="N223" s="16">
        <f t="shared" si="3"/>
        <v>0</v>
      </c>
      <c r="O223" s="22" t="s">
        <v>451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</row>
    <row r="224" spans="1:66" s="18" customFormat="1" ht="16" customHeight="1" x14ac:dyDescent="0.2">
      <c r="A224" s="16">
        <v>1429</v>
      </c>
      <c r="B224" s="16" t="s">
        <v>526</v>
      </c>
      <c r="C224" s="16" t="s">
        <v>838</v>
      </c>
      <c r="D224" s="16" t="s">
        <v>839</v>
      </c>
      <c r="E224" s="16" t="s">
        <v>528</v>
      </c>
      <c r="F224" s="16" t="s">
        <v>654</v>
      </c>
      <c r="G224" s="16" t="s">
        <v>842</v>
      </c>
      <c r="H224" s="17">
        <v>44330</v>
      </c>
      <c r="I224" s="16">
        <v>5</v>
      </c>
      <c r="J224" s="16">
        <v>100</v>
      </c>
      <c r="K224" s="16">
        <v>0</v>
      </c>
      <c r="L224" s="16" t="s">
        <v>490</v>
      </c>
      <c r="M224" s="16" t="s">
        <v>8</v>
      </c>
      <c r="N224" s="16">
        <f t="shared" si="3"/>
        <v>0</v>
      </c>
      <c r="O224" s="22" t="s">
        <v>451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</row>
    <row r="225" spans="1:66" s="18" customFormat="1" ht="16" customHeight="1" x14ac:dyDescent="0.2">
      <c r="A225" s="16">
        <v>1435</v>
      </c>
      <c r="B225" s="16" t="s">
        <v>526</v>
      </c>
      <c r="C225" s="16" t="s">
        <v>838</v>
      </c>
      <c r="D225" s="16" t="s">
        <v>839</v>
      </c>
      <c r="E225" s="16" t="s">
        <v>528</v>
      </c>
      <c r="F225" s="16" t="s">
        <v>654</v>
      </c>
      <c r="G225" s="16" t="s">
        <v>842</v>
      </c>
      <c r="H225" s="17">
        <v>44330</v>
      </c>
      <c r="I225" s="16">
        <v>5</v>
      </c>
      <c r="J225" s="16">
        <v>100</v>
      </c>
      <c r="K225" s="16">
        <v>4.7738724575318997E-2</v>
      </c>
      <c r="L225" s="16" t="s">
        <v>490</v>
      </c>
      <c r="M225" s="16" t="s">
        <v>8</v>
      </c>
      <c r="N225" s="16">
        <f t="shared" si="3"/>
        <v>2.3869362287659497</v>
      </c>
      <c r="O225" s="22" t="s">
        <v>451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</row>
    <row r="226" spans="1:66" s="18" customFormat="1" ht="16" customHeight="1" x14ac:dyDescent="0.2">
      <c r="A226" s="18">
        <v>1442</v>
      </c>
      <c r="B226" s="18" t="s">
        <v>530</v>
      </c>
      <c r="C226" s="18" t="s">
        <v>843</v>
      </c>
      <c r="D226" s="18" t="s">
        <v>844</v>
      </c>
      <c r="E226" s="18" t="s">
        <v>532</v>
      </c>
      <c r="F226" s="18" t="s">
        <v>654</v>
      </c>
      <c r="G226" s="18" t="s">
        <v>845</v>
      </c>
      <c r="H226" s="19">
        <v>44330</v>
      </c>
      <c r="I226" s="18">
        <v>5</v>
      </c>
      <c r="J226" s="18">
        <v>80</v>
      </c>
      <c r="K226" s="18">
        <v>0</v>
      </c>
      <c r="L226" s="18" t="s">
        <v>490</v>
      </c>
      <c r="M226" s="18" t="s">
        <v>8</v>
      </c>
      <c r="N226" s="18">
        <f t="shared" si="3"/>
        <v>0</v>
      </c>
      <c r="O226" s="20" t="s">
        <v>451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</row>
    <row r="227" spans="1:66" s="18" customFormat="1" ht="16" customHeight="1" x14ac:dyDescent="0.2">
      <c r="A227" s="18">
        <v>1449</v>
      </c>
      <c r="B227" s="18" t="s">
        <v>530</v>
      </c>
      <c r="C227" s="18" t="s">
        <v>843</v>
      </c>
      <c r="D227" s="18" t="s">
        <v>844</v>
      </c>
      <c r="E227" s="18" t="s">
        <v>532</v>
      </c>
      <c r="F227" s="18" t="s">
        <v>654</v>
      </c>
      <c r="G227" s="18" t="s">
        <v>845</v>
      </c>
      <c r="H227" s="19">
        <v>44330</v>
      </c>
      <c r="I227" s="18">
        <v>5</v>
      </c>
      <c r="J227" s="18">
        <v>80</v>
      </c>
      <c r="K227" s="18">
        <v>9.8254372940175294</v>
      </c>
      <c r="L227" s="18" t="s">
        <v>490</v>
      </c>
      <c r="M227" s="18" t="s">
        <v>8</v>
      </c>
      <c r="N227" s="18">
        <f t="shared" si="3"/>
        <v>614.08983087609568</v>
      </c>
      <c r="O227" s="20" t="s">
        <v>451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</row>
    <row r="228" spans="1:66" s="18" customFormat="1" ht="16" customHeight="1" x14ac:dyDescent="0.2">
      <c r="A228" s="18">
        <v>1456</v>
      </c>
      <c r="B228" s="18" t="s">
        <v>530</v>
      </c>
      <c r="C228" s="18" t="s">
        <v>843</v>
      </c>
      <c r="D228" s="18" t="s">
        <v>844</v>
      </c>
      <c r="E228" s="18" t="s">
        <v>532</v>
      </c>
      <c r="F228" s="18" t="s">
        <v>654</v>
      </c>
      <c r="G228" s="18" t="s">
        <v>845</v>
      </c>
      <c r="H228" s="19">
        <v>44330</v>
      </c>
      <c r="I228" s="18">
        <v>5</v>
      </c>
      <c r="J228" s="18">
        <v>80</v>
      </c>
      <c r="K228" s="18">
        <v>0</v>
      </c>
      <c r="L228" s="18" t="s">
        <v>490</v>
      </c>
      <c r="M228" s="18" t="s">
        <v>8</v>
      </c>
      <c r="N228" s="18">
        <f t="shared" si="3"/>
        <v>0</v>
      </c>
      <c r="O228" s="20" t="s">
        <v>451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</row>
    <row r="229" spans="1:66" s="18" customFormat="1" ht="16" customHeight="1" x14ac:dyDescent="0.2">
      <c r="A229" s="18">
        <v>1424</v>
      </c>
      <c r="B229" s="18" t="s">
        <v>530</v>
      </c>
      <c r="C229" s="18" t="s">
        <v>843</v>
      </c>
      <c r="D229" s="18" t="s">
        <v>844</v>
      </c>
      <c r="E229" s="18" t="s">
        <v>532</v>
      </c>
      <c r="F229" s="18" t="s">
        <v>654</v>
      </c>
      <c r="G229" s="18" t="s">
        <v>846</v>
      </c>
      <c r="H229" s="19">
        <v>44330</v>
      </c>
      <c r="I229" s="18">
        <v>5</v>
      </c>
      <c r="J229" s="18">
        <v>80</v>
      </c>
      <c r="K229" s="18">
        <v>18.227745065398601</v>
      </c>
      <c r="L229" s="18" t="s">
        <v>490</v>
      </c>
      <c r="M229" s="18" t="s">
        <v>8</v>
      </c>
      <c r="N229" s="18">
        <f t="shared" si="3"/>
        <v>1139.2340665874126</v>
      </c>
      <c r="O229" s="20" t="s">
        <v>451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</row>
    <row r="230" spans="1:66" s="18" customFormat="1" ht="16" customHeight="1" x14ac:dyDescent="0.2">
      <c r="A230" s="18">
        <v>1430</v>
      </c>
      <c r="B230" s="18" t="s">
        <v>530</v>
      </c>
      <c r="C230" s="18" t="s">
        <v>843</v>
      </c>
      <c r="D230" s="18" t="s">
        <v>844</v>
      </c>
      <c r="E230" s="18" t="s">
        <v>532</v>
      </c>
      <c r="F230" s="18" t="s">
        <v>654</v>
      </c>
      <c r="G230" s="18" t="s">
        <v>846</v>
      </c>
      <c r="H230" s="19">
        <v>44330</v>
      </c>
      <c r="I230" s="18">
        <v>5</v>
      </c>
      <c r="J230" s="18">
        <v>80</v>
      </c>
      <c r="K230" s="18">
        <v>8.8839697022553992</v>
      </c>
      <c r="L230" s="18" t="s">
        <v>490</v>
      </c>
      <c r="M230" s="18" t="s">
        <v>8</v>
      </c>
      <c r="N230" s="18">
        <f t="shared" si="3"/>
        <v>555.24810639096245</v>
      </c>
      <c r="O230" s="20" t="s">
        <v>451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</row>
    <row r="231" spans="1:66" s="18" customFormat="1" ht="16" customHeight="1" x14ac:dyDescent="0.2">
      <c r="A231" s="18">
        <v>1436</v>
      </c>
      <c r="B231" s="18" t="s">
        <v>530</v>
      </c>
      <c r="C231" s="18" t="s">
        <v>843</v>
      </c>
      <c r="D231" s="18" t="s">
        <v>844</v>
      </c>
      <c r="E231" s="18" t="s">
        <v>532</v>
      </c>
      <c r="F231" s="18" t="s">
        <v>654</v>
      </c>
      <c r="G231" s="18" t="s">
        <v>846</v>
      </c>
      <c r="H231" s="19">
        <v>44330</v>
      </c>
      <c r="I231" s="18">
        <v>5</v>
      </c>
      <c r="J231" s="18">
        <v>80</v>
      </c>
      <c r="K231" s="18">
        <v>16.235138425731499</v>
      </c>
      <c r="L231" s="18" t="s">
        <v>490</v>
      </c>
      <c r="M231" s="18" t="s">
        <v>8</v>
      </c>
      <c r="N231" s="18">
        <f t="shared" si="3"/>
        <v>1014.6961516082185</v>
      </c>
      <c r="O231" s="20" t="s">
        <v>451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</row>
    <row r="232" spans="1:66" s="18" customFormat="1" ht="16" customHeight="1" x14ac:dyDescent="0.2">
      <c r="A232" s="18">
        <v>1443</v>
      </c>
      <c r="B232" s="18" t="s">
        <v>530</v>
      </c>
      <c r="C232" s="18" t="s">
        <v>843</v>
      </c>
      <c r="D232" s="18" t="s">
        <v>844</v>
      </c>
      <c r="E232" s="18" t="s">
        <v>532</v>
      </c>
      <c r="F232" s="18" t="s">
        <v>654</v>
      </c>
      <c r="G232" s="18" t="s">
        <v>847</v>
      </c>
      <c r="H232" s="19">
        <v>44330</v>
      </c>
      <c r="I232" s="18">
        <v>5</v>
      </c>
      <c r="J232" s="18">
        <v>80</v>
      </c>
      <c r="K232" s="18">
        <v>0</v>
      </c>
      <c r="L232" s="18" t="s">
        <v>490</v>
      </c>
      <c r="M232" s="18" t="s">
        <v>8</v>
      </c>
      <c r="N232" s="18">
        <f t="shared" si="3"/>
        <v>0</v>
      </c>
      <c r="O232" s="20" t="s">
        <v>451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</row>
    <row r="233" spans="1:66" s="18" customFormat="1" ht="16" customHeight="1" x14ac:dyDescent="0.2">
      <c r="A233" s="18">
        <v>1450</v>
      </c>
      <c r="B233" s="18" t="s">
        <v>530</v>
      </c>
      <c r="C233" s="18" t="s">
        <v>843</v>
      </c>
      <c r="D233" s="18" t="s">
        <v>844</v>
      </c>
      <c r="E233" s="18" t="s">
        <v>532</v>
      </c>
      <c r="F233" s="18" t="s">
        <v>654</v>
      </c>
      <c r="G233" s="18" t="s">
        <v>847</v>
      </c>
      <c r="H233" s="19">
        <v>44330</v>
      </c>
      <c r="I233" s="18">
        <v>5</v>
      </c>
      <c r="J233" s="18">
        <v>80</v>
      </c>
      <c r="K233" s="18">
        <v>11.829561506738701</v>
      </c>
      <c r="L233" s="18" t="s">
        <v>490</v>
      </c>
      <c r="M233" s="18" t="s">
        <v>8</v>
      </c>
      <c r="N233" s="18">
        <f t="shared" si="3"/>
        <v>739.34759417116879</v>
      </c>
      <c r="O233" s="20" t="s">
        <v>451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</row>
    <row r="234" spans="1:66" s="18" customFormat="1" ht="16" customHeight="1" x14ac:dyDescent="0.2">
      <c r="A234" s="18">
        <v>1457</v>
      </c>
      <c r="B234" s="18" t="s">
        <v>530</v>
      </c>
      <c r="C234" s="18" t="s">
        <v>843</v>
      </c>
      <c r="D234" s="18" t="s">
        <v>844</v>
      </c>
      <c r="E234" s="18" t="s">
        <v>532</v>
      </c>
      <c r="F234" s="18" t="s">
        <v>654</v>
      </c>
      <c r="G234" s="18" t="s">
        <v>847</v>
      </c>
      <c r="H234" s="19">
        <v>44330</v>
      </c>
      <c r="I234" s="18">
        <v>5</v>
      </c>
      <c r="J234" s="18">
        <v>80</v>
      </c>
      <c r="K234" s="18">
        <v>23.3433039164007</v>
      </c>
      <c r="L234" s="18" t="s">
        <v>490</v>
      </c>
      <c r="M234" s="18" t="s">
        <v>8</v>
      </c>
      <c r="N234" s="18">
        <f t="shared" si="3"/>
        <v>1458.9564947750437</v>
      </c>
      <c r="O234" s="20" t="s">
        <v>451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</row>
    <row r="235" spans="1:66" s="18" customFormat="1" ht="16" customHeight="1" x14ac:dyDescent="0.2">
      <c r="A235" s="16">
        <v>1425</v>
      </c>
      <c r="B235" s="16" t="s">
        <v>534</v>
      </c>
      <c r="C235" s="16" t="s">
        <v>848</v>
      </c>
      <c r="D235" s="16" t="s">
        <v>849</v>
      </c>
      <c r="E235" s="16" t="s">
        <v>536</v>
      </c>
      <c r="F235" s="16" t="s">
        <v>654</v>
      </c>
      <c r="G235" s="16" t="s">
        <v>850</v>
      </c>
      <c r="H235" s="17">
        <v>44330</v>
      </c>
      <c r="I235" s="16">
        <v>5</v>
      </c>
      <c r="J235" s="16">
        <v>100</v>
      </c>
      <c r="K235" s="16">
        <v>0</v>
      </c>
      <c r="L235" s="16" t="s">
        <v>490</v>
      </c>
      <c r="M235" s="16" t="s">
        <v>8</v>
      </c>
      <c r="N235" s="16">
        <f t="shared" si="3"/>
        <v>0</v>
      </c>
      <c r="O235" s="22" t="s">
        <v>451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</row>
    <row r="236" spans="1:66" s="16" customFormat="1" ht="16" customHeight="1" x14ac:dyDescent="0.2">
      <c r="A236" s="16">
        <v>1431</v>
      </c>
      <c r="B236" s="16" t="s">
        <v>534</v>
      </c>
      <c r="C236" s="16" t="s">
        <v>848</v>
      </c>
      <c r="D236" s="16" t="s">
        <v>849</v>
      </c>
      <c r="E236" s="16" t="s">
        <v>536</v>
      </c>
      <c r="F236" s="16" t="s">
        <v>654</v>
      </c>
      <c r="G236" s="16" t="s">
        <v>850</v>
      </c>
      <c r="H236" s="17">
        <v>44330</v>
      </c>
      <c r="I236" s="16">
        <v>5</v>
      </c>
      <c r="J236" s="16">
        <v>100</v>
      </c>
      <c r="K236" s="16">
        <v>0</v>
      </c>
      <c r="L236" s="16" t="s">
        <v>490</v>
      </c>
      <c r="M236" s="16" t="s">
        <v>8</v>
      </c>
      <c r="N236" s="16">
        <f t="shared" si="3"/>
        <v>0</v>
      </c>
      <c r="O236" s="22" t="s">
        <v>451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</row>
    <row r="237" spans="1:66" s="16" customFormat="1" ht="16" customHeight="1" x14ac:dyDescent="0.2">
      <c r="A237" s="16">
        <v>1437</v>
      </c>
      <c r="B237" s="16" t="s">
        <v>534</v>
      </c>
      <c r="C237" s="16" t="s">
        <v>848</v>
      </c>
      <c r="D237" s="16" t="s">
        <v>849</v>
      </c>
      <c r="E237" s="16" t="s">
        <v>536</v>
      </c>
      <c r="F237" s="16" t="s">
        <v>654</v>
      </c>
      <c r="G237" s="16" t="s">
        <v>850</v>
      </c>
      <c r="H237" s="17">
        <v>44330</v>
      </c>
      <c r="I237" s="16">
        <v>5</v>
      </c>
      <c r="J237" s="16">
        <v>100</v>
      </c>
      <c r="K237" s="16">
        <v>0</v>
      </c>
      <c r="L237" s="16" t="s">
        <v>490</v>
      </c>
      <c r="M237" s="16" t="s">
        <v>8</v>
      </c>
      <c r="N237" s="16">
        <f t="shared" si="3"/>
        <v>0</v>
      </c>
      <c r="O237" s="22" t="s">
        <v>451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</row>
    <row r="238" spans="1:66" s="16" customFormat="1" ht="16" customHeight="1" x14ac:dyDescent="0.2">
      <c r="A238" s="16">
        <v>1444</v>
      </c>
      <c r="B238" s="16" t="s">
        <v>534</v>
      </c>
      <c r="C238" s="16" t="s">
        <v>848</v>
      </c>
      <c r="D238" s="16" t="s">
        <v>849</v>
      </c>
      <c r="E238" s="16" t="s">
        <v>536</v>
      </c>
      <c r="F238" s="16" t="s">
        <v>654</v>
      </c>
      <c r="G238" s="16" t="s">
        <v>851</v>
      </c>
      <c r="H238" s="17">
        <v>44330</v>
      </c>
      <c r="I238" s="16">
        <v>5</v>
      </c>
      <c r="J238" s="16">
        <v>100</v>
      </c>
      <c r="K238" s="16">
        <v>0</v>
      </c>
      <c r="L238" s="16" t="s">
        <v>490</v>
      </c>
      <c r="M238" s="16" t="s">
        <v>8</v>
      </c>
      <c r="N238" s="16">
        <f t="shared" si="3"/>
        <v>0</v>
      </c>
      <c r="O238" s="22" t="s">
        <v>451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</row>
    <row r="239" spans="1:66" s="16" customFormat="1" ht="16" customHeight="1" x14ac:dyDescent="0.2">
      <c r="A239" s="16">
        <v>1451</v>
      </c>
      <c r="B239" s="16" t="s">
        <v>534</v>
      </c>
      <c r="C239" s="16" t="s">
        <v>848</v>
      </c>
      <c r="D239" s="16" t="s">
        <v>849</v>
      </c>
      <c r="E239" s="16" t="s">
        <v>536</v>
      </c>
      <c r="F239" s="16" t="s">
        <v>654</v>
      </c>
      <c r="G239" s="16" t="s">
        <v>851</v>
      </c>
      <c r="H239" s="17">
        <v>44330</v>
      </c>
      <c r="I239" s="16">
        <v>5</v>
      </c>
      <c r="J239" s="16">
        <v>100</v>
      </c>
      <c r="K239" s="16">
        <v>0</v>
      </c>
      <c r="L239" s="16" t="s">
        <v>490</v>
      </c>
      <c r="M239" s="16" t="s">
        <v>8</v>
      </c>
      <c r="N239" s="16">
        <f t="shared" si="3"/>
        <v>0</v>
      </c>
      <c r="O239" s="22" t="s">
        <v>451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</row>
    <row r="240" spans="1:66" s="16" customFormat="1" ht="16" customHeight="1" x14ac:dyDescent="0.2">
      <c r="A240" s="16">
        <v>1458</v>
      </c>
      <c r="B240" s="16" t="s">
        <v>534</v>
      </c>
      <c r="C240" s="16" t="s">
        <v>848</v>
      </c>
      <c r="D240" s="16" t="s">
        <v>849</v>
      </c>
      <c r="E240" s="16" t="s">
        <v>536</v>
      </c>
      <c r="F240" s="16" t="s">
        <v>654</v>
      </c>
      <c r="G240" s="16" t="s">
        <v>851</v>
      </c>
      <c r="H240" s="17">
        <v>44330</v>
      </c>
      <c r="I240" s="16">
        <v>5</v>
      </c>
      <c r="J240" s="16">
        <v>100</v>
      </c>
      <c r="K240" s="16">
        <v>0</v>
      </c>
      <c r="L240" s="16" t="s">
        <v>490</v>
      </c>
      <c r="M240" s="16" t="s">
        <v>8</v>
      </c>
      <c r="N240" s="16">
        <f t="shared" si="3"/>
        <v>0</v>
      </c>
      <c r="O240" s="22" t="s">
        <v>451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</row>
    <row r="241" spans="1:66" s="16" customFormat="1" ht="16" customHeight="1" x14ac:dyDescent="0.2">
      <c r="A241" s="16">
        <v>1459</v>
      </c>
      <c r="B241" s="16" t="s">
        <v>534</v>
      </c>
      <c r="C241" s="16" t="s">
        <v>848</v>
      </c>
      <c r="D241" s="16" t="s">
        <v>849</v>
      </c>
      <c r="E241" s="16" t="s">
        <v>536</v>
      </c>
      <c r="F241" s="16" t="s">
        <v>654</v>
      </c>
      <c r="G241" s="16" t="s">
        <v>852</v>
      </c>
      <c r="H241" s="17">
        <v>44330</v>
      </c>
      <c r="I241" s="16">
        <v>5</v>
      </c>
      <c r="J241" s="16">
        <v>100</v>
      </c>
      <c r="K241" s="16">
        <v>0</v>
      </c>
      <c r="L241" s="16" t="s">
        <v>490</v>
      </c>
      <c r="M241" s="16" t="s">
        <v>8</v>
      </c>
      <c r="N241" s="16">
        <f t="shared" si="3"/>
        <v>0</v>
      </c>
      <c r="O241" s="22" t="s">
        <v>451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</row>
    <row r="242" spans="1:66" s="16" customFormat="1" ht="16" customHeight="1" x14ac:dyDescent="0.2">
      <c r="A242" s="16">
        <v>1465</v>
      </c>
      <c r="B242" s="16" t="s">
        <v>534</v>
      </c>
      <c r="C242" s="16" t="s">
        <v>848</v>
      </c>
      <c r="D242" s="16" t="s">
        <v>849</v>
      </c>
      <c r="E242" s="16" t="s">
        <v>536</v>
      </c>
      <c r="F242" s="16" t="s">
        <v>654</v>
      </c>
      <c r="G242" s="16" t="s">
        <v>852</v>
      </c>
      <c r="H242" s="17">
        <v>44330</v>
      </c>
      <c r="I242" s="16">
        <v>5</v>
      </c>
      <c r="J242" s="16">
        <v>100</v>
      </c>
      <c r="K242" s="16">
        <v>0</v>
      </c>
      <c r="L242" s="16" t="s">
        <v>490</v>
      </c>
      <c r="M242" s="16" t="s">
        <v>8</v>
      </c>
      <c r="N242" s="16">
        <f t="shared" si="3"/>
        <v>0</v>
      </c>
      <c r="O242" s="22" t="s">
        <v>451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</row>
    <row r="243" spans="1:66" s="16" customFormat="1" ht="16" customHeight="1" x14ac:dyDescent="0.2">
      <c r="A243" s="16">
        <v>1471</v>
      </c>
      <c r="B243" s="16" t="s">
        <v>534</v>
      </c>
      <c r="C243" s="16" t="s">
        <v>848</v>
      </c>
      <c r="D243" s="16" t="s">
        <v>849</v>
      </c>
      <c r="E243" s="16" t="s">
        <v>536</v>
      </c>
      <c r="F243" s="16" t="s">
        <v>654</v>
      </c>
      <c r="G243" s="16" t="s">
        <v>852</v>
      </c>
      <c r="H243" s="17">
        <v>44330</v>
      </c>
      <c r="I243" s="16">
        <v>5</v>
      </c>
      <c r="J243" s="16">
        <v>100</v>
      </c>
      <c r="K243" s="16">
        <v>0</v>
      </c>
      <c r="L243" s="16" t="s">
        <v>490</v>
      </c>
      <c r="M243" s="16" t="s">
        <v>8</v>
      </c>
      <c r="N243" s="16">
        <f t="shared" si="3"/>
        <v>0</v>
      </c>
      <c r="O243" s="22" t="s">
        <v>451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</row>
    <row r="244" spans="1:66" s="16" customFormat="1" ht="16" customHeight="1" x14ac:dyDescent="0.2">
      <c r="A244" s="18">
        <v>1477</v>
      </c>
      <c r="B244" s="18" t="s">
        <v>538</v>
      </c>
      <c r="C244" s="18" t="s">
        <v>853</v>
      </c>
      <c r="D244" s="18" t="s">
        <v>854</v>
      </c>
      <c r="E244" s="18" t="s">
        <v>540</v>
      </c>
      <c r="F244" s="18" t="s">
        <v>654</v>
      </c>
      <c r="G244" s="18" t="s">
        <v>855</v>
      </c>
      <c r="H244" s="19">
        <v>44330</v>
      </c>
      <c r="I244" s="18">
        <v>5</v>
      </c>
      <c r="J244" s="18">
        <v>100</v>
      </c>
      <c r="K244" s="18">
        <v>0</v>
      </c>
      <c r="L244" s="18" t="s">
        <v>490</v>
      </c>
      <c r="M244" s="18" t="s">
        <v>8</v>
      </c>
      <c r="N244" s="18">
        <f t="shared" si="3"/>
        <v>0</v>
      </c>
      <c r="O244" s="18" t="s">
        <v>746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</row>
    <row r="245" spans="1:66" s="16" customFormat="1" ht="16" customHeight="1" x14ac:dyDescent="0.2">
      <c r="A245" s="18">
        <v>1483</v>
      </c>
      <c r="B245" s="18" t="s">
        <v>538</v>
      </c>
      <c r="C245" s="18" t="s">
        <v>853</v>
      </c>
      <c r="D245" s="18" t="s">
        <v>854</v>
      </c>
      <c r="E245" s="18" t="s">
        <v>540</v>
      </c>
      <c r="F245" s="18" t="s">
        <v>654</v>
      </c>
      <c r="G245" s="18" t="s">
        <v>855</v>
      </c>
      <c r="H245" s="19">
        <v>44330</v>
      </c>
      <c r="I245" s="18">
        <v>5</v>
      </c>
      <c r="J245" s="18">
        <v>100</v>
      </c>
      <c r="K245" s="18">
        <v>0</v>
      </c>
      <c r="L245" s="18" t="s">
        <v>490</v>
      </c>
      <c r="M245" s="18" t="s">
        <v>8</v>
      </c>
      <c r="N245" s="18">
        <f t="shared" si="3"/>
        <v>0</v>
      </c>
      <c r="O245" s="18" t="s">
        <v>746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</row>
    <row r="246" spans="1:66" s="16" customFormat="1" ht="16" customHeight="1" x14ac:dyDescent="0.2">
      <c r="A246" s="18">
        <v>1489</v>
      </c>
      <c r="B246" s="18" t="s">
        <v>538</v>
      </c>
      <c r="C246" s="18" t="s">
        <v>853</v>
      </c>
      <c r="D246" s="18" t="s">
        <v>854</v>
      </c>
      <c r="E246" s="18" t="s">
        <v>540</v>
      </c>
      <c r="F246" s="18" t="s">
        <v>654</v>
      </c>
      <c r="G246" s="18" t="s">
        <v>855</v>
      </c>
      <c r="H246" s="19">
        <v>44330</v>
      </c>
      <c r="I246" s="18">
        <v>5</v>
      </c>
      <c r="J246" s="18">
        <v>100</v>
      </c>
      <c r="K246" s="18">
        <v>0</v>
      </c>
      <c r="L246" s="18" t="s">
        <v>490</v>
      </c>
      <c r="M246" s="18" t="s">
        <v>8</v>
      </c>
      <c r="N246" s="18">
        <f t="shared" si="3"/>
        <v>0</v>
      </c>
      <c r="O246" s="18" t="s">
        <v>746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</row>
    <row r="247" spans="1:66" s="16" customFormat="1" ht="16" customHeight="1" x14ac:dyDescent="0.2">
      <c r="A247" s="18">
        <v>1460</v>
      </c>
      <c r="B247" s="18" t="s">
        <v>538</v>
      </c>
      <c r="C247" s="18" t="s">
        <v>853</v>
      </c>
      <c r="D247" s="18" t="s">
        <v>854</v>
      </c>
      <c r="E247" s="18" t="s">
        <v>540</v>
      </c>
      <c r="F247" s="18" t="s">
        <v>654</v>
      </c>
      <c r="G247" s="18" t="s">
        <v>856</v>
      </c>
      <c r="H247" s="19">
        <v>44330</v>
      </c>
      <c r="I247" s="18">
        <v>5</v>
      </c>
      <c r="J247" s="18">
        <v>100</v>
      </c>
      <c r="K247" s="18">
        <v>0</v>
      </c>
      <c r="L247" s="18" t="s">
        <v>490</v>
      </c>
      <c r="M247" s="18" t="s">
        <v>8</v>
      </c>
      <c r="N247" s="18">
        <f t="shared" si="3"/>
        <v>0</v>
      </c>
      <c r="O247" s="18" t="s">
        <v>746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</row>
    <row r="248" spans="1:66" s="16" customFormat="1" ht="16" customHeight="1" x14ac:dyDescent="0.2">
      <c r="A248" s="18">
        <v>1466</v>
      </c>
      <c r="B248" s="18" t="s">
        <v>538</v>
      </c>
      <c r="C248" s="18" t="s">
        <v>853</v>
      </c>
      <c r="D248" s="18" t="s">
        <v>854</v>
      </c>
      <c r="E248" s="18" t="s">
        <v>540</v>
      </c>
      <c r="F248" s="18" t="s">
        <v>654</v>
      </c>
      <c r="G248" s="18" t="s">
        <v>856</v>
      </c>
      <c r="H248" s="19">
        <v>44330</v>
      </c>
      <c r="I248" s="18">
        <v>5</v>
      </c>
      <c r="J248" s="18">
        <v>100</v>
      </c>
      <c r="K248" s="18">
        <v>0</v>
      </c>
      <c r="L248" s="18" t="s">
        <v>490</v>
      </c>
      <c r="M248" s="18" t="s">
        <v>8</v>
      </c>
      <c r="N248" s="18">
        <f t="shared" si="3"/>
        <v>0</v>
      </c>
      <c r="O248" s="18" t="s">
        <v>746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</row>
    <row r="249" spans="1:66" s="16" customFormat="1" ht="16" customHeight="1" x14ac:dyDescent="0.2">
      <c r="A249" s="18">
        <v>1472</v>
      </c>
      <c r="B249" s="18" t="s">
        <v>538</v>
      </c>
      <c r="C249" s="18" t="s">
        <v>853</v>
      </c>
      <c r="D249" s="18" t="s">
        <v>854</v>
      </c>
      <c r="E249" s="18" t="s">
        <v>540</v>
      </c>
      <c r="F249" s="18" t="s">
        <v>654</v>
      </c>
      <c r="G249" s="18" t="s">
        <v>856</v>
      </c>
      <c r="H249" s="19">
        <v>44330</v>
      </c>
      <c r="I249" s="18">
        <v>5</v>
      </c>
      <c r="J249" s="18">
        <v>100</v>
      </c>
      <c r="K249" s="18">
        <v>0</v>
      </c>
      <c r="L249" s="18" t="s">
        <v>490</v>
      </c>
      <c r="M249" s="18" t="s">
        <v>8</v>
      </c>
      <c r="N249" s="18">
        <f t="shared" si="3"/>
        <v>0</v>
      </c>
      <c r="O249" s="18" t="s">
        <v>746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</row>
    <row r="250" spans="1:66" s="16" customFormat="1" ht="16" customHeight="1" x14ac:dyDescent="0.2">
      <c r="A250" s="16">
        <v>1478</v>
      </c>
      <c r="B250" s="16" t="s">
        <v>542</v>
      </c>
      <c r="C250" s="16" t="s">
        <v>857</v>
      </c>
      <c r="D250" s="16" t="s">
        <v>858</v>
      </c>
      <c r="E250" s="16" t="s">
        <v>544</v>
      </c>
      <c r="F250" s="16" t="s">
        <v>654</v>
      </c>
      <c r="G250" s="16" t="s">
        <v>859</v>
      </c>
      <c r="H250" s="17">
        <v>44330</v>
      </c>
      <c r="I250" s="16">
        <v>5</v>
      </c>
      <c r="J250" s="16">
        <v>150</v>
      </c>
      <c r="K250" s="16">
        <v>0</v>
      </c>
      <c r="L250" s="16" t="s">
        <v>490</v>
      </c>
      <c r="M250" s="16" t="s">
        <v>8</v>
      </c>
      <c r="N250" s="16">
        <f t="shared" si="3"/>
        <v>0</v>
      </c>
      <c r="O250" s="22" t="s">
        <v>451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</row>
    <row r="251" spans="1:66" s="16" customFormat="1" ht="16" customHeight="1" x14ac:dyDescent="0.2">
      <c r="A251" s="16">
        <v>1484</v>
      </c>
      <c r="B251" s="16" t="s">
        <v>542</v>
      </c>
      <c r="C251" s="16" t="s">
        <v>857</v>
      </c>
      <c r="D251" s="16" t="s">
        <v>858</v>
      </c>
      <c r="E251" s="16" t="s">
        <v>544</v>
      </c>
      <c r="F251" s="16" t="s">
        <v>654</v>
      </c>
      <c r="G251" s="16" t="s">
        <v>859</v>
      </c>
      <c r="H251" s="17">
        <v>44330</v>
      </c>
      <c r="I251" s="16">
        <v>5</v>
      </c>
      <c r="J251" s="16">
        <v>150</v>
      </c>
      <c r="K251" s="16">
        <v>0</v>
      </c>
      <c r="L251" s="16" t="s">
        <v>490</v>
      </c>
      <c r="M251" s="16" t="s">
        <v>8</v>
      </c>
      <c r="N251" s="16">
        <f t="shared" si="3"/>
        <v>0</v>
      </c>
      <c r="O251" s="22" t="s">
        <v>451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</row>
    <row r="252" spans="1:66" s="16" customFormat="1" ht="16" customHeight="1" x14ac:dyDescent="0.2">
      <c r="A252" s="16">
        <v>1490</v>
      </c>
      <c r="B252" s="16" t="s">
        <v>542</v>
      </c>
      <c r="C252" s="16" t="s">
        <v>857</v>
      </c>
      <c r="D252" s="16" t="s">
        <v>858</v>
      </c>
      <c r="E252" s="16" t="s">
        <v>544</v>
      </c>
      <c r="F252" s="16" t="s">
        <v>654</v>
      </c>
      <c r="G252" s="16" t="s">
        <v>859</v>
      </c>
      <c r="H252" s="17">
        <v>44330</v>
      </c>
      <c r="I252" s="16">
        <v>5</v>
      </c>
      <c r="J252" s="16">
        <v>150</v>
      </c>
      <c r="K252" s="16">
        <v>0</v>
      </c>
      <c r="L252" s="16" t="s">
        <v>490</v>
      </c>
      <c r="M252" s="16" t="s">
        <v>8</v>
      </c>
      <c r="N252" s="16">
        <f t="shared" si="3"/>
        <v>0</v>
      </c>
      <c r="O252" s="22" t="s">
        <v>451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</row>
    <row r="253" spans="1:66" s="16" customFormat="1" ht="16" customHeight="1" x14ac:dyDescent="0.2">
      <c r="A253" s="16">
        <v>1461</v>
      </c>
      <c r="B253" s="16" t="s">
        <v>542</v>
      </c>
      <c r="C253" s="16" t="s">
        <v>857</v>
      </c>
      <c r="D253" s="16" t="s">
        <v>858</v>
      </c>
      <c r="E253" s="16" t="s">
        <v>544</v>
      </c>
      <c r="F253" s="16" t="s">
        <v>654</v>
      </c>
      <c r="G253" s="16" t="s">
        <v>860</v>
      </c>
      <c r="H253" s="17">
        <v>44330</v>
      </c>
      <c r="I253" s="16">
        <v>5</v>
      </c>
      <c r="J253" s="16">
        <v>150</v>
      </c>
      <c r="K253" s="16">
        <v>0</v>
      </c>
      <c r="L253" s="16" t="s">
        <v>490</v>
      </c>
      <c r="M253" s="16" t="s">
        <v>8</v>
      </c>
      <c r="N253" s="16">
        <f t="shared" si="3"/>
        <v>0</v>
      </c>
      <c r="O253" s="22" t="s">
        <v>451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</row>
    <row r="254" spans="1:66" s="16" customFormat="1" ht="16" customHeight="1" x14ac:dyDescent="0.2">
      <c r="A254" s="16">
        <v>1467</v>
      </c>
      <c r="B254" s="16" t="s">
        <v>542</v>
      </c>
      <c r="C254" s="16" t="s">
        <v>857</v>
      </c>
      <c r="D254" s="16" t="s">
        <v>858</v>
      </c>
      <c r="E254" s="16" t="s">
        <v>544</v>
      </c>
      <c r="F254" s="16" t="s">
        <v>654</v>
      </c>
      <c r="G254" s="16" t="s">
        <v>860</v>
      </c>
      <c r="H254" s="17">
        <v>44330</v>
      </c>
      <c r="I254" s="16">
        <v>5</v>
      </c>
      <c r="J254" s="16">
        <v>150</v>
      </c>
      <c r="K254" s="16">
        <v>5.3233747959223896</v>
      </c>
      <c r="L254" s="16" t="s">
        <v>490</v>
      </c>
      <c r="M254" s="16" t="s">
        <v>8</v>
      </c>
      <c r="N254" s="16">
        <f t="shared" si="3"/>
        <v>177.44582653074633</v>
      </c>
      <c r="O254" s="22" t="s">
        <v>451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</row>
    <row r="255" spans="1:66" s="16" customFormat="1" ht="16" customHeight="1" x14ac:dyDescent="0.2">
      <c r="A255" s="16">
        <v>1473</v>
      </c>
      <c r="B255" s="16" t="s">
        <v>542</v>
      </c>
      <c r="C255" s="16" t="s">
        <v>857</v>
      </c>
      <c r="D255" s="16" t="s">
        <v>858</v>
      </c>
      <c r="E255" s="16" t="s">
        <v>544</v>
      </c>
      <c r="F255" s="16" t="s">
        <v>654</v>
      </c>
      <c r="G255" s="16" t="s">
        <v>860</v>
      </c>
      <c r="H255" s="17">
        <v>44330</v>
      </c>
      <c r="I255" s="16">
        <v>5</v>
      </c>
      <c r="J255" s="16">
        <v>150</v>
      </c>
      <c r="K255" s="16">
        <v>5.6944490230060296</v>
      </c>
      <c r="L255" s="16" t="s">
        <v>490</v>
      </c>
      <c r="M255" s="16" t="s">
        <v>8</v>
      </c>
      <c r="N255" s="16">
        <f t="shared" si="3"/>
        <v>189.81496743353432</v>
      </c>
      <c r="O255" s="22" t="s">
        <v>451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</row>
    <row r="256" spans="1:66" s="16" customFormat="1" ht="16" customHeight="1" x14ac:dyDescent="0.2">
      <c r="A256" s="16">
        <v>1479</v>
      </c>
      <c r="B256" s="16" t="s">
        <v>542</v>
      </c>
      <c r="C256" s="16" t="s">
        <v>857</v>
      </c>
      <c r="D256" s="16" t="s">
        <v>858</v>
      </c>
      <c r="E256" s="16" t="s">
        <v>544</v>
      </c>
      <c r="F256" s="16" t="s">
        <v>654</v>
      </c>
      <c r="G256" s="16" t="s">
        <v>861</v>
      </c>
      <c r="H256" s="17">
        <v>44330</v>
      </c>
      <c r="I256" s="16">
        <v>5</v>
      </c>
      <c r="J256" s="16">
        <v>150</v>
      </c>
      <c r="K256" s="16">
        <v>8.7806530557787603</v>
      </c>
      <c r="L256" s="16" t="s">
        <v>490</v>
      </c>
      <c r="M256" s="16" t="s">
        <v>8</v>
      </c>
      <c r="N256" s="16">
        <f t="shared" si="3"/>
        <v>292.68843519262532</v>
      </c>
      <c r="O256" s="22" t="s">
        <v>451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</row>
    <row r="257" spans="1:66" s="16" customFormat="1" ht="16" customHeight="1" x14ac:dyDescent="0.2">
      <c r="A257" s="16">
        <v>1485</v>
      </c>
      <c r="B257" s="16" t="s">
        <v>542</v>
      </c>
      <c r="C257" s="16" t="s">
        <v>857</v>
      </c>
      <c r="D257" s="16" t="s">
        <v>858</v>
      </c>
      <c r="E257" s="16" t="s">
        <v>544</v>
      </c>
      <c r="F257" s="16" t="s">
        <v>654</v>
      </c>
      <c r="G257" s="16" t="s">
        <v>861</v>
      </c>
      <c r="H257" s="17">
        <v>44330</v>
      </c>
      <c r="I257" s="16">
        <v>5</v>
      </c>
      <c r="J257" s="16">
        <v>150</v>
      </c>
      <c r="K257" s="16">
        <v>15.965742614405899</v>
      </c>
      <c r="L257" s="16" t="s">
        <v>490</v>
      </c>
      <c r="M257" s="16" t="s">
        <v>8</v>
      </c>
      <c r="N257" s="16">
        <f t="shared" si="3"/>
        <v>532.19142048019671</v>
      </c>
      <c r="O257" s="22" t="s">
        <v>451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</row>
    <row r="258" spans="1:66" s="16" customFormat="1" ht="16" customHeight="1" x14ac:dyDescent="0.2">
      <c r="A258" s="16">
        <v>1491</v>
      </c>
      <c r="B258" s="16" t="s">
        <v>542</v>
      </c>
      <c r="C258" s="16" t="s">
        <v>857</v>
      </c>
      <c r="D258" s="16" t="s">
        <v>858</v>
      </c>
      <c r="E258" s="16" t="s">
        <v>544</v>
      </c>
      <c r="F258" s="16" t="s">
        <v>654</v>
      </c>
      <c r="G258" s="16" t="s">
        <v>861</v>
      </c>
      <c r="H258" s="17">
        <v>44330</v>
      </c>
      <c r="I258" s="16">
        <v>5</v>
      </c>
      <c r="J258" s="16">
        <v>150</v>
      </c>
      <c r="K258" s="16">
        <v>0</v>
      </c>
      <c r="L258" s="16" t="s">
        <v>490</v>
      </c>
      <c r="M258" s="16" t="s">
        <v>8</v>
      </c>
      <c r="N258" s="16">
        <f t="shared" si="3"/>
        <v>0</v>
      </c>
      <c r="O258" s="22" t="s">
        <v>451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</row>
    <row r="259" spans="1:66" s="16" customFormat="1" ht="16" customHeight="1" x14ac:dyDescent="0.2">
      <c r="A259" s="18">
        <v>1513</v>
      </c>
      <c r="B259" s="18" t="s">
        <v>546</v>
      </c>
      <c r="C259" s="18" t="s">
        <v>726</v>
      </c>
      <c r="D259" s="18" t="s">
        <v>862</v>
      </c>
      <c r="E259" s="18" t="s">
        <v>446</v>
      </c>
      <c r="F259" s="18" t="s">
        <v>654</v>
      </c>
      <c r="G259" s="18" t="s">
        <v>863</v>
      </c>
      <c r="H259" s="19">
        <v>44334</v>
      </c>
      <c r="I259" s="18">
        <v>5</v>
      </c>
      <c r="J259" s="18">
        <v>100</v>
      </c>
      <c r="K259" s="18">
        <v>0</v>
      </c>
      <c r="L259" s="18" t="s">
        <v>490</v>
      </c>
      <c r="M259" s="18" t="s">
        <v>8</v>
      </c>
      <c r="N259" s="18">
        <f t="shared" si="3"/>
        <v>0</v>
      </c>
      <c r="O259" s="20" t="s">
        <v>451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</row>
    <row r="260" spans="1:66" s="16" customFormat="1" ht="16" customHeight="1" x14ac:dyDescent="0.2">
      <c r="A260" s="18">
        <v>1520</v>
      </c>
      <c r="B260" s="18" t="s">
        <v>546</v>
      </c>
      <c r="C260" s="18" t="s">
        <v>726</v>
      </c>
      <c r="D260" s="18" t="s">
        <v>862</v>
      </c>
      <c r="E260" s="18" t="s">
        <v>446</v>
      </c>
      <c r="F260" s="18" t="s">
        <v>654</v>
      </c>
      <c r="G260" s="18" t="s">
        <v>863</v>
      </c>
      <c r="H260" s="19">
        <v>44334</v>
      </c>
      <c r="I260" s="18">
        <v>5</v>
      </c>
      <c r="J260" s="18">
        <v>100</v>
      </c>
      <c r="K260" s="18">
        <v>7.5065328633175998E-2</v>
      </c>
      <c r="L260" s="18" t="s">
        <v>490</v>
      </c>
      <c r="M260" s="18" t="s">
        <v>8</v>
      </c>
      <c r="N260" s="18">
        <f t="shared" ref="N260:N323" si="4">K260*I260*(1000/J260)</f>
        <v>3.7532664316587998</v>
      </c>
      <c r="O260" s="20" t="s">
        <v>451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</row>
    <row r="261" spans="1:66" s="16" customFormat="1" ht="16" customHeight="1" x14ac:dyDescent="0.2">
      <c r="A261" s="18">
        <v>1527</v>
      </c>
      <c r="B261" s="18" t="s">
        <v>546</v>
      </c>
      <c r="C261" s="18" t="s">
        <v>726</v>
      </c>
      <c r="D261" s="18" t="s">
        <v>862</v>
      </c>
      <c r="E261" s="18" t="s">
        <v>446</v>
      </c>
      <c r="F261" s="18" t="s">
        <v>654</v>
      </c>
      <c r="G261" s="18" t="s">
        <v>863</v>
      </c>
      <c r="H261" s="19">
        <v>44334</v>
      </c>
      <c r="I261" s="18">
        <v>5</v>
      </c>
      <c r="J261" s="18">
        <v>100</v>
      </c>
      <c r="K261" s="18">
        <v>0</v>
      </c>
      <c r="L261" s="18" t="s">
        <v>490</v>
      </c>
      <c r="M261" s="18" t="s">
        <v>8</v>
      </c>
      <c r="N261" s="18">
        <f t="shared" si="4"/>
        <v>0</v>
      </c>
      <c r="O261" s="20" t="s">
        <v>451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</row>
    <row r="262" spans="1:66" s="16" customFormat="1" ht="16" customHeight="1" x14ac:dyDescent="0.2">
      <c r="A262" s="18">
        <v>1495</v>
      </c>
      <c r="B262" s="18" t="s">
        <v>546</v>
      </c>
      <c r="C262" s="18" t="s">
        <v>726</v>
      </c>
      <c r="D262" s="18" t="s">
        <v>862</v>
      </c>
      <c r="E262" s="18" t="s">
        <v>446</v>
      </c>
      <c r="F262" s="18" t="s">
        <v>654</v>
      </c>
      <c r="G262" s="18" t="s">
        <v>864</v>
      </c>
      <c r="H262" s="19">
        <v>44334</v>
      </c>
      <c r="I262" s="18">
        <v>5</v>
      </c>
      <c r="J262" s="18">
        <v>100</v>
      </c>
      <c r="K262" s="18">
        <v>0.13455015719156399</v>
      </c>
      <c r="L262" s="18" t="s">
        <v>490</v>
      </c>
      <c r="M262" s="18" t="s">
        <v>8</v>
      </c>
      <c r="N262" s="18">
        <f t="shared" si="4"/>
        <v>6.727507859578199</v>
      </c>
      <c r="O262" s="20" t="s">
        <v>451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</row>
    <row r="263" spans="1:66" s="16" customFormat="1" ht="16" customHeight="1" x14ac:dyDescent="0.2">
      <c r="A263" s="18">
        <v>1501</v>
      </c>
      <c r="B263" s="18" t="s">
        <v>546</v>
      </c>
      <c r="C263" s="18" t="s">
        <v>726</v>
      </c>
      <c r="D263" s="18" t="s">
        <v>862</v>
      </c>
      <c r="E263" s="18" t="s">
        <v>446</v>
      </c>
      <c r="F263" s="18" t="s">
        <v>654</v>
      </c>
      <c r="G263" s="18" t="s">
        <v>864</v>
      </c>
      <c r="H263" s="19">
        <v>44334</v>
      </c>
      <c r="I263" s="18">
        <v>5</v>
      </c>
      <c r="J263" s="18">
        <v>100</v>
      </c>
      <c r="K263" s="18">
        <v>0.34107968839925701</v>
      </c>
      <c r="L263" s="18" t="s">
        <v>490</v>
      </c>
      <c r="M263" s="18" t="s">
        <v>8</v>
      </c>
      <c r="N263" s="18">
        <f t="shared" si="4"/>
        <v>17.053984419962852</v>
      </c>
      <c r="O263" s="20" t="s">
        <v>451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</row>
    <row r="264" spans="1:66" s="16" customFormat="1" ht="16" customHeight="1" x14ac:dyDescent="0.2">
      <c r="A264" s="18">
        <v>1507</v>
      </c>
      <c r="B264" s="18" t="s">
        <v>546</v>
      </c>
      <c r="C264" s="18" t="s">
        <v>726</v>
      </c>
      <c r="D264" s="18" t="s">
        <v>862</v>
      </c>
      <c r="E264" s="18" t="s">
        <v>446</v>
      </c>
      <c r="F264" s="18" t="s">
        <v>654</v>
      </c>
      <c r="G264" s="18" t="s">
        <v>864</v>
      </c>
      <c r="H264" s="19">
        <v>44334</v>
      </c>
      <c r="I264" s="18">
        <v>5</v>
      </c>
      <c r="J264" s="18">
        <v>100</v>
      </c>
      <c r="K264" s="18">
        <v>0.16999753387076899</v>
      </c>
      <c r="L264" s="18" t="s">
        <v>490</v>
      </c>
      <c r="M264" s="18" t="s">
        <v>8</v>
      </c>
      <c r="N264" s="18">
        <f t="shared" si="4"/>
        <v>8.4998766935384502</v>
      </c>
      <c r="O264" s="20" t="s">
        <v>451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</row>
    <row r="265" spans="1:66" s="16" customFormat="1" ht="16" customHeight="1" x14ac:dyDescent="0.2">
      <c r="A265" s="18">
        <v>1514</v>
      </c>
      <c r="B265" s="18" t="s">
        <v>546</v>
      </c>
      <c r="C265" s="18" t="s">
        <v>726</v>
      </c>
      <c r="D265" s="18" t="s">
        <v>862</v>
      </c>
      <c r="E265" s="18" t="s">
        <v>446</v>
      </c>
      <c r="F265" s="18" t="s">
        <v>654</v>
      </c>
      <c r="G265" s="18" t="s">
        <v>865</v>
      </c>
      <c r="H265" s="19">
        <v>44334</v>
      </c>
      <c r="I265" s="18">
        <v>5</v>
      </c>
      <c r="J265" s="18">
        <v>100</v>
      </c>
      <c r="K265" s="18">
        <v>0</v>
      </c>
      <c r="L265" s="18" t="s">
        <v>490</v>
      </c>
      <c r="M265" s="18" t="s">
        <v>8</v>
      </c>
      <c r="N265" s="18">
        <f t="shared" si="4"/>
        <v>0</v>
      </c>
      <c r="O265" s="20" t="s">
        <v>451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</row>
    <row r="266" spans="1:66" s="16" customFormat="1" ht="16" customHeight="1" x14ac:dyDescent="0.2">
      <c r="A266" s="18">
        <v>1521</v>
      </c>
      <c r="B266" s="18" t="s">
        <v>546</v>
      </c>
      <c r="C266" s="18" t="s">
        <v>726</v>
      </c>
      <c r="D266" s="18" t="s">
        <v>862</v>
      </c>
      <c r="E266" s="18" t="s">
        <v>446</v>
      </c>
      <c r="F266" s="18" t="s">
        <v>654</v>
      </c>
      <c r="G266" s="18" t="s">
        <v>865</v>
      </c>
      <c r="H266" s="19">
        <v>44334</v>
      </c>
      <c r="I266" s="18">
        <v>5</v>
      </c>
      <c r="J266" s="18">
        <v>100</v>
      </c>
      <c r="K266" s="18">
        <v>0</v>
      </c>
      <c r="L266" s="18" t="s">
        <v>490</v>
      </c>
      <c r="M266" s="18" t="s">
        <v>8</v>
      </c>
      <c r="N266" s="18">
        <f t="shared" si="4"/>
        <v>0</v>
      </c>
      <c r="O266" s="20" t="s">
        <v>451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</row>
    <row r="267" spans="1:66" s="16" customFormat="1" ht="16" customHeight="1" x14ac:dyDescent="0.2">
      <c r="A267" s="18">
        <v>1528</v>
      </c>
      <c r="B267" s="18" t="s">
        <v>546</v>
      </c>
      <c r="C267" s="18" t="s">
        <v>726</v>
      </c>
      <c r="D267" s="18" t="s">
        <v>862</v>
      </c>
      <c r="E267" s="18" t="s">
        <v>446</v>
      </c>
      <c r="F267" s="18" t="s">
        <v>654</v>
      </c>
      <c r="G267" s="18" t="s">
        <v>865</v>
      </c>
      <c r="H267" s="19">
        <v>44334</v>
      </c>
      <c r="I267" s="18">
        <v>5</v>
      </c>
      <c r="J267" s="18">
        <v>100</v>
      </c>
      <c r="K267" s="18">
        <v>0.22799625295244999</v>
      </c>
      <c r="L267" s="18" t="s">
        <v>490</v>
      </c>
      <c r="M267" s="18" t="s">
        <v>8</v>
      </c>
      <c r="N267" s="18">
        <f t="shared" si="4"/>
        <v>11.3998126476225</v>
      </c>
      <c r="O267" s="20" t="s">
        <v>451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</row>
    <row r="268" spans="1:66" s="16" customFormat="1" ht="16" customHeight="1" x14ac:dyDescent="0.2">
      <c r="A268" s="16">
        <v>1496</v>
      </c>
      <c r="B268" s="16" t="s">
        <v>549</v>
      </c>
      <c r="C268" s="16" t="s">
        <v>726</v>
      </c>
      <c r="D268" s="16" t="s">
        <v>866</v>
      </c>
      <c r="E268" s="16" t="s">
        <v>446</v>
      </c>
      <c r="F268" s="16" t="s">
        <v>654</v>
      </c>
      <c r="G268" s="16" t="s">
        <v>867</v>
      </c>
      <c r="H268" s="17">
        <v>44334</v>
      </c>
      <c r="I268" s="16">
        <v>5</v>
      </c>
      <c r="J268" s="16">
        <v>100</v>
      </c>
      <c r="K268" s="16">
        <v>2.2957672271222398</v>
      </c>
      <c r="L268" s="16" t="s">
        <v>490</v>
      </c>
      <c r="M268" s="16" t="s">
        <v>8</v>
      </c>
      <c r="N268" s="16">
        <f t="shared" si="4"/>
        <v>114.78836135611201</v>
      </c>
      <c r="O268" s="22" t="s">
        <v>451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</row>
    <row r="269" spans="1:66" s="16" customFormat="1" ht="16" customHeight="1" x14ac:dyDescent="0.2">
      <c r="A269" s="16">
        <v>1502</v>
      </c>
      <c r="B269" s="16" t="s">
        <v>549</v>
      </c>
      <c r="C269" s="16" t="s">
        <v>726</v>
      </c>
      <c r="D269" s="16" t="s">
        <v>866</v>
      </c>
      <c r="E269" s="16" t="s">
        <v>446</v>
      </c>
      <c r="F269" s="16" t="s">
        <v>654</v>
      </c>
      <c r="G269" s="16" t="s">
        <v>867</v>
      </c>
      <c r="H269" s="17">
        <v>44334</v>
      </c>
      <c r="I269" s="16">
        <v>5</v>
      </c>
      <c r="J269" s="16">
        <v>100</v>
      </c>
      <c r="K269" s="16">
        <v>0</v>
      </c>
      <c r="L269" s="16" t="s">
        <v>490</v>
      </c>
      <c r="M269" s="16" t="s">
        <v>8</v>
      </c>
      <c r="N269" s="16">
        <f t="shared" si="4"/>
        <v>0</v>
      </c>
      <c r="O269" s="22" t="s">
        <v>451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</row>
    <row r="270" spans="1:66" s="16" customFormat="1" ht="16" customHeight="1" x14ac:dyDescent="0.2">
      <c r="A270" s="16">
        <v>1508</v>
      </c>
      <c r="B270" s="16" t="s">
        <v>549</v>
      </c>
      <c r="C270" s="16" t="s">
        <v>726</v>
      </c>
      <c r="D270" s="16" t="s">
        <v>866</v>
      </c>
      <c r="E270" s="16" t="s">
        <v>446</v>
      </c>
      <c r="F270" s="16" t="s">
        <v>654</v>
      </c>
      <c r="G270" s="16" t="s">
        <v>867</v>
      </c>
      <c r="H270" s="17">
        <v>44334</v>
      </c>
      <c r="I270" s="16">
        <v>5</v>
      </c>
      <c r="J270" s="16">
        <v>100</v>
      </c>
      <c r="K270" s="16">
        <v>2.7650905780281999E-2</v>
      </c>
      <c r="L270" s="16" t="s">
        <v>490</v>
      </c>
      <c r="M270" s="16" t="s">
        <v>8</v>
      </c>
      <c r="N270" s="16">
        <f t="shared" si="4"/>
        <v>1.3825452890140999</v>
      </c>
      <c r="O270" s="22" t="s">
        <v>451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</row>
    <row r="271" spans="1:66" s="16" customFormat="1" ht="16" customHeight="1" x14ac:dyDescent="0.2">
      <c r="A271" s="16">
        <v>1515</v>
      </c>
      <c r="B271" s="16" t="s">
        <v>549</v>
      </c>
      <c r="C271" s="16" t="s">
        <v>726</v>
      </c>
      <c r="D271" s="16" t="s">
        <v>866</v>
      </c>
      <c r="E271" s="16" t="s">
        <v>446</v>
      </c>
      <c r="F271" s="16" t="s">
        <v>654</v>
      </c>
      <c r="G271" s="16" t="s">
        <v>868</v>
      </c>
      <c r="H271" s="17">
        <v>44334</v>
      </c>
      <c r="I271" s="16">
        <v>5</v>
      </c>
      <c r="J271" s="16">
        <v>100</v>
      </c>
      <c r="K271" s="16">
        <v>0.63788641102388299</v>
      </c>
      <c r="L271" s="16" t="s">
        <v>490</v>
      </c>
      <c r="M271" s="16" t="s">
        <v>8</v>
      </c>
      <c r="N271" s="16">
        <f t="shared" si="4"/>
        <v>31.894320551194149</v>
      </c>
      <c r="O271" s="22" t="s">
        <v>451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</row>
    <row r="272" spans="1:66" s="18" customFormat="1" ht="16" customHeight="1" x14ac:dyDescent="0.2">
      <c r="A272" s="16">
        <v>1522</v>
      </c>
      <c r="B272" s="16" t="s">
        <v>549</v>
      </c>
      <c r="C272" s="16" t="s">
        <v>726</v>
      </c>
      <c r="D272" s="16" t="s">
        <v>866</v>
      </c>
      <c r="E272" s="16" t="s">
        <v>446</v>
      </c>
      <c r="F272" s="16" t="s">
        <v>654</v>
      </c>
      <c r="G272" s="16" t="s">
        <v>868</v>
      </c>
      <c r="H272" s="17">
        <v>44334</v>
      </c>
      <c r="I272" s="16">
        <v>5</v>
      </c>
      <c r="J272" s="16">
        <v>100</v>
      </c>
      <c r="K272" s="16">
        <v>0</v>
      </c>
      <c r="L272" s="16" t="s">
        <v>490</v>
      </c>
      <c r="M272" s="16" t="s">
        <v>8</v>
      </c>
      <c r="N272" s="16">
        <f t="shared" si="4"/>
        <v>0</v>
      </c>
      <c r="O272" s="22" t="s">
        <v>451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</row>
    <row r="273" spans="1:66" s="18" customFormat="1" ht="16" customHeight="1" x14ac:dyDescent="0.2">
      <c r="A273" s="16">
        <v>1529</v>
      </c>
      <c r="B273" s="16" t="s">
        <v>549</v>
      </c>
      <c r="C273" s="16" t="s">
        <v>726</v>
      </c>
      <c r="D273" s="16" t="s">
        <v>866</v>
      </c>
      <c r="E273" s="16" t="s">
        <v>446</v>
      </c>
      <c r="F273" s="16" t="s">
        <v>654</v>
      </c>
      <c r="G273" s="16" t="s">
        <v>868</v>
      </c>
      <c r="H273" s="17">
        <v>44334</v>
      </c>
      <c r="I273" s="16">
        <v>5</v>
      </c>
      <c r="J273" s="16">
        <v>100</v>
      </c>
      <c r="K273" s="16">
        <v>4.9409887740960299</v>
      </c>
      <c r="L273" s="16" t="s">
        <v>490</v>
      </c>
      <c r="M273" s="16" t="s">
        <v>8</v>
      </c>
      <c r="N273" s="16">
        <f t="shared" si="4"/>
        <v>247.0494387048015</v>
      </c>
      <c r="O273" s="22" t="s">
        <v>451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</row>
    <row r="274" spans="1:66" s="18" customFormat="1" ht="16" customHeight="1" x14ac:dyDescent="0.2">
      <c r="A274" s="16">
        <v>1497</v>
      </c>
      <c r="B274" s="16" t="s">
        <v>549</v>
      </c>
      <c r="C274" s="16" t="s">
        <v>726</v>
      </c>
      <c r="D274" s="16" t="s">
        <v>866</v>
      </c>
      <c r="E274" s="16" t="s">
        <v>446</v>
      </c>
      <c r="F274" s="16" t="s">
        <v>654</v>
      </c>
      <c r="G274" s="16" t="s">
        <v>869</v>
      </c>
      <c r="H274" s="17">
        <v>44334</v>
      </c>
      <c r="I274" s="16">
        <v>5</v>
      </c>
      <c r="J274" s="16">
        <v>100</v>
      </c>
      <c r="K274" s="16">
        <v>0</v>
      </c>
      <c r="L274" s="16" t="s">
        <v>490</v>
      </c>
      <c r="M274" s="16" t="s">
        <v>8</v>
      </c>
      <c r="N274" s="16">
        <f t="shared" si="4"/>
        <v>0</v>
      </c>
      <c r="O274" s="22" t="s">
        <v>451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</row>
    <row r="275" spans="1:66" s="18" customFormat="1" ht="16" customHeight="1" x14ac:dyDescent="0.2">
      <c r="A275" s="16">
        <v>1503</v>
      </c>
      <c r="B275" s="16" t="s">
        <v>549</v>
      </c>
      <c r="C275" s="16" t="s">
        <v>726</v>
      </c>
      <c r="D275" s="16" t="s">
        <v>866</v>
      </c>
      <c r="E275" s="16" t="s">
        <v>446</v>
      </c>
      <c r="F275" s="16" t="s">
        <v>654</v>
      </c>
      <c r="G275" s="16" t="s">
        <v>869</v>
      </c>
      <c r="H275" s="17">
        <v>44334</v>
      </c>
      <c r="I275" s="16">
        <v>5</v>
      </c>
      <c r="J275" s="16">
        <v>100</v>
      </c>
      <c r="K275" s="16">
        <v>0</v>
      </c>
      <c r="L275" s="16" t="s">
        <v>490</v>
      </c>
      <c r="M275" s="16" t="s">
        <v>8</v>
      </c>
      <c r="N275" s="16">
        <f t="shared" si="4"/>
        <v>0</v>
      </c>
      <c r="O275" s="22" t="s">
        <v>451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</row>
    <row r="276" spans="1:66" s="18" customFormat="1" ht="16" customHeight="1" x14ac:dyDescent="0.2">
      <c r="A276" s="16">
        <v>1509</v>
      </c>
      <c r="B276" s="16" t="s">
        <v>549</v>
      </c>
      <c r="C276" s="16" t="s">
        <v>726</v>
      </c>
      <c r="D276" s="16" t="s">
        <v>866</v>
      </c>
      <c r="E276" s="16" t="s">
        <v>446</v>
      </c>
      <c r="F276" s="16" t="s">
        <v>654</v>
      </c>
      <c r="G276" s="16" t="s">
        <v>869</v>
      </c>
      <c r="H276" s="17">
        <v>44334</v>
      </c>
      <c r="I276" s="16">
        <v>5</v>
      </c>
      <c r="J276" s="16">
        <v>100</v>
      </c>
      <c r="K276" s="16">
        <v>0</v>
      </c>
      <c r="L276" s="16" t="s">
        <v>490</v>
      </c>
      <c r="M276" s="16" t="s">
        <v>8</v>
      </c>
      <c r="N276" s="16">
        <f t="shared" si="4"/>
        <v>0</v>
      </c>
      <c r="O276" s="22" t="s">
        <v>451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</row>
    <row r="277" spans="1:66" s="18" customFormat="1" ht="16" customHeight="1" x14ac:dyDescent="0.2">
      <c r="A277" s="18">
        <v>1462</v>
      </c>
      <c r="B277" s="18" t="s">
        <v>551</v>
      </c>
      <c r="C277" s="18" t="s">
        <v>870</v>
      </c>
      <c r="D277" s="18" t="s">
        <v>871</v>
      </c>
      <c r="E277" s="18" t="s">
        <v>553</v>
      </c>
      <c r="F277" s="18" t="s">
        <v>654</v>
      </c>
      <c r="G277" s="18" t="s">
        <v>872</v>
      </c>
      <c r="H277" s="19">
        <v>44333</v>
      </c>
      <c r="I277" s="18">
        <v>5</v>
      </c>
      <c r="J277" s="18">
        <v>100</v>
      </c>
      <c r="K277" s="18">
        <v>0</v>
      </c>
      <c r="L277" s="18" t="s">
        <v>490</v>
      </c>
      <c r="M277" s="18" t="s">
        <v>8</v>
      </c>
      <c r="N277" s="18">
        <f t="shared" si="4"/>
        <v>0</v>
      </c>
      <c r="O277" s="20" t="s">
        <v>451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</row>
    <row r="278" spans="1:66" s="18" customFormat="1" ht="16" customHeight="1" x14ac:dyDescent="0.2">
      <c r="A278" s="18">
        <v>1468</v>
      </c>
      <c r="B278" s="18" t="s">
        <v>551</v>
      </c>
      <c r="C278" s="18" t="s">
        <v>870</v>
      </c>
      <c r="D278" s="18" t="s">
        <v>871</v>
      </c>
      <c r="E278" s="18" t="s">
        <v>553</v>
      </c>
      <c r="F278" s="18" t="s">
        <v>654</v>
      </c>
      <c r="G278" s="18" t="s">
        <v>872</v>
      </c>
      <c r="H278" s="19">
        <v>44333</v>
      </c>
      <c r="I278" s="18">
        <v>5</v>
      </c>
      <c r="J278" s="18">
        <v>100</v>
      </c>
      <c r="K278" s="18">
        <v>0</v>
      </c>
      <c r="L278" s="18" t="s">
        <v>490</v>
      </c>
      <c r="M278" s="18" t="s">
        <v>8</v>
      </c>
      <c r="N278" s="18">
        <f t="shared" si="4"/>
        <v>0</v>
      </c>
      <c r="O278" s="20" t="s">
        <v>451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</row>
    <row r="279" spans="1:66" s="18" customFormat="1" ht="16" customHeight="1" x14ac:dyDescent="0.2">
      <c r="A279" s="18">
        <v>1474</v>
      </c>
      <c r="B279" s="18" t="s">
        <v>551</v>
      </c>
      <c r="C279" s="18" t="s">
        <v>870</v>
      </c>
      <c r="D279" s="18" t="s">
        <v>871</v>
      </c>
      <c r="E279" s="18" t="s">
        <v>553</v>
      </c>
      <c r="F279" s="18" t="s">
        <v>654</v>
      </c>
      <c r="G279" s="18" t="s">
        <v>872</v>
      </c>
      <c r="H279" s="19">
        <v>44333</v>
      </c>
      <c r="I279" s="18">
        <v>5</v>
      </c>
      <c r="J279" s="18">
        <v>100</v>
      </c>
      <c r="K279" s="18">
        <v>0</v>
      </c>
      <c r="L279" s="18" t="s">
        <v>490</v>
      </c>
      <c r="M279" s="18" t="s">
        <v>8</v>
      </c>
      <c r="N279" s="18">
        <f t="shared" si="4"/>
        <v>0</v>
      </c>
      <c r="O279" s="20" t="s">
        <v>451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</row>
    <row r="280" spans="1:66" s="18" customFormat="1" ht="16" customHeight="1" x14ac:dyDescent="0.2">
      <c r="A280" s="18">
        <v>1480</v>
      </c>
      <c r="B280" s="18" t="s">
        <v>551</v>
      </c>
      <c r="C280" s="18" t="s">
        <v>870</v>
      </c>
      <c r="D280" s="18" t="s">
        <v>871</v>
      </c>
      <c r="E280" s="18" t="s">
        <v>553</v>
      </c>
      <c r="F280" s="18" t="s">
        <v>654</v>
      </c>
      <c r="G280" s="18" t="s">
        <v>873</v>
      </c>
      <c r="H280" s="19">
        <v>44333</v>
      </c>
      <c r="I280" s="18">
        <v>5</v>
      </c>
      <c r="J280" s="18">
        <v>100</v>
      </c>
      <c r="K280" s="18">
        <v>0</v>
      </c>
      <c r="L280" s="18" t="s">
        <v>490</v>
      </c>
      <c r="M280" s="18" t="s">
        <v>8</v>
      </c>
      <c r="N280" s="18">
        <f t="shared" si="4"/>
        <v>0</v>
      </c>
      <c r="O280" s="20" t="s">
        <v>451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</row>
    <row r="281" spans="1:66" s="18" customFormat="1" ht="16" customHeight="1" x14ac:dyDescent="0.2">
      <c r="A281" s="18">
        <v>1486</v>
      </c>
      <c r="B281" s="18" t="s">
        <v>551</v>
      </c>
      <c r="C281" s="18" t="s">
        <v>870</v>
      </c>
      <c r="D281" s="18" t="s">
        <v>871</v>
      </c>
      <c r="E281" s="18" t="s">
        <v>553</v>
      </c>
      <c r="F281" s="18" t="s">
        <v>654</v>
      </c>
      <c r="G281" s="18" t="s">
        <v>873</v>
      </c>
      <c r="H281" s="19">
        <v>44333</v>
      </c>
      <c r="I281" s="18">
        <v>5</v>
      </c>
      <c r="J281" s="18">
        <v>100</v>
      </c>
      <c r="K281" s="18">
        <v>0</v>
      </c>
      <c r="L281" s="18" t="s">
        <v>490</v>
      </c>
      <c r="M281" s="18" t="s">
        <v>8</v>
      </c>
      <c r="N281" s="18">
        <f t="shared" si="4"/>
        <v>0</v>
      </c>
      <c r="O281" s="20" t="s">
        <v>451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</row>
    <row r="282" spans="1:66" s="18" customFormat="1" ht="16" customHeight="1" x14ac:dyDescent="0.2">
      <c r="A282" s="18">
        <v>1492</v>
      </c>
      <c r="B282" s="18" t="s">
        <v>551</v>
      </c>
      <c r="C282" s="18" t="s">
        <v>870</v>
      </c>
      <c r="D282" s="18" t="s">
        <v>871</v>
      </c>
      <c r="E282" s="18" t="s">
        <v>553</v>
      </c>
      <c r="F282" s="18" t="s">
        <v>654</v>
      </c>
      <c r="G282" s="18" t="s">
        <v>873</v>
      </c>
      <c r="H282" s="19">
        <v>44333</v>
      </c>
      <c r="I282" s="18">
        <v>5</v>
      </c>
      <c r="J282" s="18">
        <v>100</v>
      </c>
      <c r="K282" s="18">
        <v>0</v>
      </c>
      <c r="L282" s="18" t="s">
        <v>490</v>
      </c>
      <c r="M282" s="18" t="s">
        <v>8</v>
      </c>
      <c r="N282" s="18">
        <f t="shared" si="4"/>
        <v>0</v>
      </c>
      <c r="O282" s="20" t="s">
        <v>451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</row>
    <row r="283" spans="1:66" s="18" customFormat="1" ht="16" customHeight="1" x14ac:dyDescent="0.2">
      <c r="A283" s="18">
        <v>1463</v>
      </c>
      <c r="B283" s="18" t="s">
        <v>551</v>
      </c>
      <c r="C283" s="18" t="s">
        <v>870</v>
      </c>
      <c r="D283" s="18" t="s">
        <v>871</v>
      </c>
      <c r="E283" s="18" t="s">
        <v>553</v>
      </c>
      <c r="F283" s="18" t="s">
        <v>654</v>
      </c>
      <c r="G283" s="18" t="s">
        <v>874</v>
      </c>
      <c r="H283" s="19">
        <v>44333</v>
      </c>
      <c r="I283" s="18">
        <v>5</v>
      </c>
      <c r="J283" s="18">
        <v>100</v>
      </c>
      <c r="K283" s="18">
        <v>0</v>
      </c>
      <c r="L283" s="18" t="s">
        <v>490</v>
      </c>
      <c r="M283" s="18" t="s">
        <v>8</v>
      </c>
      <c r="N283" s="18">
        <f t="shared" si="4"/>
        <v>0</v>
      </c>
      <c r="O283" s="20" t="s">
        <v>451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</row>
    <row r="284" spans="1:66" s="18" customFormat="1" ht="16" customHeight="1" x14ac:dyDescent="0.2">
      <c r="A284" s="18">
        <v>1469</v>
      </c>
      <c r="B284" s="18" t="s">
        <v>551</v>
      </c>
      <c r="C284" s="18" t="s">
        <v>870</v>
      </c>
      <c r="D284" s="18" t="s">
        <v>871</v>
      </c>
      <c r="E284" s="18" t="s">
        <v>553</v>
      </c>
      <c r="F284" s="18" t="s">
        <v>654</v>
      </c>
      <c r="G284" s="18" t="s">
        <v>874</v>
      </c>
      <c r="H284" s="19">
        <v>44333</v>
      </c>
      <c r="I284" s="18">
        <v>5</v>
      </c>
      <c r="J284" s="18">
        <v>100</v>
      </c>
      <c r="K284" s="18">
        <v>0</v>
      </c>
      <c r="L284" s="18" t="s">
        <v>490</v>
      </c>
      <c r="M284" s="18" t="s">
        <v>8</v>
      </c>
      <c r="N284" s="18">
        <f t="shared" si="4"/>
        <v>0</v>
      </c>
      <c r="O284" s="20" t="s">
        <v>451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</row>
    <row r="285" spans="1:66" s="18" customFormat="1" ht="16" customHeight="1" x14ac:dyDescent="0.2">
      <c r="A285" s="18">
        <v>1475</v>
      </c>
      <c r="B285" s="18" t="s">
        <v>551</v>
      </c>
      <c r="C285" s="18" t="s">
        <v>870</v>
      </c>
      <c r="D285" s="18" t="s">
        <v>871</v>
      </c>
      <c r="E285" s="18" t="s">
        <v>553</v>
      </c>
      <c r="F285" s="18" t="s">
        <v>654</v>
      </c>
      <c r="G285" s="18" t="s">
        <v>874</v>
      </c>
      <c r="H285" s="19">
        <v>44333</v>
      </c>
      <c r="I285" s="18">
        <v>5</v>
      </c>
      <c r="J285" s="18">
        <v>100</v>
      </c>
      <c r="K285" s="18">
        <v>0</v>
      </c>
      <c r="L285" s="18" t="s">
        <v>490</v>
      </c>
      <c r="M285" s="18" t="s">
        <v>8</v>
      </c>
      <c r="N285" s="18">
        <f t="shared" si="4"/>
        <v>0</v>
      </c>
      <c r="O285" s="20" t="s">
        <v>451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</row>
    <row r="286" spans="1:66" s="18" customFormat="1" ht="16" customHeight="1" x14ac:dyDescent="0.2">
      <c r="A286" s="16">
        <v>1481</v>
      </c>
      <c r="B286" s="16" t="s">
        <v>555</v>
      </c>
      <c r="C286" s="16" t="s">
        <v>870</v>
      </c>
      <c r="D286" s="16" t="s">
        <v>875</v>
      </c>
      <c r="E286" s="16" t="s">
        <v>553</v>
      </c>
      <c r="F286" s="16" t="s">
        <v>654</v>
      </c>
      <c r="G286" s="16" t="s">
        <v>876</v>
      </c>
      <c r="H286" s="17">
        <v>44333</v>
      </c>
      <c r="I286" s="16">
        <v>5</v>
      </c>
      <c r="J286" s="16">
        <v>100</v>
      </c>
      <c r="K286" s="16">
        <v>0</v>
      </c>
      <c r="L286" s="16" t="s">
        <v>490</v>
      </c>
      <c r="M286" s="16" t="s">
        <v>8</v>
      </c>
      <c r="N286" s="16">
        <f t="shared" si="4"/>
        <v>0</v>
      </c>
      <c r="O286" s="22" t="s">
        <v>451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</row>
    <row r="287" spans="1:66" s="18" customFormat="1" ht="16" customHeight="1" x14ac:dyDescent="0.2">
      <c r="A287" s="16">
        <v>1487</v>
      </c>
      <c r="B287" s="16" t="s">
        <v>555</v>
      </c>
      <c r="C287" s="16" t="s">
        <v>870</v>
      </c>
      <c r="D287" s="16" t="s">
        <v>875</v>
      </c>
      <c r="E287" s="16" t="s">
        <v>553</v>
      </c>
      <c r="F287" s="16" t="s">
        <v>654</v>
      </c>
      <c r="G287" s="16" t="s">
        <v>876</v>
      </c>
      <c r="H287" s="17">
        <v>44333</v>
      </c>
      <c r="I287" s="16">
        <v>5</v>
      </c>
      <c r="J287" s="16">
        <v>100</v>
      </c>
      <c r="K287" s="16">
        <v>0</v>
      </c>
      <c r="L287" s="16" t="s">
        <v>490</v>
      </c>
      <c r="M287" s="16" t="s">
        <v>8</v>
      </c>
      <c r="N287" s="16">
        <f t="shared" si="4"/>
        <v>0</v>
      </c>
      <c r="O287" s="22" t="s">
        <v>451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</row>
    <row r="288" spans="1:66" s="18" customFormat="1" ht="16" customHeight="1" x14ac:dyDescent="0.2">
      <c r="A288" s="16">
        <v>1493</v>
      </c>
      <c r="B288" s="16" t="s">
        <v>555</v>
      </c>
      <c r="C288" s="16" t="s">
        <v>870</v>
      </c>
      <c r="D288" s="16" t="s">
        <v>875</v>
      </c>
      <c r="E288" s="16" t="s">
        <v>553</v>
      </c>
      <c r="F288" s="16" t="s">
        <v>654</v>
      </c>
      <c r="G288" s="16" t="s">
        <v>876</v>
      </c>
      <c r="H288" s="17">
        <v>44333</v>
      </c>
      <c r="I288" s="16">
        <v>5</v>
      </c>
      <c r="J288" s="16">
        <v>100</v>
      </c>
      <c r="K288" s="16">
        <v>0</v>
      </c>
      <c r="L288" s="16" t="s">
        <v>490</v>
      </c>
      <c r="M288" s="16" t="s">
        <v>8</v>
      </c>
      <c r="N288" s="16">
        <f t="shared" si="4"/>
        <v>0</v>
      </c>
      <c r="O288" s="22" t="s">
        <v>451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</row>
    <row r="289" spans="1:66" s="18" customFormat="1" ht="16" customHeight="1" x14ac:dyDescent="0.2">
      <c r="A289" s="16">
        <v>1464</v>
      </c>
      <c r="B289" s="16" t="s">
        <v>555</v>
      </c>
      <c r="C289" s="16" t="s">
        <v>870</v>
      </c>
      <c r="D289" s="16" t="s">
        <v>875</v>
      </c>
      <c r="E289" s="16" t="s">
        <v>553</v>
      </c>
      <c r="F289" s="16" t="s">
        <v>654</v>
      </c>
      <c r="G289" s="16" t="s">
        <v>877</v>
      </c>
      <c r="H289" s="17">
        <v>44333</v>
      </c>
      <c r="I289" s="16">
        <v>5</v>
      </c>
      <c r="J289" s="16">
        <v>100</v>
      </c>
      <c r="K289" s="16">
        <v>0</v>
      </c>
      <c r="L289" s="16" t="s">
        <v>490</v>
      </c>
      <c r="M289" s="16" t="s">
        <v>8</v>
      </c>
      <c r="N289" s="16">
        <f t="shared" si="4"/>
        <v>0</v>
      </c>
      <c r="O289" s="22" t="s">
        <v>451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</row>
    <row r="290" spans="1:66" s="16" customFormat="1" ht="16" customHeight="1" x14ac:dyDescent="0.2">
      <c r="A290" s="16">
        <v>1470</v>
      </c>
      <c r="B290" s="16" t="s">
        <v>555</v>
      </c>
      <c r="C290" s="16" t="s">
        <v>870</v>
      </c>
      <c r="D290" s="16" t="s">
        <v>875</v>
      </c>
      <c r="E290" s="16" t="s">
        <v>553</v>
      </c>
      <c r="F290" s="16" t="s">
        <v>654</v>
      </c>
      <c r="G290" s="16" t="s">
        <v>877</v>
      </c>
      <c r="H290" s="17">
        <v>44333</v>
      </c>
      <c r="I290" s="16">
        <v>5</v>
      </c>
      <c r="J290" s="16">
        <v>100</v>
      </c>
      <c r="K290" s="16">
        <v>0</v>
      </c>
      <c r="L290" s="16" t="s">
        <v>490</v>
      </c>
      <c r="M290" s="16" t="s">
        <v>8</v>
      </c>
      <c r="N290" s="16">
        <f t="shared" si="4"/>
        <v>0</v>
      </c>
      <c r="O290" s="22" t="s">
        <v>451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</row>
    <row r="291" spans="1:66" s="16" customFormat="1" ht="16" customHeight="1" x14ac:dyDescent="0.2">
      <c r="A291" s="16">
        <v>1476</v>
      </c>
      <c r="B291" s="16" t="s">
        <v>555</v>
      </c>
      <c r="C291" s="16" t="s">
        <v>870</v>
      </c>
      <c r="D291" s="16" t="s">
        <v>875</v>
      </c>
      <c r="E291" s="16" t="s">
        <v>553</v>
      </c>
      <c r="F291" s="16" t="s">
        <v>654</v>
      </c>
      <c r="G291" s="16" t="s">
        <v>877</v>
      </c>
      <c r="H291" s="17">
        <v>44333</v>
      </c>
      <c r="I291" s="16">
        <v>5</v>
      </c>
      <c r="J291" s="16">
        <v>100</v>
      </c>
      <c r="K291" s="16">
        <v>0</v>
      </c>
      <c r="L291" s="16" t="s">
        <v>490</v>
      </c>
      <c r="M291" s="16" t="s">
        <v>8</v>
      </c>
      <c r="N291" s="16">
        <f t="shared" si="4"/>
        <v>0</v>
      </c>
      <c r="O291" s="22" t="s">
        <v>451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</row>
    <row r="292" spans="1:66" s="16" customFormat="1" ht="16" customHeight="1" x14ac:dyDescent="0.2">
      <c r="A292" s="16">
        <v>1482</v>
      </c>
      <c r="B292" s="16" t="s">
        <v>555</v>
      </c>
      <c r="C292" s="16" t="s">
        <v>870</v>
      </c>
      <c r="D292" s="16" t="s">
        <v>875</v>
      </c>
      <c r="E292" s="16" t="s">
        <v>553</v>
      </c>
      <c r="F292" s="16" t="s">
        <v>654</v>
      </c>
      <c r="G292" s="16" t="s">
        <v>878</v>
      </c>
      <c r="H292" s="17">
        <v>44333</v>
      </c>
      <c r="I292" s="16">
        <v>5</v>
      </c>
      <c r="J292" s="16">
        <v>100</v>
      </c>
      <c r="K292" s="16">
        <v>0</v>
      </c>
      <c r="L292" s="16" t="s">
        <v>490</v>
      </c>
      <c r="M292" s="16" t="s">
        <v>8</v>
      </c>
      <c r="N292" s="16">
        <f t="shared" si="4"/>
        <v>0</v>
      </c>
      <c r="O292" s="22" t="s">
        <v>451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</row>
    <row r="293" spans="1:66" s="16" customFormat="1" ht="16" customHeight="1" x14ac:dyDescent="0.2">
      <c r="A293" s="16">
        <v>1488</v>
      </c>
      <c r="B293" s="16" t="s">
        <v>555</v>
      </c>
      <c r="C293" s="16" t="s">
        <v>870</v>
      </c>
      <c r="D293" s="16" t="s">
        <v>875</v>
      </c>
      <c r="E293" s="16" t="s">
        <v>553</v>
      </c>
      <c r="F293" s="16" t="s">
        <v>654</v>
      </c>
      <c r="G293" s="16" t="s">
        <v>878</v>
      </c>
      <c r="H293" s="17">
        <v>44333</v>
      </c>
      <c r="I293" s="16">
        <v>5</v>
      </c>
      <c r="J293" s="16">
        <v>100</v>
      </c>
      <c r="K293" s="16">
        <v>0</v>
      </c>
      <c r="L293" s="16" t="s">
        <v>490</v>
      </c>
      <c r="M293" s="16" t="s">
        <v>8</v>
      </c>
      <c r="N293" s="16">
        <f t="shared" si="4"/>
        <v>0</v>
      </c>
      <c r="O293" s="22" t="s">
        <v>451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</row>
    <row r="294" spans="1:66" s="16" customFormat="1" ht="16" customHeight="1" x14ac:dyDescent="0.2">
      <c r="A294" s="16">
        <v>1494</v>
      </c>
      <c r="B294" s="16" t="s">
        <v>555</v>
      </c>
      <c r="C294" s="16" t="s">
        <v>870</v>
      </c>
      <c r="D294" s="16" t="s">
        <v>875</v>
      </c>
      <c r="E294" s="16" t="s">
        <v>553</v>
      </c>
      <c r="F294" s="16" t="s">
        <v>654</v>
      </c>
      <c r="G294" s="16" t="s">
        <v>878</v>
      </c>
      <c r="H294" s="17">
        <v>44333</v>
      </c>
      <c r="I294" s="16">
        <v>5</v>
      </c>
      <c r="J294" s="16">
        <v>100</v>
      </c>
      <c r="K294" s="16">
        <v>0</v>
      </c>
      <c r="L294" s="16" t="s">
        <v>490</v>
      </c>
      <c r="M294" s="16" t="s">
        <v>8</v>
      </c>
      <c r="N294" s="16">
        <f t="shared" si="4"/>
        <v>0</v>
      </c>
      <c r="O294" s="22" t="s">
        <v>451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</row>
    <row r="295" spans="1:66" s="16" customFormat="1" ht="16" customHeight="1" x14ac:dyDescent="0.2">
      <c r="A295" s="18">
        <v>1516</v>
      </c>
      <c r="B295" s="18" t="s">
        <v>557</v>
      </c>
      <c r="C295" s="18" t="s">
        <v>879</v>
      </c>
      <c r="D295" s="18" t="s">
        <v>880</v>
      </c>
      <c r="E295" s="18" t="s">
        <v>559</v>
      </c>
      <c r="F295" s="18" t="s">
        <v>654</v>
      </c>
      <c r="G295" s="18" t="s">
        <v>881</v>
      </c>
      <c r="H295" s="19">
        <v>44334</v>
      </c>
      <c r="I295" s="18">
        <v>5</v>
      </c>
      <c r="J295" s="18">
        <v>100</v>
      </c>
      <c r="K295" s="18">
        <v>3.3202406484101799</v>
      </c>
      <c r="L295" s="18" t="s">
        <v>490</v>
      </c>
      <c r="M295" s="18" t="s">
        <v>8</v>
      </c>
      <c r="N295" s="18">
        <f t="shared" si="4"/>
        <v>166.012032420509</v>
      </c>
      <c r="O295" s="20" t="s">
        <v>451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</row>
    <row r="296" spans="1:66" s="16" customFormat="1" ht="16" customHeight="1" x14ac:dyDescent="0.2">
      <c r="A296" s="18">
        <v>1523</v>
      </c>
      <c r="B296" s="18" t="s">
        <v>557</v>
      </c>
      <c r="C296" s="18" t="s">
        <v>879</v>
      </c>
      <c r="D296" s="18" t="s">
        <v>880</v>
      </c>
      <c r="E296" s="18" t="s">
        <v>559</v>
      </c>
      <c r="F296" s="18" t="s">
        <v>654</v>
      </c>
      <c r="G296" s="18" t="s">
        <v>881</v>
      </c>
      <c r="H296" s="19">
        <v>44334</v>
      </c>
      <c r="I296" s="18">
        <v>5</v>
      </c>
      <c r="J296" s="18">
        <v>100</v>
      </c>
      <c r="K296" s="18">
        <v>0</v>
      </c>
      <c r="L296" s="18" t="s">
        <v>490</v>
      </c>
      <c r="M296" s="18" t="s">
        <v>8</v>
      </c>
      <c r="N296" s="18">
        <f t="shared" si="4"/>
        <v>0</v>
      </c>
      <c r="O296" s="20" t="s">
        <v>451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</row>
    <row r="297" spans="1:66" s="16" customFormat="1" ht="16" customHeight="1" x14ac:dyDescent="0.2">
      <c r="A297" s="18">
        <v>1530</v>
      </c>
      <c r="B297" s="18" t="s">
        <v>557</v>
      </c>
      <c r="C297" s="18" t="s">
        <v>879</v>
      </c>
      <c r="D297" s="18" t="s">
        <v>880</v>
      </c>
      <c r="E297" s="18" t="s">
        <v>559</v>
      </c>
      <c r="F297" s="18" t="s">
        <v>654</v>
      </c>
      <c r="G297" s="18" t="s">
        <v>881</v>
      </c>
      <c r="H297" s="19">
        <v>44334</v>
      </c>
      <c r="I297" s="18">
        <v>5</v>
      </c>
      <c r="J297" s="18">
        <v>100</v>
      </c>
      <c r="K297" s="18">
        <v>0</v>
      </c>
      <c r="L297" s="18" t="s">
        <v>490</v>
      </c>
      <c r="M297" s="18" t="s">
        <v>8</v>
      </c>
      <c r="N297" s="18">
        <f t="shared" si="4"/>
        <v>0</v>
      </c>
      <c r="O297" s="20" t="s">
        <v>451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</row>
    <row r="298" spans="1:66" s="16" customFormat="1" ht="16" customHeight="1" x14ac:dyDescent="0.2">
      <c r="A298" s="18">
        <v>1498</v>
      </c>
      <c r="B298" s="18" t="s">
        <v>557</v>
      </c>
      <c r="C298" s="18" t="s">
        <v>879</v>
      </c>
      <c r="D298" s="18" t="s">
        <v>880</v>
      </c>
      <c r="E298" s="18" t="s">
        <v>559</v>
      </c>
      <c r="F298" s="18" t="s">
        <v>654</v>
      </c>
      <c r="G298" s="18" t="s">
        <v>882</v>
      </c>
      <c r="H298" s="19">
        <v>44334</v>
      </c>
      <c r="I298" s="18">
        <v>5</v>
      </c>
      <c r="J298" s="18">
        <v>100</v>
      </c>
      <c r="K298" s="18">
        <v>0</v>
      </c>
      <c r="L298" s="18" t="s">
        <v>490</v>
      </c>
      <c r="M298" s="18" t="s">
        <v>8</v>
      </c>
      <c r="N298" s="18">
        <f t="shared" si="4"/>
        <v>0</v>
      </c>
      <c r="O298" s="20" t="s">
        <v>451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</row>
    <row r="299" spans="1:66" s="18" customFormat="1" ht="16" customHeight="1" x14ac:dyDescent="0.2">
      <c r="A299" s="18">
        <v>1504</v>
      </c>
      <c r="B299" s="18" t="s">
        <v>557</v>
      </c>
      <c r="C299" s="18" t="s">
        <v>879</v>
      </c>
      <c r="D299" s="18" t="s">
        <v>880</v>
      </c>
      <c r="E299" s="18" t="s">
        <v>559</v>
      </c>
      <c r="F299" s="18" t="s">
        <v>654</v>
      </c>
      <c r="G299" s="18" t="s">
        <v>882</v>
      </c>
      <c r="H299" s="19">
        <v>44334</v>
      </c>
      <c r="I299" s="18">
        <v>5</v>
      </c>
      <c r="J299" s="18">
        <v>100</v>
      </c>
      <c r="K299" s="18">
        <v>0.61198200843217698</v>
      </c>
      <c r="L299" s="18" t="s">
        <v>490</v>
      </c>
      <c r="M299" s="18" t="s">
        <v>8</v>
      </c>
      <c r="N299" s="18">
        <f t="shared" si="4"/>
        <v>30.599100421608849</v>
      </c>
      <c r="O299" s="20" t="s">
        <v>451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</row>
    <row r="300" spans="1:66" s="18" customFormat="1" ht="16" customHeight="1" x14ac:dyDescent="0.2">
      <c r="A300" s="18">
        <v>1510</v>
      </c>
      <c r="B300" s="18" t="s">
        <v>557</v>
      </c>
      <c r="C300" s="18" t="s">
        <v>879</v>
      </c>
      <c r="D300" s="18" t="s">
        <v>880</v>
      </c>
      <c r="E300" s="18" t="s">
        <v>559</v>
      </c>
      <c r="F300" s="18" t="s">
        <v>654</v>
      </c>
      <c r="G300" s="18" t="s">
        <v>882</v>
      </c>
      <c r="H300" s="19">
        <v>44334</v>
      </c>
      <c r="I300" s="18">
        <v>5</v>
      </c>
      <c r="J300" s="18">
        <v>100</v>
      </c>
      <c r="K300" s="18">
        <v>0</v>
      </c>
      <c r="L300" s="18" t="s">
        <v>490</v>
      </c>
      <c r="M300" s="18" t="s">
        <v>8</v>
      </c>
      <c r="N300" s="18">
        <f t="shared" si="4"/>
        <v>0</v>
      </c>
      <c r="O300" s="20" t="s">
        <v>451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</row>
    <row r="301" spans="1:66" s="18" customFormat="1" ht="16" customHeight="1" x14ac:dyDescent="0.2">
      <c r="A301" s="18">
        <v>1517</v>
      </c>
      <c r="B301" s="18" t="s">
        <v>557</v>
      </c>
      <c r="C301" s="18" t="s">
        <v>879</v>
      </c>
      <c r="D301" s="18" t="s">
        <v>880</v>
      </c>
      <c r="E301" s="18" t="s">
        <v>559</v>
      </c>
      <c r="F301" s="18" t="s">
        <v>654</v>
      </c>
      <c r="G301" s="18" t="s">
        <v>883</v>
      </c>
      <c r="H301" s="19">
        <v>44334</v>
      </c>
      <c r="I301" s="18">
        <v>5</v>
      </c>
      <c r="J301" s="18">
        <v>100</v>
      </c>
      <c r="K301" s="18">
        <v>1.6316259164387199</v>
      </c>
      <c r="L301" s="18" t="s">
        <v>490</v>
      </c>
      <c r="M301" s="18" t="s">
        <v>8</v>
      </c>
      <c r="N301" s="18">
        <f t="shared" si="4"/>
        <v>81.581295821935981</v>
      </c>
      <c r="O301" s="20" t="s">
        <v>451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</row>
    <row r="302" spans="1:66" s="18" customFormat="1" ht="16" customHeight="1" x14ac:dyDescent="0.2">
      <c r="A302" s="18">
        <v>1524</v>
      </c>
      <c r="B302" s="18" t="s">
        <v>557</v>
      </c>
      <c r="C302" s="18" t="s">
        <v>879</v>
      </c>
      <c r="D302" s="18" t="s">
        <v>880</v>
      </c>
      <c r="E302" s="18" t="s">
        <v>559</v>
      </c>
      <c r="F302" s="18" t="s">
        <v>654</v>
      </c>
      <c r="G302" s="18" t="s">
        <v>883</v>
      </c>
      <c r="H302" s="19">
        <v>44334</v>
      </c>
      <c r="I302" s="18">
        <v>5</v>
      </c>
      <c r="J302" s="18">
        <v>100</v>
      </c>
      <c r="K302" s="18">
        <v>4.5781461687515996</v>
      </c>
      <c r="L302" s="18" t="s">
        <v>490</v>
      </c>
      <c r="M302" s="18" t="s">
        <v>8</v>
      </c>
      <c r="N302" s="18">
        <f t="shared" si="4"/>
        <v>228.90730843758001</v>
      </c>
      <c r="O302" s="20" t="s">
        <v>451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</row>
    <row r="303" spans="1:66" s="18" customFormat="1" ht="16" customHeight="1" x14ac:dyDescent="0.2">
      <c r="A303" s="18">
        <v>1531</v>
      </c>
      <c r="B303" s="18" t="s">
        <v>557</v>
      </c>
      <c r="C303" s="18" t="s">
        <v>879</v>
      </c>
      <c r="D303" s="18" t="s">
        <v>880</v>
      </c>
      <c r="E303" s="18" t="s">
        <v>559</v>
      </c>
      <c r="F303" s="18" t="s">
        <v>654</v>
      </c>
      <c r="G303" s="18" t="s">
        <v>883</v>
      </c>
      <c r="H303" s="19">
        <v>44334</v>
      </c>
      <c r="I303" s="18">
        <v>5</v>
      </c>
      <c r="J303" s="18">
        <v>100</v>
      </c>
      <c r="K303" s="18">
        <v>0</v>
      </c>
      <c r="L303" s="18" t="s">
        <v>490</v>
      </c>
      <c r="M303" s="18" t="s">
        <v>8</v>
      </c>
      <c r="N303" s="18">
        <f t="shared" si="4"/>
        <v>0</v>
      </c>
      <c r="O303" s="20" t="s">
        <v>451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</row>
    <row r="304" spans="1:66" s="18" customFormat="1" ht="16" customHeight="1" x14ac:dyDescent="0.2">
      <c r="A304" s="16">
        <v>1499</v>
      </c>
      <c r="B304" s="16" t="s">
        <v>561</v>
      </c>
      <c r="C304" s="16" t="s">
        <v>879</v>
      </c>
      <c r="D304" s="16" t="s">
        <v>884</v>
      </c>
      <c r="E304" s="16" t="s">
        <v>559</v>
      </c>
      <c r="F304" s="16" t="s">
        <v>654</v>
      </c>
      <c r="G304" s="16" t="s">
        <v>885</v>
      </c>
      <c r="H304" s="17">
        <v>44334</v>
      </c>
      <c r="I304" s="16">
        <v>5</v>
      </c>
      <c r="J304" s="16">
        <v>100</v>
      </c>
      <c r="K304" s="16">
        <v>0</v>
      </c>
      <c r="L304" s="16" t="s">
        <v>490</v>
      </c>
      <c r="M304" s="16" t="s">
        <v>8</v>
      </c>
      <c r="N304" s="16">
        <f t="shared" si="4"/>
        <v>0</v>
      </c>
      <c r="O304" s="22" t="s">
        <v>750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</row>
    <row r="305" spans="1:66" s="18" customFormat="1" ht="16" customHeight="1" x14ac:dyDescent="0.2">
      <c r="A305" s="16">
        <v>1505</v>
      </c>
      <c r="B305" s="16" t="s">
        <v>561</v>
      </c>
      <c r="C305" s="16" t="s">
        <v>879</v>
      </c>
      <c r="D305" s="16" t="s">
        <v>884</v>
      </c>
      <c r="E305" s="16" t="s">
        <v>559</v>
      </c>
      <c r="F305" s="16" t="s">
        <v>654</v>
      </c>
      <c r="G305" s="16" t="s">
        <v>885</v>
      </c>
      <c r="H305" s="17">
        <v>44334</v>
      </c>
      <c r="I305" s="16">
        <v>5</v>
      </c>
      <c r="J305" s="16">
        <v>100</v>
      </c>
      <c r="K305" s="16">
        <v>0</v>
      </c>
      <c r="L305" s="16" t="s">
        <v>490</v>
      </c>
      <c r="M305" s="16" t="s">
        <v>8</v>
      </c>
      <c r="N305" s="16">
        <f t="shared" si="4"/>
        <v>0</v>
      </c>
      <c r="O305" s="22" t="s">
        <v>750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</row>
    <row r="306" spans="1:66" s="18" customFormat="1" ht="16" customHeight="1" x14ac:dyDescent="0.2">
      <c r="A306" s="16">
        <v>1511</v>
      </c>
      <c r="B306" s="16" t="s">
        <v>561</v>
      </c>
      <c r="C306" s="16" t="s">
        <v>879</v>
      </c>
      <c r="D306" s="16" t="s">
        <v>884</v>
      </c>
      <c r="E306" s="16" t="s">
        <v>559</v>
      </c>
      <c r="F306" s="16" t="s">
        <v>654</v>
      </c>
      <c r="G306" s="16" t="s">
        <v>885</v>
      </c>
      <c r="H306" s="17">
        <v>44334</v>
      </c>
      <c r="I306" s="16">
        <v>5</v>
      </c>
      <c r="J306" s="16">
        <v>100</v>
      </c>
      <c r="K306" s="16">
        <v>0</v>
      </c>
      <c r="L306" s="16" t="s">
        <v>490</v>
      </c>
      <c r="M306" s="16" t="s">
        <v>8</v>
      </c>
      <c r="N306" s="16">
        <f t="shared" si="4"/>
        <v>0</v>
      </c>
      <c r="O306" s="22" t="s">
        <v>750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</row>
    <row r="307" spans="1:66" s="18" customFormat="1" ht="16" customHeight="1" x14ac:dyDescent="0.2">
      <c r="A307" s="18">
        <v>1518</v>
      </c>
      <c r="B307" s="18" t="s">
        <v>563</v>
      </c>
      <c r="C307" s="18" t="s">
        <v>879</v>
      </c>
      <c r="D307" s="18" t="s">
        <v>886</v>
      </c>
      <c r="E307" s="18" t="s">
        <v>559</v>
      </c>
      <c r="F307" s="18" t="s">
        <v>654</v>
      </c>
      <c r="G307" s="18" t="s">
        <v>887</v>
      </c>
      <c r="H307" s="19">
        <v>44334</v>
      </c>
      <c r="I307" s="18">
        <v>5</v>
      </c>
      <c r="J307" s="18">
        <v>80</v>
      </c>
      <c r="K307" s="18">
        <v>6.5745607992293804</v>
      </c>
      <c r="L307" s="18" t="s">
        <v>490</v>
      </c>
      <c r="M307" s="18" t="s">
        <v>8</v>
      </c>
      <c r="N307" s="18">
        <f t="shared" si="4"/>
        <v>410.91004995183624</v>
      </c>
      <c r="O307" s="20" t="s">
        <v>750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</row>
    <row r="308" spans="1:66" s="18" customFormat="1" ht="16" customHeight="1" x14ac:dyDescent="0.2">
      <c r="A308" s="18">
        <v>1525</v>
      </c>
      <c r="B308" s="18" t="s">
        <v>563</v>
      </c>
      <c r="C308" s="18" t="s">
        <v>879</v>
      </c>
      <c r="D308" s="18" t="s">
        <v>886</v>
      </c>
      <c r="E308" s="18" t="s">
        <v>559</v>
      </c>
      <c r="F308" s="18" t="s">
        <v>654</v>
      </c>
      <c r="G308" s="18" t="s">
        <v>887</v>
      </c>
      <c r="H308" s="19">
        <v>44334</v>
      </c>
      <c r="I308" s="18">
        <v>5</v>
      </c>
      <c r="J308" s="18">
        <v>80</v>
      </c>
      <c r="K308" s="18">
        <v>3.54683707109769</v>
      </c>
      <c r="L308" s="18" t="s">
        <v>490</v>
      </c>
      <c r="M308" s="18" t="s">
        <v>8</v>
      </c>
      <c r="N308" s="18">
        <f t="shared" si="4"/>
        <v>221.6773169436056</v>
      </c>
      <c r="O308" s="20" t="s">
        <v>750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</row>
    <row r="309" spans="1:66" s="18" customFormat="1" ht="16" customHeight="1" x14ac:dyDescent="0.2">
      <c r="A309" s="18">
        <v>1532</v>
      </c>
      <c r="B309" s="18" t="s">
        <v>563</v>
      </c>
      <c r="C309" s="18" t="s">
        <v>879</v>
      </c>
      <c r="D309" s="18" t="s">
        <v>886</v>
      </c>
      <c r="E309" s="18" t="s">
        <v>559</v>
      </c>
      <c r="F309" s="18" t="s">
        <v>654</v>
      </c>
      <c r="G309" s="18" t="s">
        <v>887</v>
      </c>
      <c r="H309" s="19">
        <v>44334</v>
      </c>
      <c r="I309" s="18">
        <v>5</v>
      </c>
      <c r="J309" s="18">
        <v>80</v>
      </c>
      <c r="K309" s="18">
        <v>7.3947097994655504</v>
      </c>
      <c r="L309" s="18" t="s">
        <v>490</v>
      </c>
      <c r="M309" s="18" t="s">
        <v>8</v>
      </c>
      <c r="N309" s="18">
        <f t="shared" si="4"/>
        <v>462.16936246659691</v>
      </c>
      <c r="O309" s="20" t="s">
        <v>750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</row>
    <row r="310" spans="1:66" s="18" customFormat="1" ht="16" customHeight="1" x14ac:dyDescent="0.2">
      <c r="A310" s="16">
        <v>1535</v>
      </c>
      <c r="B310" s="16" t="s">
        <v>565</v>
      </c>
      <c r="C310" s="16" t="s">
        <v>888</v>
      </c>
      <c r="D310" s="16" t="s">
        <v>889</v>
      </c>
      <c r="E310" s="16" t="s">
        <v>568</v>
      </c>
      <c r="F310" s="16" t="s">
        <v>654</v>
      </c>
      <c r="G310" s="16" t="s">
        <v>890</v>
      </c>
      <c r="H310" s="17">
        <v>44335</v>
      </c>
      <c r="I310" s="16">
        <v>5</v>
      </c>
      <c r="J310" s="16">
        <v>100</v>
      </c>
      <c r="K310" s="16">
        <v>0</v>
      </c>
      <c r="L310" s="16" t="s">
        <v>490</v>
      </c>
      <c r="M310" s="16" t="s">
        <v>8</v>
      </c>
      <c r="N310" s="16">
        <f t="shared" si="4"/>
        <v>0</v>
      </c>
      <c r="O310" s="22" t="s">
        <v>451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</row>
    <row r="311" spans="1:66" s="18" customFormat="1" ht="16" customHeight="1" x14ac:dyDescent="0.2">
      <c r="A311" s="16">
        <v>1542</v>
      </c>
      <c r="B311" s="16" t="s">
        <v>565</v>
      </c>
      <c r="C311" s="16" t="s">
        <v>888</v>
      </c>
      <c r="D311" s="16" t="s">
        <v>889</v>
      </c>
      <c r="E311" s="16" t="s">
        <v>568</v>
      </c>
      <c r="F311" s="16" t="s">
        <v>654</v>
      </c>
      <c r="G311" s="16" t="s">
        <v>890</v>
      </c>
      <c r="H311" s="17">
        <v>44335</v>
      </c>
      <c r="I311" s="16">
        <v>5</v>
      </c>
      <c r="J311" s="16">
        <v>100</v>
      </c>
      <c r="K311" s="16">
        <v>0</v>
      </c>
      <c r="L311" s="16" t="s">
        <v>490</v>
      </c>
      <c r="M311" s="16" t="s">
        <v>8</v>
      </c>
      <c r="N311" s="16">
        <f t="shared" si="4"/>
        <v>0</v>
      </c>
      <c r="O311" s="22" t="s">
        <v>451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</row>
    <row r="312" spans="1:66" s="18" customFormat="1" ht="16" customHeight="1" x14ac:dyDescent="0.2">
      <c r="A312" s="16">
        <v>1549</v>
      </c>
      <c r="B312" s="16" t="s">
        <v>565</v>
      </c>
      <c r="C312" s="16" t="s">
        <v>888</v>
      </c>
      <c r="D312" s="16" t="s">
        <v>889</v>
      </c>
      <c r="E312" s="16" t="s">
        <v>568</v>
      </c>
      <c r="F312" s="16" t="s">
        <v>654</v>
      </c>
      <c r="G312" s="16" t="s">
        <v>890</v>
      </c>
      <c r="H312" s="17">
        <v>44335</v>
      </c>
      <c r="I312" s="16">
        <v>5</v>
      </c>
      <c r="J312" s="16">
        <v>100</v>
      </c>
      <c r="K312" s="16">
        <v>0</v>
      </c>
      <c r="L312" s="16" t="s">
        <v>490</v>
      </c>
      <c r="M312" s="16" t="s">
        <v>8</v>
      </c>
      <c r="N312" s="16">
        <f t="shared" si="4"/>
        <v>0</v>
      </c>
      <c r="O312" s="22" t="s">
        <v>451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</row>
    <row r="313" spans="1:66" s="18" customFormat="1" ht="16" customHeight="1" x14ac:dyDescent="0.2">
      <c r="A313" s="16">
        <v>1555</v>
      </c>
      <c r="B313" s="16" t="s">
        <v>565</v>
      </c>
      <c r="C313" s="16" t="s">
        <v>888</v>
      </c>
      <c r="D313" s="16" t="s">
        <v>889</v>
      </c>
      <c r="E313" s="16" t="s">
        <v>568</v>
      </c>
      <c r="F313" s="16" t="s">
        <v>654</v>
      </c>
      <c r="G313" s="16" t="s">
        <v>891</v>
      </c>
      <c r="H313" s="17">
        <v>44335</v>
      </c>
      <c r="I313" s="16">
        <v>5</v>
      </c>
      <c r="J313" s="16">
        <v>100</v>
      </c>
      <c r="K313" s="16">
        <v>0</v>
      </c>
      <c r="L313" s="16" t="s">
        <v>490</v>
      </c>
      <c r="M313" s="16" t="s">
        <v>8</v>
      </c>
      <c r="N313" s="16">
        <f t="shared" si="4"/>
        <v>0</v>
      </c>
      <c r="O313" s="22" t="s">
        <v>451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</row>
    <row r="314" spans="1:66" s="18" customFormat="1" ht="16" customHeight="1" x14ac:dyDescent="0.2">
      <c r="A314" s="16">
        <v>1561</v>
      </c>
      <c r="B314" s="16" t="s">
        <v>565</v>
      </c>
      <c r="C314" s="16" t="s">
        <v>888</v>
      </c>
      <c r="D314" s="16" t="s">
        <v>889</v>
      </c>
      <c r="E314" s="16" t="s">
        <v>568</v>
      </c>
      <c r="F314" s="16" t="s">
        <v>654</v>
      </c>
      <c r="G314" s="16" t="s">
        <v>891</v>
      </c>
      <c r="H314" s="17">
        <v>44335</v>
      </c>
      <c r="I314" s="16">
        <v>5</v>
      </c>
      <c r="J314" s="16">
        <v>100</v>
      </c>
      <c r="K314" s="16">
        <v>0</v>
      </c>
      <c r="L314" s="16" t="s">
        <v>490</v>
      </c>
      <c r="M314" s="16" t="s">
        <v>8</v>
      </c>
      <c r="N314" s="16">
        <f t="shared" si="4"/>
        <v>0</v>
      </c>
      <c r="O314" s="22" t="s">
        <v>451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</row>
    <row r="315" spans="1:66" s="18" customFormat="1" ht="16" customHeight="1" x14ac:dyDescent="0.2">
      <c r="A315" s="16">
        <v>1567</v>
      </c>
      <c r="B315" s="16" t="s">
        <v>565</v>
      </c>
      <c r="C315" s="16" t="s">
        <v>888</v>
      </c>
      <c r="D315" s="16" t="s">
        <v>889</v>
      </c>
      <c r="E315" s="16" t="s">
        <v>568</v>
      </c>
      <c r="F315" s="16" t="s">
        <v>654</v>
      </c>
      <c r="G315" s="16" t="s">
        <v>891</v>
      </c>
      <c r="H315" s="17">
        <v>44335</v>
      </c>
      <c r="I315" s="16">
        <v>5</v>
      </c>
      <c r="J315" s="16">
        <v>100</v>
      </c>
      <c r="K315" s="16">
        <v>0</v>
      </c>
      <c r="L315" s="16" t="s">
        <v>490</v>
      </c>
      <c r="M315" s="16" t="s">
        <v>8</v>
      </c>
      <c r="N315" s="16">
        <f t="shared" si="4"/>
        <v>0</v>
      </c>
      <c r="O315" s="22" t="s">
        <v>451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</row>
    <row r="316" spans="1:66" s="18" customFormat="1" ht="16" customHeight="1" x14ac:dyDescent="0.2">
      <c r="A316" s="16">
        <v>1536</v>
      </c>
      <c r="B316" s="16" t="s">
        <v>565</v>
      </c>
      <c r="C316" s="16" t="s">
        <v>888</v>
      </c>
      <c r="D316" s="16" t="s">
        <v>889</v>
      </c>
      <c r="E316" s="16" t="s">
        <v>568</v>
      </c>
      <c r="F316" s="16" t="s">
        <v>654</v>
      </c>
      <c r="G316" s="16" t="s">
        <v>892</v>
      </c>
      <c r="H316" s="17">
        <v>44335</v>
      </c>
      <c r="I316" s="16">
        <v>5</v>
      </c>
      <c r="J316" s="16">
        <v>100</v>
      </c>
      <c r="K316" s="16">
        <v>0</v>
      </c>
      <c r="L316" s="16" t="s">
        <v>490</v>
      </c>
      <c r="M316" s="16" t="s">
        <v>8</v>
      </c>
      <c r="N316" s="16">
        <f t="shared" si="4"/>
        <v>0</v>
      </c>
      <c r="O316" s="22" t="s">
        <v>451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</row>
    <row r="317" spans="1:66" s="18" customFormat="1" ht="16" customHeight="1" x14ac:dyDescent="0.2">
      <c r="A317" s="16">
        <v>1543</v>
      </c>
      <c r="B317" s="16" t="s">
        <v>565</v>
      </c>
      <c r="C317" s="16" t="s">
        <v>888</v>
      </c>
      <c r="D317" s="16" t="s">
        <v>889</v>
      </c>
      <c r="E317" s="16" t="s">
        <v>568</v>
      </c>
      <c r="F317" s="16" t="s">
        <v>654</v>
      </c>
      <c r="G317" s="16" t="s">
        <v>892</v>
      </c>
      <c r="H317" s="17">
        <v>44335</v>
      </c>
      <c r="I317" s="16">
        <v>5</v>
      </c>
      <c r="J317" s="16">
        <v>100</v>
      </c>
      <c r="K317" s="16">
        <v>0</v>
      </c>
      <c r="L317" s="16" t="s">
        <v>490</v>
      </c>
      <c r="M317" s="16" t="s">
        <v>8</v>
      </c>
      <c r="N317" s="16">
        <f t="shared" si="4"/>
        <v>0</v>
      </c>
      <c r="O317" s="22" t="s">
        <v>451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</row>
    <row r="318" spans="1:66" s="18" customFormat="1" ht="16" customHeight="1" x14ac:dyDescent="0.2">
      <c r="A318" s="16">
        <v>1550</v>
      </c>
      <c r="B318" s="16" t="s">
        <v>565</v>
      </c>
      <c r="C318" s="16" t="s">
        <v>888</v>
      </c>
      <c r="D318" s="16" t="s">
        <v>889</v>
      </c>
      <c r="E318" s="16" t="s">
        <v>568</v>
      </c>
      <c r="F318" s="16" t="s">
        <v>654</v>
      </c>
      <c r="G318" s="16" t="s">
        <v>892</v>
      </c>
      <c r="H318" s="17">
        <v>44335</v>
      </c>
      <c r="I318" s="16">
        <v>5</v>
      </c>
      <c r="J318" s="16">
        <v>100</v>
      </c>
      <c r="K318" s="16">
        <v>0</v>
      </c>
      <c r="L318" s="16" t="s">
        <v>490</v>
      </c>
      <c r="M318" s="16" t="s">
        <v>8</v>
      </c>
      <c r="N318" s="16">
        <f t="shared" si="4"/>
        <v>0</v>
      </c>
      <c r="O318" s="22" t="s">
        <v>451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</row>
    <row r="319" spans="1:66" s="18" customFormat="1" ht="16" customHeight="1" x14ac:dyDescent="0.2">
      <c r="A319" s="18">
        <v>1500</v>
      </c>
      <c r="B319" s="18" t="s">
        <v>570</v>
      </c>
      <c r="C319" s="18" t="s">
        <v>888</v>
      </c>
      <c r="D319" s="18" t="s">
        <v>893</v>
      </c>
      <c r="E319" s="18" t="s">
        <v>568</v>
      </c>
      <c r="F319" s="18" t="s">
        <v>654</v>
      </c>
      <c r="G319" s="18" t="s">
        <v>894</v>
      </c>
      <c r="H319" s="19">
        <v>44334</v>
      </c>
      <c r="I319" s="18">
        <v>5</v>
      </c>
      <c r="J319" s="18">
        <v>100</v>
      </c>
      <c r="K319" s="18">
        <v>0</v>
      </c>
      <c r="L319" s="18" t="s">
        <v>490</v>
      </c>
      <c r="M319" s="18" t="s">
        <v>8</v>
      </c>
      <c r="N319" s="18">
        <f t="shared" si="4"/>
        <v>0</v>
      </c>
      <c r="O319" s="20" t="s">
        <v>451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</row>
    <row r="320" spans="1:66" s="16" customFormat="1" ht="16" customHeight="1" x14ac:dyDescent="0.2">
      <c r="A320" s="18">
        <v>1506</v>
      </c>
      <c r="B320" s="18" t="s">
        <v>570</v>
      </c>
      <c r="C320" s="18" t="s">
        <v>888</v>
      </c>
      <c r="D320" s="18" t="s">
        <v>893</v>
      </c>
      <c r="E320" s="18" t="s">
        <v>568</v>
      </c>
      <c r="F320" s="18" t="s">
        <v>654</v>
      </c>
      <c r="G320" s="18" t="s">
        <v>894</v>
      </c>
      <c r="H320" s="19">
        <v>44334</v>
      </c>
      <c r="I320" s="18">
        <v>5</v>
      </c>
      <c r="J320" s="18">
        <v>100</v>
      </c>
      <c r="K320" s="18">
        <v>0</v>
      </c>
      <c r="L320" s="18" t="s">
        <v>490</v>
      </c>
      <c r="M320" s="18" t="s">
        <v>8</v>
      </c>
      <c r="N320" s="18">
        <f t="shared" si="4"/>
        <v>0</v>
      </c>
      <c r="O320" s="20" t="s">
        <v>451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</row>
    <row r="321" spans="1:66" s="16" customFormat="1" ht="16" customHeight="1" x14ac:dyDescent="0.2">
      <c r="A321" s="18">
        <v>1512</v>
      </c>
      <c r="B321" s="18" t="s">
        <v>570</v>
      </c>
      <c r="C321" s="18" t="s">
        <v>888</v>
      </c>
      <c r="D321" s="18" t="s">
        <v>893</v>
      </c>
      <c r="E321" s="18" t="s">
        <v>568</v>
      </c>
      <c r="F321" s="18" t="s">
        <v>654</v>
      </c>
      <c r="G321" s="18" t="s">
        <v>894</v>
      </c>
      <c r="H321" s="19">
        <v>44334</v>
      </c>
      <c r="I321" s="18">
        <v>5</v>
      </c>
      <c r="J321" s="18">
        <v>100</v>
      </c>
      <c r="K321" s="18">
        <v>0</v>
      </c>
      <c r="L321" s="18" t="s">
        <v>490</v>
      </c>
      <c r="M321" s="18" t="s">
        <v>8</v>
      </c>
      <c r="N321" s="18">
        <f t="shared" si="4"/>
        <v>0</v>
      </c>
      <c r="O321" s="20" t="s">
        <v>451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</row>
    <row r="322" spans="1:66" s="16" customFormat="1" ht="16" customHeight="1" x14ac:dyDescent="0.2">
      <c r="A322" s="18">
        <v>1519</v>
      </c>
      <c r="B322" s="18" t="s">
        <v>570</v>
      </c>
      <c r="C322" s="18" t="s">
        <v>888</v>
      </c>
      <c r="D322" s="18" t="s">
        <v>893</v>
      </c>
      <c r="E322" s="18" t="s">
        <v>568</v>
      </c>
      <c r="F322" s="18" t="s">
        <v>654</v>
      </c>
      <c r="G322" s="18" t="s">
        <v>895</v>
      </c>
      <c r="H322" s="19">
        <v>44334</v>
      </c>
      <c r="I322" s="18">
        <v>5</v>
      </c>
      <c r="J322" s="18">
        <v>100</v>
      </c>
      <c r="K322" s="18">
        <v>0</v>
      </c>
      <c r="L322" s="18" t="s">
        <v>490</v>
      </c>
      <c r="M322" s="18" t="s">
        <v>8</v>
      </c>
      <c r="N322" s="18">
        <f t="shared" si="4"/>
        <v>0</v>
      </c>
      <c r="O322" s="20" t="s">
        <v>451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</row>
    <row r="323" spans="1:66" s="16" customFormat="1" ht="16" customHeight="1" x14ac:dyDescent="0.2">
      <c r="A323" s="18">
        <v>1526</v>
      </c>
      <c r="B323" s="18" t="s">
        <v>570</v>
      </c>
      <c r="C323" s="18" t="s">
        <v>888</v>
      </c>
      <c r="D323" s="18" t="s">
        <v>893</v>
      </c>
      <c r="E323" s="18" t="s">
        <v>568</v>
      </c>
      <c r="F323" s="18" t="s">
        <v>654</v>
      </c>
      <c r="G323" s="18" t="s">
        <v>895</v>
      </c>
      <c r="H323" s="19">
        <v>44334</v>
      </c>
      <c r="I323" s="18">
        <v>5</v>
      </c>
      <c r="J323" s="18">
        <v>100</v>
      </c>
      <c r="K323" s="18">
        <v>0</v>
      </c>
      <c r="L323" s="18" t="s">
        <v>490</v>
      </c>
      <c r="M323" s="18" t="s">
        <v>8</v>
      </c>
      <c r="N323" s="18">
        <f t="shared" si="4"/>
        <v>0</v>
      </c>
      <c r="O323" s="20" t="s">
        <v>451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</row>
    <row r="324" spans="1:66" s="16" customFormat="1" ht="16" customHeight="1" x14ac:dyDescent="0.2">
      <c r="A324" s="18">
        <v>1533</v>
      </c>
      <c r="B324" s="18" t="s">
        <v>570</v>
      </c>
      <c r="C324" s="18" t="s">
        <v>888</v>
      </c>
      <c r="D324" s="18" t="s">
        <v>893</v>
      </c>
      <c r="E324" s="18" t="s">
        <v>568</v>
      </c>
      <c r="F324" s="18" t="s">
        <v>654</v>
      </c>
      <c r="G324" s="18" t="s">
        <v>895</v>
      </c>
      <c r="H324" s="19">
        <v>44334</v>
      </c>
      <c r="I324" s="18">
        <v>5</v>
      </c>
      <c r="J324" s="18">
        <v>100</v>
      </c>
      <c r="K324" s="18">
        <v>0</v>
      </c>
      <c r="L324" s="18" t="s">
        <v>490</v>
      </c>
      <c r="M324" s="18" t="s">
        <v>8</v>
      </c>
      <c r="N324" s="18">
        <f t="shared" ref="N324:N387" si="5">K324*I324*(1000/J324)</f>
        <v>0</v>
      </c>
      <c r="O324" s="20" t="s">
        <v>451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</row>
    <row r="325" spans="1:66" s="16" customFormat="1" ht="16" customHeight="1" x14ac:dyDescent="0.2">
      <c r="A325" s="18">
        <v>1534</v>
      </c>
      <c r="B325" s="18" t="s">
        <v>570</v>
      </c>
      <c r="C325" s="18" t="s">
        <v>888</v>
      </c>
      <c r="D325" s="18" t="s">
        <v>893</v>
      </c>
      <c r="E325" s="18" t="s">
        <v>568</v>
      </c>
      <c r="F325" s="18" t="s">
        <v>654</v>
      </c>
      <c r="G325" s="18" t="s">
        <v>896</v>
      </c>
      <c r="H325" s="19">
        <v>44334</v>
      </c>
      <c r="I325" s="18">
        <v>5</v>
      </c>
      <c r="J325" s="18">
        <v>100</v>
      </c>
      <c r="K325" s="18">
        <v>0</v>
      </c>
      <c r="L325" s="18" t="s">
        <v>490</v>
      </c>
      <c r="M325" s="18" t="s">
        <v>8</v>
      </c>
      <c r="N325" s="18">
        <f t="shared" si="5"/>
        <v>0</v>
      </c>
      <c r="O325" s="20" t="s">
        <v>451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</row>
    <row r="326" spans="1:66" s="16" customFormat="1" ht="16" customHeight="1" x14ac:dyDescent="0.2">
      <c r="A326" s="18">
        <v>1541</v>
      </c>
      <c r="B326" s="18" t="s">
        <v>570</v>
      </c>
      <c r="C326" s="18" t="s">
        <v>888</v>
      </c>
      <c r="D326" s="18" t="s">
        <v>893</v>
      </c>
      <c r="E326" s="18" t="s">
        <v>568</v>
      </c>
      <c r="F326" s="18" t="s">
        <v>654</v>
      </c>
      <c r="G326" s="18" t="s">
        <v>896</v>
      </c>
      <c r="H326" s="19">
        <v>44334</v>
      </c>
      <c r="I326" s="18">
        <v>5</v>
      </c>
      <c r="J326" s="18">
        <v>100</v>
      </c>
      <c r="K326" s="18">
        <v>0</v>
      </c>
      <c r="L326" s="18" t="s">
        <v>490</v>
      </c>
      <c r="M326" s="18" t="s">
        <v>8</v>
      </c>
      <c r="N326" s="18">
        <f t="shared" si="5"/>
        <v>0</v>
      </c>
      <c r="O326" s="20" t="s">
        <v>451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</row>
    <row r="327" spans="1:66" s="16" customFormat="1" ht="16" customHeight="1" x14ac:dyDescent="0.2">
      <c r="A327" s="18">
        <v>1548</v>
      </c>
      <c r="B327" s="18" t="s">
        <v>570</v>
      </c>
      <c r="C327" s="18" t="s">
        <v>888</v>
      </c>
      <c r="D327" s="18" t="s">
        <v>893</v>
      </c>
      <c r="E327" s="18" t="s">
        <v>568</v>
      </c>
      <c r="F327" s="18" t="s">
        <v>654</v>
      </c>
      <c r="G327" s="18" t="s">
        <v>896</v>
      </c>
      <c r="H327" s="19">
        <v>44334</v>
      </c>
      <c r="I327" s="18">
        <v>5</v>
      </c>
      <c r="J327" s="18">
        <v>100</v>
      </c>
      <c r="K327" s="18">
        <v>0</v>
      </c>
      <c r="L327" s="18" t="s">
        <v>490</v>
      </c>
      <c r="M327" s="18" t="s">
        <v>8</v>
      </c>
      <c r="N327" s="18">
        <f t="shared" si="5"/>
        <v>0</v>
      </c>
      <c r="O327" s="20" t="s">
        <v>451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</row>
    <row r="328" spans="1:66" s="16" customFormat="1" ht="16" customHeight="1" x14ac:dyDescent="0.2">
      <c r="A328" s="16">
        <v>1556</v>
      </c>
      <c r="B328" s="16" t="s">
        <v>572</v>
      </c>
      <c r="C328" s="16" t="s">
        <v>897</v>
      </c>
      <c r="D328" s="16" t="s">
        <v>898</v>
      </c>
      <c r="E328" s="16" t="s">
        <v>574</v>
      </c>
      <c r="F328" s="16" t="s">
        <v>654</v>
      </c>
      <c r="G328" s="16" t="s">
        <v>899</v>
      </c>
      <c r="H328" s="17">
        <v>44335</v>
      </c>
      <c r="I328" s="16">
        <v>5</v>
      </c>
      <c r="J328" s="16">
        <v>100</v>
      </c>
      <c r="K328" s="16">
        <v>0</v>
      </c>
      <c r="L328" s="16" t="s">
        <v>490</v>
      </c>
      <c r="M328" s="16" t="s">
        <v>8</v>
      </c>
      <c r="N328" s="16">
        <f t="shared" si="5"/>
        <v>0</v>
      </c>
      <c r="O328" s="22" t="s">
        <v>451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</row>
    <row r="329" spans="1:66" s="18" customFormat="1" ht="16" customHeight="1" x14ac:dyDescent="0.2">
      <c r="A329" s="16">
        <v>1562</v>
      </c>
      <c r="B329" s="16" t="s">
        <v>572</v>
      </c>
      <c r="C329" s="16" t="s">
        <v>897</v>
      </c>
      <c r="D329" s="16" t="s">
        <v>898</v>
      </c>
      <c r="E329" s="16" t="s">
        <v>574</v>
      </c>
      <c r="F329" s="16" t="s">
        <v>654</v>
      </c>
      <c r="G329" s="16" t="s">
        <v>899</v>
      </c>
      <c r="H329" s="17">
        <v>44335</v>
      </c>
      <c r="I329" s="16">
        <v>5</v>
      </c>
      <c r="J329" s="16">
        <v>100</v>
      </c>
      <c r="K329" s="16">
        <v>0</v>
      </c>
      <c r="L329" s="16" t="s">
        <v>490</v>
      </c>
      <c r="M329" s="16" t="s">
        <v>8</v>
      </c>
      <c r="N329" s="16">
        <f t="shared" si="5"/>
        <v>0</v>
      </c>
      <c r="O329" s="22" t="s">
        <v>451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</row>
    <row r="330" spans="1:66" s="18" customFormat="1" ht="16" customHeight="1" x14ac:dyDescent="0.2">
      <c r="A330" s="16">
        <v>1568</v>
      </c>
      <c r="B330" s="16" t="s">
        <v>572</v>
      </c>
      <c r="C330" s="16" t="s">
        <v>897</v>
      </c>
      <c r="D330" s="16" t="s">
        <v>898</v>
      </c>
      <c r="E330" s="16" t="s">
        <v>574</v>
      </c>
      <c r="F330" s="16" t="s">
        <v>654</v>
      </c>
      <c r="G330" s="16" t="s">
        <v>899</v>
      </c>
      <c r="H330" s="17">
        <v>44335</v>
      </c>
      <c r="I330" s="16">
        <v>5</v>
      </c>
      <c r="J330" s="16">
        <v>100</v>
      </c>
      <c r="K330" s="16">
        <v>0</v>
      </c>
      <c r="L330" s="16" t="s">
        <v>490</v>
      </c>
      <c r="M330" s="16" t="s">
        <v>8</v>
      </c>
      <c r="N330" s="16">
        <f t="shared" si="5"/>
        <v>0</v>
      </c>
      <c r="O330" s="22" t="s">
        <v>451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</row>
    <row r="331" spans="1:66" s="18" customFormat="1" ht="16" customHeight="1" x14ac:dyDescent="0.2">
      <c r="A331" s="16">
        <v>1537</v>
      </c>
      <c r="B331" s="16" t="s">
        <v>572</v>
      </c>
      <c r="C331" s="16" t="s">
        <v>897</v>
      </c>
      <c r="D331" s="16" t="s">
        <v>898</v>
      </c>
      <c r="E331" s="16" t="s">
        <v>574</v>
      </c>
      <c r="F331" s="16" t="s">
        <v>654</v>
      </c>
      <c r="G331" s="16" t="s">
        <v>900</v>
      </c>
      <c r="H331" s="17">
        <v>44335</v>
      </c>
      <c r="I331" s="16">
        <v>5</v>
      </c>
      <c r="J331" s="16">
        <v>100</v>
      </c>
      <c r="K331" s="16">
        <v>0</v>
      </c>
      <c r="L331" s="16" t="s">
        <v>490</v>
      </c>
      <c r="M331" s="16" t="s">
        <v>8</v>
      </c>
      <c r="N331" s="16">
        <f t="shared" si="5"/>
        <v>0</v>
      </c>
      <c r="O331" s="22" t="s">
        <v>451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</row>
    <row r="332" spans="1:66" s="18" customFormat="1" ht="16" customHeight="1" x14ac:dyDescent="0.2">
      <c r="A332" s="16">
        <v>1544</v>
      </c>
      <c r="B332" s="16" t="s">
        <v>572</v>
      </c>
      <c r="C332" s="16" t="s">
        <v>897</v>
      </c>
      <c r="D332" s="16" t="s">
        <v>898</v>
      </c>
      <c r="E332" s="16" t="s">
        <v>574</v>
      </c>
      <c r="F332" s="16" t="s">
        <v>654</v>
      </c>
      <c r="G332" s="16" t="s">
        <v>900</v>
      </c>
      <c r="H332" s="17">
        <v>44335</v>
      </c>
      <c r="I332" s="16">
        <v>5</v>
      </c>
      <c r="J332" s="16">
        <v>100</v>
      </c>
      <c r="K332" s="16">
        <v>0</v>
      </c>
      <c r="L332" s="16" t="s">
        <v>490</v>
      </c>
      <c r="M332" s="16" t="s">
        <v>8</v>
      </c>
      <c r="N332" s="16">
        <f t="shared" si="5"/>
        <v>0</v>
      </c>
      <c r="O332" s="22" t="s">
        <v>451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</row>
    <row r="333" spans="1:66" s="18" customFormat="1" ht="16" customHeight="1" x14ac:dyDescent="0.2">
      <c r="A333" s="16">
        <v>1551</v>
      </c>
      <c r="B333" s="16" t="s">
        <v>572</v>
      </c>
      <c r="C333" s="16" t="s">
        <v>897</v>
      </c>
      <c r="D333" s="16" t="s">
        <v>898</v>
      </c>
      <c r="E333" s="16" t="s">
        <v>574</v>
      </c>
      <c r="F333" s="16" t="s">
        <v>654</v>
      </c>
      <c r="G333" s="16" t="s">
        <v>900</v>
      </c>
      <c r="H333" s="17">
        <v>44335</v>
      </c>
      <c r="I333" s="16">
        <v>5</v>
      </c>
      <c r="J333" s="16">
        <v>100</v>
      </c>
      <c r="K333" s="16">
        <v>0</v>
      </c>
      <c r="L333" s="16" t="s">
        <v>490</v>
      </c>
      <c r="M333" s="16" t="s">
        <v>8</v>
      </c>
      <c r="N333" s="16">
        <f t="shared" si="5"/>
        <v>0</v>
      </c>
      <c r="O333" s="22" t="s">
        <v>451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</row>
    <row r="334" spans="1:66" s="18" customFormat="1" ht="16" customHeight="1" x14ac:dyDescent="0.2">
      <c r="A334" s="16">
        <v>1557</v>
      </c>
      <c r="B334" s="16" t="s">
        <v>572</v>
      </c>
      <c r="C334" s="16" t="s">
        <v>897</v>
      </c>
      <c r="D334" s="16" t="s">
        <v>898</v>
      </c>
      <c r="E334" s="16" t="s">
        <v>574</v>
      </c>
      <c r="F334" s="16" t="s">
        <v>654</v>
      </c>
      <c r="G334" s="16" t="s">
        <v>901</v>
      </c>
      <c r="H334" s="17">
        <v>44335</v>
      </c>
      <c r="I334" s="16">
        <v>5</v>
      </c>
      <c r="J334" s="16">
        <v>100</v>
      </c>
      <c r="K334" s="16">
        <v>0</v>
      </c>
      <c r="L334" s="16" t="s">
        <v>490</v>
      </c>
      <c r="M334" s="16" t="s">
        <v>8</v>
      </c>
      <c r="N334" s="16">
        <f t="shared" si="5"/>
        <v>0</v>
      </c>
      <c r="O334" s="22" t="s">
        <v>451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</row>
    <row r="335" spans="1:66" s="18" customFormat="1" ht="16" customHeight="1" x14ac:dyDescent="0.2">
      <c r="A335" s="16">
        <v>1563</v>
      </c>
      <c r="B335" s="16" t="s">
        <v>572</v>
      </c>
      <c r="C335" s="16" t="s">
        <v>897</v>
      </c>
      <c r="D335" s="16" t="s">
        <v>898</v>
      </c>
      <c r="E335" s="16" t="s">
        <v>574</v>
      </c>
      <c r="F335" s="16" t="s">
        <v>654</v>
      </c>
      <c r="G335" s="16" t="s">
        <v>901</v>
      </c>
      <c r="H335" s="17">
        <v>44335</v>
      </c>
      <c r="I335" s="16">
        <v>5</v>
      </c>
      <c r="J335" s="16">
        <v>100</v>
      </c>
      <c r="K335" s="16">
        <v>0</v>
      </c>
      <c r="L335" s="16" t="s">
        <v>490</v>
      </c>
      <c r="M335" s="16" t="s">
        <v>8</v>
      </c>
      <c r="N335" s="16">
        <f t="shared" si="5"/>
        <v>0</v>
      </c>
      <c r="O335" s="22" t="s">
        <v>451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</row>
    <row r="336" spans="1:66" s="18" customFormat="1" ht="16" customHeight="1" x14ac:dyDescent="0.2">
      <c r="A336" s="16">
        <v>1569</v>
      </c>
      <c r="B336" s="16" t="s">
        <v>572</v>
      </c>
      <c r="C336" s="16" t="s">
        <v>897</v>
      </c>
      <c r="D336" s="16" t="s">
        <v>898</v>
      </c>
      <c r="E336" s="16" t="s">
        <v>574</v>
      </c>
      <c r="F336" s="16" t="s">
        <v>654</v>
      </c>
      <c r="G336" s="16" t="s">
        <v>901</v>
      </c>
      <c r="H336" s="17">
        <v>44335</v>
      </c>
      <c r="I336" s="16">
        <v>5</v>
      </c>
      <c r="J336" s="16">
        <v>100</v>
      </c>
      <c r="K336" s="16">
        <v>0</v>
      </c>
      <c r="L336" s="16" t="s">
        <v>490</v>
      </c>
      <c r="M336" s="16" t="s">
        <v>8</v>
      </c>
      <c r="N336" s="16">
        <f t="shared" si="5"/>
        <v>0</v>
      </c>
      <c r="O336" s="22" t="s">
        <v>451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</row>
    <row r="337" spans="1:66" s="18" customFormat="1" ht="16" customHeight="1" x14ac:dyDescent="0.2">
      <c r="A337" s="18">
        <v>1538</v>
      </c>
      <c r="B337" s="18" t="s">
        <v>576</v>
      </c>
      <c r="C337" s="18" t="s">
        <v>897</v>
      </c>
      <c r="D337" s="18" t="s">
        <v>902</v>
      </c>
      <c r="E337" s="18" t="s">
        <v>574</v>
      </c>
      <c r="F337" s="18" t="s">
        <v>654</v>
      </c>
      <c r="G337" s="18" t="s">
        <v>903</v>
      </c>
      <c r="H337" s="19">
        <v>44335</v>
      </c>
      <c r="I337" s="18">
        <v>5</v>
      </c>
      <c r="J337" s="18">
        <v>100</v>
      </c>
      <c r="K337" s="18">
        <v>0</v>
      </c>
      <c r="L337" s="18" t="s">
        <v>490</v>
      </c>
      <c r="M337" s="18" t="s">
        <v>8</v>
      </c>
      <c r="N337" s="18">
        <f t="shared" si="5"/>
        <v>0</v>
      </c>
      <c r="O337" s="20" t="s">
        <v>451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</row>
    <row r="338" spans="1:66" s="18" customFormat="1" ht="16" customHeight="1" x14ac:dyDescent="0.2">
      <c r="A338" s="18">
        <v>1545</v>
      </c>
      <c r="B338" s="18" t="s">
        <v>576</v>
      </c>
      <c r="C338" s="18" t="s">
        <v>897</v>
      </c>
      <c r="D338" s="18" t="s">
        <v>902</v>
      </c>
      <c r="E338" s="18" t="s">
        <v>574</v>
      </c>
      <c r="F338" s="18" t="s">
        <v>654</v>
      </c>
      <c r="G338" s="18" t="s">
        <v>903</v>
      </c>
      <c r="H338" s="19">
        <v>44335</v>
      </c>
      <c r="I338" s="18">
        <v>5</v>
      </c>
      <c r="J338" s="18">
        <v>100</v>
      </c>
      <c r="K338" s="18">
        <v>0</v>
      </c>
      <c r="L338" s="18" t="s">
        <v>490</v>
      </c>
      <c r="M338" s="18" t="s">
        <v>8</v>
      </c>
      <c r="N338" s="18">
        <f t="shared" si="5"/>
        <v>0</v>
      </c>
      <c r="O338" s="20" t="s">
        <v>451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</row>
    <row r="339" spans="1:66" s="18" customFormat="1" ht="16" customHeight="1" x14ac:dyDescent="0.2">
      <c r="A339" s="18">
        <v>1552</v>
      </c>
      <c r="B339" s="18" t="s">
        <v>576</v>
      </c>
      <c r="C339" s="18" t="s">
        <v>897</v>
      </c>
      <c r="D339" s="18" t="s">
        <v>902</v>
      </c>
      <c r="E339" s="18" t="s">
        <v>574</v>
      </c>
      <c r="F339" s="18" t="s">
        <v>654</v>
      </c>
      <c r="G339" s="18" t="s">
        <v>903</v>
      </c>
      <c r="H339" s="19">
        <v>44335</v>
      </c>
      <c r="I339" s="18">
        <v>5</v>
      </c>
      <c r="J339" s="18">
        <v>100</v>
      </c>
      <c r="K339" s="18">
        <v>0</v>
      </c>
      <c r="L339" s="18" t="s">
        <v>490</v>
      </c>
      <c r="M339" s="18" t="s">
        <v>8</v>
      </c>
      <c r="N339" s="18">
        <f t="shared" si="5"/>
        <v>0</v>
      </c>
      <c r="O339" s="20" t="s">
        <v>451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</row>
    <row r="340" spans="1:66" s="18" customFormat="1" ht="16" customHeight="1" x14ac:dyDescent="0.2">
      <c r="A340" s="18">
        <v>1558</v>
      </c>
      <c r="B340" s="18" t="s">
        <v>576</v>
      </c>
      <c r="C340" s="18" t="s">
        <v>897</v>
      </c>
      <c r="D340" s="18" t="s">
        <v>902</v>
      </c>
      <c r="E340" s="18" t="s">
        <v>574</v>
      </c>
      <c r="F340" s="18" t="s">
        <v>654</v>
      </c>
      <c r="G340" s="18" t="s">
        <v>904</v>
      </c>
      <c r="H340" s="19">
        <v>44335</v>
      </c>
      <c r="I340" s="18">
        <v>5</v>
      </c>
      <c r="J340" s="18">
        <v>100</v>
      </c>
      <c r="K340" s="18">
        <v>0</v>
      </c>
      <c r="L340" s="18" t="s">
        <v>490</v>
      </c>
      <c r="M340" s="18" t="s">
        <v>8</v>
      </c>
      <c r="N340" s="18">
        <f t="shared" si="5"/>
        <v>0</v>
      </c>
      <c r="O340" s="20" t="s">
        <v>451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</row>
    <row r="341" spans="1:66" s="18" customFormat="1" ht="16" customHeight="1" x14ac:dyDescent="0.2">
      <c r="A341" s="18">
        <v>1564</v>
      </c>
      <c r="B341" s="18" t="s">
        <v>576</v>
      </c>
      <c r="C341" s="18" t="s">
        <v>897</v>
      </c>
      <c r="D341" s="18" t="s">
        <v>902</v>
      </c>
      <c r="E341" s="18" t="s">
        <v>574</v>
      </c>
      <c r="F341" s="18" t="s">
        <v>654</v>
      </c>
      <c r="G341" s="18" t="s">
        <v>904</v>
      </c>
      <c r="H341" s="19">
        <v>44335</v>
      </c>
      <c r="I341" s="18">
        <v>5</v>
      </c>
      <c r="J341" s="18">
        <v>100</v>
      </c>
      <c r="K341" s="18">
        <v>0</v>
      </c>
      <c r="L341" s="18" t="s">
        <v>490</v>
      </c>
      <c r="M341" s="18" t="s">
        <v>8</v>
      </c>
      <c r="N341" s="18">
        <f t="shared" si="5"/>
        <v>0</v>
      </c>
      <c r="O341" s="20" t="s">
        <v>451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</row>
    <row r="342" spans="1:66" s="18" customFormat="1" ht="16" customHeight="1" x14ac:dyDescent="0.2">
      <c r="A342" s="18">
        <v>1570</v>
      </c>
      <c r="B342" s="18" t="s">
        <v>576</v>
      </c>
      <c r="C342" s="18" t="s">
        <v>897</v>
      </c>
      <c r="D342" s="18" t="s">
        <v>902</v>
      </c>
      <c r="E342" s="18" t="s">
        <v>574</v>
      </c>
      <c r="F342" s="18" t="s">
        <v>654</v>
      </c>
      <c r="G342" s="18" t="s">
        <v>904</v>
      </c>
      <c r="H342" s="19">
        <v>44335</v>
      </c>
      <c r="I342" s="18">
        <v>5</v>
      </c>
      <c r="J342" s="18">
        <v>100</v>
      </c>
      <c r="K342" s="18">
        <v>0</v>
      </c>
      <c r="L342" s="18" t="s">
        <v>490</v>
      </c>
      <c r="M342" s="18" t="s">
        <v>8</v>
      </c>
      <c r="N342" s="18">
        <f t="shared" si="5"/>
        <v>0</v>
      </c>
      <c r="O342" s="20" t="s">
        <v>451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</row>
    <row r="343" spans="1:66" s="18" customFormat="1" ht="16" customHeight="1" x14ac:dyDescent="0.2">
      <c r="A343" s="18">
        <v>1539</v>
      </c>
      <c r="B343" s="18" t="s">
        <v>576</v>
      </c>
      <c r="C343" s="18" t="s">
        <v>897</v>
      </c>
      <c r="D343" s="18" t="s">
        <v>902</v>
      </c>
      <c r="E343" s="18" t="s">
        <v>574</v>
      </c>
      <c r="F343" s="18" t="s">
        <v>654</v>
      </c>
      <c r="G343" s="18" t="s">
        <v>905</v>
      </c>
      <c r="H343" s="19">
        <v>44335</v>
      </c>
      <c r="I343" s="18">
        <v>5</v>
      </c>
      <c r="J343" s="18">
        <v>100</v>
      </c>
      <c r="K343" s="18">
        <v>0</v>
      </c>
      <c r="L343" s="18" t="s">
        <v>490</v>
      </c>
      <c r="M343" s="18" t="s">
        <v>8</v>
      </c>
      <c r="N343" s="18">
        <f t="shared" si="5"/>
        <v>0</v>
      </c>
      <c r="O343" s="20" t="s">
        <v>451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</row>
    <row r="344" spans="1:66" s="18" customFormat="1" ht="16" customHeight="1" x14ac:dyDescent="0.2">
      <c r="A344" s="18">
        <v>1546</v>
      </c>
      <c r="B344" s="18" t="s">
        <v>576</v>
      </c>
      <c r="C344" s="18" t="s">
        <v>897</v>
      </c>
      <c r="D344" s="18" t="s">
        <v>902</v>
      </c>
      <c r="E344" s="18" t="s">
        <v>574</v>
      </c>
      <c r="F344" s="18" t="s">
        <v>654</v>
      </c>
      <c r="G344" s="18" t="s">
        <v>905</v>
      </c>
      <c r="H344" s="19">
        <v>44335</v>
      </c>
      <c r="I344" s="18">
        <v>5</v>
      </c>
      <c r="J344" s="18">
        <v>100</v>
      </c>
      <c r="K344" s="18">
        <v>0</v>
      </c>
      <c r="L344" s="18" t="s">
        <v>490</v>
      </c>
      <c r="M344" s="18" t="s">
        <v>8</v>
      </c>
      <c r="N344" s="18">
        <f t="shared" si="5"/>
        <v>0</v>
      </c>
      <c r="O344" s="20" t="s">
        <v>451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</row>
    <row r="345" spans="1:66" s="18" customFormat="1" ht="16" customHeight="1" x14ac:dyDescent="0.2">
      <c r="A345" s="18">
        <v>1553</v>
      </c>
      <c r="B345" s="18" t="s">
        <v>576</v>
      </c>
      <c r="C345" s="18" t="s">
        <v>897</v>
      </c>
      <c r="D345" s="18" t="s">
        <v>902</v>
      </c>
      <c r="E345" s="18" t="s">
        <v>574</v>
      </c>
      <c r="F345" s="18" t="s">
        <v>654</v>
      </c>
      <c r="G345" s="18" t="s">
        <v>905</v>
      </c>
      <c r="H345" s="19">
        <v>44335</v>
      </c>
      <c r="I345" s="18">
        <v>5</v>
      </c>
      <c r="J345" s="18">
        <v>100</v>
      </c>
      <c r="K345" s="18">
        <v>0</v>
      </c>
      <c r="L345" s="18" t="s">
        <v>490</v>
      </c>
      <c r="M345" s="18" t="s">
        <v>8</v>
      </c>
      <c r="N345" s="18">
        <f t="shared" si="5"/>
        <v>0</v>
      </c>
      <c r="O345" s="20" t="s">
        <v>451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</row>
    <row r="346" spans="1:66" s="18" customFormat="1" ht="16" customHeight="1" x14ac:dyDescent="0.2">
      <c r="A346" s="16">
        <v>1559</v>
      </c>
      <c r="B346" s="16" t="s">
        <v>578</v>
      </c>
      <c r="C346" s="16" t="s">
        <v>906</v>
      </c>
      <c r="D346" s="16" t="s">
        <v>907</v>
      </c>
      <c r="E346" s="16" t="s">
        <v>580</v>
      </c>
      <c r="F346" s="16" t="s">
        <v>654</v>
      </c>
      <c r="G346" s="16" t="s">
        <v>908</v>
      </c>
      <c r="H346" s="17">
        <v>44335</v>
      </c>
      <c r="I346" s="16">
        <v>5</v>
      </c>
      <c r="J346" s="16">
        <v>100</v>
      </c>
      <c r="K346" s="16">
        <v>8.9387684063171005</v>
      </c>
      <c r="L346" s="16" t="s">
        <v>490</v>
      </c>
      <c r="M346" s="16" t="s">
        <v>8</v>
      </c>
      <c r="N346" s="16">
        <f t="shared" si="5"/>
        <v>446.93842031585507</v>
      </c>
      <c r="O346" s="22" t="s">
        <v>451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</row>
    <row r="347" spans="1:66" s="16" customFormat="1" ht="16" customHeight="1" x14ac:dyDescent="0.2">
      <c r="A347" s="16">
        <v>1565</v>
      </c>
      <c r="B347" s="16" t="s">
        <v>578</v>
      </c>
      <c r="C347" s="16" t="s">
        <v>906</v>
      </c>
      <c r="D347" s="16" t="s">
        <v>907</v>
      </c>
      <c r="E347" s="16" t="s">
        <v>580</v>
      </c>
      <c r="F347" s="16" t="s">
        <v>654</v>
      </c>
      <c r="G347" s="16" t="s">
        <v>908</v>
      </c>
      <c r="H347" s="17">
        <v>44335</v>
      </c>
      <c r="I347" s="16">
        <v>5</v>
      </c>
      <c r="J347" s="16">
        <v>100</v>
      </c>
      <c r="K347" s="16">
        <v>6.4524124336925102</v>
      </c>
      <c r="L347" s="16" t="s">
        <v>490</v>
      </c>
      <c r="M347" s="16" t="s">
        <v>8</v>
      </c>
      <c r="N347" s="16">
        <f t="shared" si="5"/>
        <v>322.62062168462546</v>
      </c>
      <c r="O347" s="22" t="s">
        <v>451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</row>
    <row r="348" spans="1:66" s="16" customFormat="1" ht="16" customHeight="1" x14ac:dyDescent="0.2">
      <c r="A348" s="16">
        <v>1571</v>
      </c>
      <c r="B348" s="16" t="s">
        <v>578</v>
      </c>
      <c r="C348" s="16" t="s">
        <v>906</v>
      </c>
      <c r="D348" s="16" t="s">
        <v>907</v>
      </c>
      <c r="E348" s="16" t="s">
        <v>580</v>
      </c>
      <c r="F348" s="16" t="s">
        <v>654</v>
      </c>
      <c r="G348" s="16" t="s">
        <v>908</v>
      </c>
      <c r="H348" s="17">
        <v>44335</v>
      </c>
      <c r="I348" s="16">
        <v>5</v>
      </c>
      <c r="J348" s="16">
        <v>100</v>
      </c>
      <c r="K348" s="16">
        <v>4.8270228741541796</v>
      </c>
      <c r="L348" s="16" t="s">
        <v>490</v>
      </c>
      <c r="M348" s="16" t="s">
        <v>8</v>
      </c>
      <c r="N348" s="16">
        <f t="shared" si="5"/>
        <v>241.35114370770901</v>
      </c>
      <c r="O348" s="22" t="s">
        <v>451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</row>
    <row r="349" spans="1:66" s="16" customFormat="1" ht="16" customHeight="1" x14ac:dyDescent="0.2">
      <c r="A349" s="16">
        <v>1540</v>
      </c>
      <c r="B349" s="16" t="s">
        <v>578</v>
      </c>
      <c r="C349" s="16" t="s">
        <v>906</v>
      </c>
      <c r="D349" s="16" t="s">
        <v>907</v>
      </c>
      <c r="E349" s="16" t="s">
        <v>580</v>
      </c>
      <c r="F349" s="16" t="s">
        <v>654</v>
      </c>
      <c r="G349" s="16" t="s">
        <v>909</v>
      </c>
      <c r="H349" s="17">
        <v>44335</v>
      </c>
      <c r="I349" s="16">
        <v>5</v>
      </c>
      <c r="J349" s="16">
        <v>100</v>
      </c>
      <c r="K349" s="16">
        <v>8.7654153042075507</v>
      </c>
      <c r="L349" s="16" t="s">
        <v>490</v>
      </c>
      <c r="M349" s="16" t="s">
        <v>8</v>
      </c>
      <c r="N349" s="16">
        <f t="shared" si="5"/>
        <v>438.27076521037753</v>
      </c>
      <c r="O349" s="22" t="s">
        <v>451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</row>
    <row r="350" spans="1:66" s="16" customFormat="1" ht="16" customHeight="1" x14ac:dyDescent="0.2">
      <c r="A350" s="16">
        <v>1547</v>
      </c>
      <c r="B350" s="16" t="s">
        <v>578</v>
      </c>
      <c r="C350" s="16" t="s">
        <v>906</v>
      </c>
      <c r="D350" s="16" t="s">
        <v>907</v>
      </c>
      <c r="E350" s="16" t="s">
        <v>580</v>
      </c>
      <c r="F350" s="16" t="s">
        <v>654</v>
      </c>
      <c r="G350" s="16" t="s">
        <v>909</v>
      </c>
      <c r="H350" s="17">
        <v>44335</v>
      </c>
      <c r="I350" s="16">
        <v>5</v>
      </c>
      <c r="J350" s="16">
        <v>100</v>
      </c>
      <c r="K350" s="16">
        <v>3.1417104232753501</v>
      </c>
      <c r="L350" s="16" t="s">
        <v>490</v>
      </c>
      <c r="M350" s="16" t="s">
        <v>8</v>
      </c>
      <c r="N350" s="16">
        <f t="shared" si="5"/>
        <v>157.08552116376751</v>
      </c>
      <c r="O350" s="22" t="s">
        <v>451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</row>
    <row r="351" spans="1:66" s="16" customFormat="1" ht="16" customHeight="1" x14ac:dyDescent="0.2">
      <c r="A351" s="16">
        <v>1554</v>
      </c>
      <c r="B351" s="16" t="s">
        <v>578</v>
      </c>
      <c r="C351" s="16" t="s">
        <v>906</v>
      </c>
      <c r="D351" s="16" t="s">
        <v>907</v>
      </c>
      <c r="E351" s="16" t="s">
        <v>580</v>
      </c>
      <c r="F351" s="16" t="s">
        <v>654</v>
      </c>
      <c r="G351" s="16" t="s">
        <v>909</v>
      </c>
      <c r="H351" s="17">
        <v>44335</v>
      </c>
      <c r="I351" s="16">
        <v>5</v>
      </c>
      <c r="J351" s="16">
        <v>100</v>
      </c>
      <c r="K351" s="16">
        <v>9.3252302097257207</v>
      </c>
      <c r="L351" s="16" t="s">
        <v>490</v>
      </c>
      <c r="M351" s="16" t="s">
        <v>8</v>
      </c>
      <c r="N351" s="16">
        <f t="shared" si="5"/>
        <v>466.261510486286</v>
      </c>
      <c r="O351" s="22" t="s">
        <v>451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</row>
    <row r="352" spans="1:66" s="16" customFormat="1" ht="16" customHeight="1" x14ac:dyDescent="0.2">
      <c r="A352" s="16">
        <v>1560</v>
      </c>
      <c r="B352" s="16" t="s">
        <v>578</v>
      </c>
      <c r="C352" s="16" t="s">
        <v>906</v>
      </c>
      <c r="D352" s="16" t="s">
        <v>907</v>
      </c>
      <c r="E352" s="16" t="s">
        <v>580</v>
      </c>
      <c r="F352" s="16" t="s">
        <v>654</v>
      </c>
      <c r="G352" s="16" t="s">
        <v>910</v>
      </c>
      <c r="H352" s="17">
        <v>44335</v>
      </c>
      <c r="I352" s="16">
        <v>5</v>
      </c>
      <c r="J352" s="16">
        <v>100</v>
      </c>
      <c r="K352" s="16">
        <v>8.7409586703262594</v>
      </c>
      <c r="L352" s="16" t="s">
        <v>490</v>
      </c>
      <c r="M352" s="16" t="s">
        <v>8</v>
      </c>
      <c r="N352" s="16">
        <f t="shared" si="5"/>
        <v>437.04793351631292</v>
      </c>
      <c r="O352" s="22" t="s">
        <v>451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</row>
    <row r="353" spans="1:66" s="16" customFormat="1" ht="16" customHeight="1" x14ac:dyDescent="0.2">
      <c r="A353" s="16">
        <v>1566</v>
      </c>
      <c r="B353" s="16" t="s">
        <v>578</v>
      </c>
      <c r="C353" s="16" t="s">
        <v>906</v>
      </c>
      <c r="D353" s="16" t="s">
        <v>907</v>
      </c>
      <c r="E353" s="16" t="s">
        <v>580</v>
      </c>
      <c r="F353" s="16" t="s">
        <v>654</v>
      </c>
      <c r="G353" s="16" t="s">
        <v>910</v>
      </c>
      <c r="H353" s="17">
        <v>44335</v>
      </c>
      <c r="I353" s="16">
        <v>5</v>
      </c>
      <c r="J353" s="16">
        <v>100</v>
      </c>
      <c r="K353" s="16">
        <v>0.31924102879848898</v>
      </c>
      <c r="L353" s="16" t="s">
        <v>490</v>
      </c>
      <c r="M353" s="16" t="s">
        <v>8</v>
      </c>
      <c r="N353" s="16">
        <f t="shared" si="5"/>
        <v>15.96205143992445</v>
      </c>
      <c r="O353" s="22" t="s">
        <v>451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</row>
    <row r="354" spans="1:66" s="16" customFormat="1" ht="16" customHeight="1" x14ac:dyDescent="0.2">
      <c r="A354" s="16">
        <v>1572</v>
      </c>
      <c r="B354" s="16" t="s">
        <v>578</v>
      </c>
      <c r="C354" s="16" t="s">
        <v>906</v>
      </c>
      <c r="D354" s="16" t="s">
        <v>907</v>
      </c>
      <c r="E354" s="16" t="s">
        <v>580</v>
      </c>
      <c r="F354" s="16" t="s">
        <v>654</v>
      </c>
      <c r="G354" s="16" t="s">
        <v>910</v>
      </c>
      <c r="H354" s="17">
        <v>44335</v>
      </c>
      <c r="I354" s="16">
        <v>5</v>
      </c>
      <c r="J354" s="16">
        <v>100</v>
      </c>
      <c r="K354" s="16">
        <v>4.4397018892295099</v>
      </c>
      <c r="L354" s="16" t="s">
        <v>490</v>
      </c>
      <c r="M354" s="16" t="s">
        <v>8</v>
      </c>
      <c r="N354" s="16">
        <f t="shared" si="5"/>
        <v>221.98509446147551</v>
      </c>
      <c r="O354" s="22" t="s">
        <v>451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</row>
    <row r="355" spans="1:66" s="16" customFormat="1" ht="16" customHeight="1" x14ac:dyDescent="0.2">
      <c r="A355" s="18">
        <v>1573</v>
      </c>
      <c r="B355" s="18" t="s">
        <v>582</v>
      </c>
      <c r="C355" s="18" t="s">
        <v>906</v>
      </c>
      <c r="D355" s="18" t="s">
        <v>911</v>
      </c>
      <c r="E355" s="18" t="s">
        <v>580</v>
      </c>
      <c r="F355" s="18" t="s">
        <v>654</v>
      </c>
      <c r="G355" s="18" t="s">
        <v>912</v>
      </c>
      <c r="H355" s="19">
        <v>44336</v>
      </c>
      <c r="I355" s="18">
        <v>5</v>
      </c>
      <c r="J355" s="18">
        <v>100</v>
      </c>
      <c r="K355" s="18">
        <v>0</v>
      </c>
      <c r="L355" s="18" t="s">
        <v>490</v>
      </c>
      <c r="M355" s="18" t="s">
        <v>8</v>
      </c>
      <c r="N355" s="18">
        <f t="shared" si="5"/>
        <v>0</v>
      </c>
      <c r="O355" s="20" t="s">
        <v>451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</row>
    <row r="356" spans="1:66" s="16" customFormat="1" ht="16" customHeight="1" x14ac:dyDescent="0.2">
      <c r="A356" s="18">
        <v>1579</v>
      </c>
      <c r="B356" s="18" t="s">
        <v>582</v>
      </c>
      <c r="C356" s="18" t="s">
        <v>906</v>
      </c>
      <c r="D356" s="18" t="s">
        <v>911</v>
      </c>
      <c r="E356" s="18" t="s">
        <v>580</v>
      </c>
      <c r="F356" s="18" t="s">
        <v>654</v>
      </c>
      <c r="G356" s="18" t="s">
        <v>912</v>
      </c>
      <c r="H356" s="19">
        <v>44336</v>
      </c>
      <c r="I356" s="18">
        <v>5</v>
      </c>
      <c r="J356" s="18">
        <v>100</v>
      </c>
      <c r="K356" s="18">
        <v>0</v>
      </c>
      <c r="L356" s="18" t="s">
        <v>490</v>
      </c>
      <c r="M356" s="18" t="s">
        <v>8</v>
      </c>
      <c r="N356" s="18">
        <f t="shared" si="5"/>
        <v>0</v>
      </c>
      <c r="O356" s="20" t="s">
        <v>451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</row>
    <row r="357" spans="1:66" s="16" customFormat="1" ht="16" customHeight="1" x14ac:dyDescent="0.2">
      <c r="A357" s="18">
        <v>1585</v>
      </c>
      <c r="B357" s="18" t="s">
        <v>582</v>
      </c>
      <c r="C357" s="18" t="s">
        <v>906</v>
      </c>
      <c r="D357" s="18" t="s">
        <v>911</v>
      </c>
      <c r="E357" s="18" t="s">
        <v>580</v>
      </c>
      <c r="F357" s="18" t="s">
        <v>654</v>
      </c>
      <c r="G357" s="18" t="s">
        <v>912</v>
      </c>
      <c r="H357" s="19">
        <v>44336</v>
      </c>
      <c r="I357" s="18">
        <v>5</v>
      </c>
      <c r="J357" s="18">
        <v>100</v>
      </c>
      <c r="K357" s="18">
        <v>0</v>
      </c>
      <c r="L357" s="18" t="s">
        <v>490</v>
      </c>
      <c r="M357" s="18" t="s">
        <v>8</v>
      </c>
      <c r="N357" s="18">
        <f t="shared" si="5"/>
        <v>0</v>
      </c>
      <c r="O357" s="20" t="s">
        <v>451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</row>
    <row r="358" spans="1:66" s="16" customFormat="1" ht="16" customHeight="1" x14ac:dyDescent="0.2">
      <c r="A358" s="18">
        <v>1591</v>
      </c>
      <c r="B358" s="18" t="s">
        <v>582</v>
      </c>
      <c r="C358" s="18" t="s">
        <v>906</v>
      </c>
      <c r="D358" s="18" t="s">
        <v>911</v>
      </c>
      <c r="E358" s="18" t="s">
        <v>580</v>
      </c>
      <c r="F358" s="18" t="s">
        <v>654</v>
      </c>
      <c r="G358" s="18" t="s">
        <v>913</v>
      </c>
      <c r="H358" s="19">
        <v>44336</v>
      </c>
      <c r="I358" s="18">
        <v>5</v>
      </c>
      <c r="J358" s="18">
        <v>100</v>
      </c>
      <c r="K358" s="18">
        <v>0</v>
      </c>
      <c r="L358" s="18" t="s">
        <v>490</v>
      </c>
      <c r="M358" s="18" t="s">
        <v>8</v>
      </c>
      <c r="N358" s="18">
        <f t="shared" si="5"/>
        <v>0</v>
      </c>
      <c r="O358" s="20" t="s">
        <v>451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</row>
    <row r="359" spans="1:66" s="16" customFormat="1" ht="16" customHeight="1" x14ac:dyDescent="0.2">
      <c r="A359" s="18">
        <v>1597</v>
      </c>
      <c r="B359" s="18" t="s">
        <v>582</v>
      </c>
      <c r="C359" s="18" t="s">
        <v>906</v>
      </c>
      <c r="D359" s="18" t="s">
        <v>911</v>
      </c>
      <c r="E359" s="18" t="s">
        <v>580</v>
      </c>
      <c r="F359" s="18" t="s">
        <v>654</v>
      </c>
      <c r="G359" s="18" t="s">
        <v>913</v>
      </c>
      <c r="H359" s="19">
        <v>44336</v>
      </c>
      <c r="I359" s="18">
        <v>5</v>
      </c>
      <c r="J359" s="18">
        <v>100</v>
      </c>
      <c r="K359" s="18">
        <v>5.3348014189994197</v>
      </c>
      <c r="L359" s="18" t="s">
        <v>490</v>
      </c>
      <c r="M359" s="18" t="s">
        <v>8</v>
      </c>
      <c r="N359" s="18">
        <f t="shared" si="5"/>
        <v>266.74007094997097</v>
      </c>
      <c r="O359" s="20" t="s">
        <v>451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</row>
    <row r="360" spans="1:66" s="16" customFormat="1" ht="16" customHeight="1" x14ac:dyDescent="0.2">
      <c r="A360" s="18">
        <v>1603</v>
      </c>
      <c r="B360" s="18" t="s">
        <v>582</v>
      </c>
      <c r="C360" s="18" t="s">
        <v>906</v>
      </c>
      <c r="D360" s="18" t="s">
        <v>911</v>
      </c>
      <c r="E360" s="18" t="s">
        <v>580</v>
      </c>
      <c r="F360" s="18" t="s">
        <v>654</v>
      </c>
      <c r="G360" s="18" t="s">
        <v>913</v>
      </c>
      <c r="H360" s="19">
        <v>44336</v>
      </c>
      <c r="I360" s="18">
        <v>5</v>
      </c>
      <c r="J360" s="18">
        <v>100</v>
      </c>
      <c r="K360" s="18">
        <v>0</v>
      </c>
      <c r="L360" s="18" t="s">
        <v>490</v>
      </c>
      <c r="M360" s="18" t="s">
        <v>8</v>
      </c>
      <c r="N360" s="18">
        <f t="shared" si="5"/>
        <v>0</v>
      </c>
      <c r="O360" s="20" t="s">
        <v>451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</row>
    <row r="361" spans="1:66" s="16" customFormat="1" ht="16" customHeight="1" x14ac:dyDescent="0.2">
      <c r="A361" s="18">
        <v>1574</v>
      </c>
      <c r="B361" s="18" t="s">
        <v>582</v>
      </c>
      <c r="C361" s="18" t="s">
        <v>906</v>
      </c>
      <c r="D361" s="18" t="s">
        <v>911</v>
      </c>
      <c r="E361" s="18" t="s">
        <v>580</v>
      </c>
      <c r="F361" s="18" t="s">
        <v>654</v>
      </c>
      <c r="G361" s="18" t="s">
        <v>914</v>
      </c>
      <c r="H361" s="19">
        <v>44336</v>
      </c>
      <c r="I361" s="18">
        <v>5</v>
      </c>
      <c r="J361" s="18">
        <v>100</v>
      </c>
      <c r="K361" s="18">
        <v>0</v>
      </c>
      <c r="L361" s="18" t="s">
        <v>490</v>
      </c>
      <c r="M361" s="18" t="s">
        <v>8</v>
      </c>
      <c r="N361" s="18">
        <f t="shared" si="5"/>
        <v>0</v>
      </c>
      <c r="O361" s="20" t="s">
        <v>451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</row>
    <row r="362" spans="1:66" s="18" customFormat="1" ht="16" customHeight="1" x14ac:dyDescent="0.2">
      <c r="A362" s="18">
        <v>1580</v>
      </c>
      <c r="B362" s="18" t="s">
        <v>582</v>
      </c>
      <c r="C362" s="18" t="s">
        <v>906</v>
      </c>
      <c r="D362" s="18" t="s">
        <v>911</v>
      </c>
      <c r="E362" s="18" t="s">
        <v>580</v>
      </c>
      <c r="F362" s="18" t="s">
        <v>654</v>
      </c>
      <c r="G362" s="18" t="s">
        <v>914</v>
      </c>
      <c r="H362" s="19">
        <v>44336</v>
      </c>
      <c r="I362" s="18">
        <v>5</v>
      </c>
      <c r="J362" s="18">
        <v>100</v>
      </c>
      <c r="K362" s="18">
        <v>0</v>
      </c>
      <c r="L362" s="18" t="s">
        <v>490</v>
      </c>
      <c r="M362" s="18" t="s">
        <v>8</v>
      </c>
      <c r="N362" s="18">
        <f t="shared" si="5"/>
        <v>0</v>
      </c>
      <c r="O362" s="20" t="s">
        <v>451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</row>
    <row r="363" spans="1:66" s="18" customFormat="1" ht="16" customHeight="1" x14ac:dyDescent="0.2">
      <c r="A363" s="18">
        <v>1586</v>
      </c>
      <c r="B363" s="18" t="s">
        <v>582</v>
      </c>
      <c r="C363" s="18" t="s">
        <v>906</v>
      </c>
      <c r="D363" s="18" t="s">
        <v>911</v>
      </c>
      <c r="E363" s="18" t="s">
        <v>580</v>
      </c>
      <c r="F363" s="18" t="s">
        <v>654</v>
      </c>
      <c r="G363" s="18" t="s">
        <v>914</v>
      </c>
      <c r="H363" s="19">
        <v>44336</v>
      </c>
      <c r="I363" s="18">
        <v>5</v>
      </c>
      <c r="J363" s="18">
        <v>100</v>
      </c>
      <c r="K363" s="18">
        <v>0</v>
      </c>
      <c r="L363" s="18" t="s">
        <v>490</v>
      </c>
      <c r="M363" s="18" t="s">
        <v>8</v>
      </c>
      <c r="N363" s="18">
        <f t="shared" si="5"/>
        <v>0</v>
      </c>
      <c r="O363" s="20" t="s">
        <v>451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</row>
    <row r="364" spans="1:66" s="18" customFormat="1" ht="16" customHeight="1" x14ac:dyDescent="0.2">
      <c r="A364" s="16">
        <v>1592</v>
      </c>
      <c r="B364" s="16" t="s">
        <v>584</v>
      </c>
      <c r="C364" s="16" t="s">
        <v>915</v>
      </c>
      <c r="D364" s="16" t="s">
        <v>916</v>
      </c>
      <c r="E364" s="16" t="s">
        <v>586</v>
      </c>
      <c r="F364" s="16" t="s">
        <v>654</v>
      </c>
      <c r="G364" s="16" t="s">
        <v>917</v>
      </c>
      <c r="H364" s="17">
        <v>44336</v>
      </c>
      <c r="I364" s="16">
        <v>5</v>
      </c>
      <c r="J364" s="16">
        <v>100</v>
      </c>
      <c r="K364" s="16">
        <v>4.0220869511733399</v>
      </c>
      <c r="L364" s="16" t="s">
        <v>490</v>
      </c>
      <c r="M364" s="16" t="s">
        <v>8</v>
      </c>
      <c r="N364" s="16">
        <f t="shared" si="5"/>
        <v>201.10434755866697</v>
      </c>
      <c r="O364" s="22" t="s">
        <v>451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</row>
    <row r="365" spans="1:66" s="18" customFormat="1" ht="16" customHeight="1" x14ac:dyDescent="0.2">
      <c r="A365" s="16">
        <v>1598</v>
      </c>
      <c r="B365" s="16" t="s">
        <v>584</v>
      </c>
      <c r="C365" s="16" t="s">
        <v>915</v>
      </c>
      <c r="D365" s="16" t="s">
        <v>916</v>
      </c>
      <c r="E365" s="16" t="s">
        <v>586</v>
      </c>
      <c r="F365" s="16" t="s">
        <v>654</v>
      </c>
      <c r="G365" s="16" t="s">
        <v>917</v>
      </c>
      <c r="H365" s="17">
        <v>44336</v>
      </c>
      <c r="I365" s="16">
        <v>5</v>
      </c>
      <c r="J365" s="16">
        <v>100</v>
      </c>
      <c r="K365" s="16">
        <v>3.1535360231310299</v>
      </c>
      <c r="L365" s="16" t="s">
        <v>490</v>
      </c>
      <c r="M365" s="16" t="s">
        <v>8</v>
      </c>
      <c r="N365" s="16">
        <f t="shared" si="5"/>
        <v>157.67680115655151</v>
      </c>
      <c r="O365" s="22" t="s">
        <v>451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</row>
    <row r="366" spans="1:66" s="18" customFormat="1" ht="16" customHeight="1" x14ac:dyDescent="0.2">
      <c r="A366" s="16">
        <v>1604</v>
      </c>
      <c r="B366" s="16" t="s">
        <v>584</v>
      </c>
      <c r="C366" s="16" t="s">
        <v>915</v>
      </c>
      <c r="D366" s="16" t="s">
        <v>916</v>
      </c>
      <c r="E366" s="16" t="s">
        <v>586</v>
      </c>
      <c r="F366" s="16" t="s">
        <v>654</v>
      </c>
      <c r="G366" s="16" t="s">
        <v>917</v>
      </c>
      <c r="H366" s="17">
        <v>44336</v>
      </c>
      <c r="I366" s="16">
        <v>5</v>
      </c>
      <c r="J366" s="16">
        <v>100</v>
      </c>
      <c r="K366" s="16">
        <v>3.3945293571592701</v>
      </c>
      <c r="L366" s="16" t="s">
        <v>490</v>
      </c>
      <c r="M366" s="16" t="s">
        <v>8</v>
      </c>
      <c r="N366" s="16">
        <f t="shared" si="5"/>
        <v>169.72646785796348</v>
      </c>
      <c r="O366" s="22" t="s">
        <v>451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</row>
    <row r="367" spans="1:66" s="18" customFormat="1" ht="16" customHeight="1" x14ac:dyDescent="0.2">
      <c r="A367" s="16">
        <v>1575</v>
      </c>
      <c r="B367" s="16" t="s">
        <v>584</v>
      </c>
      <c r="C367" s="16" t="s">
        <v>915</v>
      </c>
      <c r="D367" s="16" t="s">
        <v>916</v>
      </c>
      <c r="E367" s="16" t="s">
        <v>586</v>
      </c>
      <c r="F367" s="16" t="s">
        <v>654</v>
      </c>
      <c r="G367" s="16" t="s">
        <v>918</v>
      </c>
      <c r="H367" s="17">
        <v>44336</v>
      </c>
      <c r="I367" s="16">
        <v>5</v>
      </c>
      <c r="J367" s="16">
        <v>100</v>
      </c>
      <c r="K367" s="16">
        <v>10.1055180312723</v>
      </c>
      <c r="L367" s="16" t="s">
        <v>490</v>
      </c>
      <c r="M367" s="16" t="s">
        <v>8</v>
      </c>
      <c r="N367" s="16">
        <f t="shared" si="5"/>
        <v>505.27590156361498</v>
      </c>
      <c r="O367" s="22" t="s">
        <v>451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</row>
    <row r="368" spans="1:66" s="18" customFormat="1" ht="16" customHeight="1" x14ac:dyDescent="0.2">
      <c r="A368" s="16">
        <v>1581</v>
      </c>
      <c r="B368" s="16" t="s">
        <v>584</v>
      </c>
      <c r="C368" s="16" t="s">
        <v>915</v>
      </c>
      <c r="D368" s="16" t="s">
        <v>916</v>
      </c>
      <c r="E368" s="16" t="s">
        <v>586</v>
      </c>
      <c r="F368" s="16" t="s">
        <v>654</v>
      </c>
      <c r="G368" s="16" t="s">
        <v>918</v>
      </c>
      <c r="H368" s="17">
        <v>44336</v>
      </c>
      <c r="I368" s="16">
        <v>5</v>
      </c>
      <c r="J368" s="16">
        <v>100</v>
      </c>
      <c r="K368" s="16">
        <v>4.0720382598732003</v>
      </c>
      <c r="L368" s="16" t="s">
        <v>490</v>
      </c>
      <c r="M368" s="16" t="s">
        <v>8</v>
      </c>
      <c r="N368" s="16">
        <f t="shared" si="5"/>
        <v>203.60191299365999</v>
      </c>
      <c r="O368" s="22" t="s">
        <v>451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</row>
    <row r="369" spans="1:66" s="18" customFormat="1" ht="16" customHeight="1" x14ac:dyDescent="0.2">
      <c r="A369" s="16">
        <v>1587</v>
      </c>
      <c r="B369" s="16" t="s">
        <v>584</v>
      </c>
      <c r="C369" s="16" t="s">
        <v>915</v>
      </c>
      <c r="D369" s="16" t="s">
        <v>916</v>
      </c>
      <c r="E369" s="16" t="s">
        <v>586</v>
      </c>
      <c r="F369" s="16" t="s">
        <v>654</v>
      </c>
      <c r="G369" s="16" t="s">
        <v>918</v>
      </c>
      <c r="H369" s="17">
        <v>44336</v>
      </c>
      <c r="I369" s="16">
        <v>5</v>
      </c>
      <c r="J369" s="16">
        <v>100</v>
      </c>
      <c r="K369" s="16">
        <v>7.4337473967504204</v>
      </c>
      <c r="L369" s="16" t="s">
        <v>490</v>
      </c>
      <c r="M369" s="16" t="s">
        <v>8</v>
      </c>
      <c r="N369" s="16">
        <f t="shared" si="5"/>
        <v>371.68736983752103</v>
      </c>
      <c r="O369" s="22" t="s">
        <v>451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</row>
    <row r="370" spans="1:66" s="18" customFormat="1" ht="16" customHeight="1" x14ac:dyDescent="0.2">
      <c r="A370" s="16">
        <v>1593</v>
      </c>
      <c r="B370" s="16" t="s">
        <v>584</v>
      </c>
      <c r="C370" s="16" t="s">
        <v>915</v>
      </c>
      <c r="D370" s="16" t="s">
        <v>916</v>
      </c>
      <c r="E370" s="16" t="s">
        <v>586</v>
      </c>
      <c r="F370" s="16" t="s">
        <v>654</v>
      </c>
      <c r="G370" s="16" t="s">
        <v>919</v>
      </c>
      <c r="H370" s="17">
        <v>44336</v>
      </c>
      <c r="I370" s="16">
        <v>5</v>
      </c>
      <c r="J370" s="16">
        <v>100</v>
      </c>
      <c r="K370" s="16">
        <v>1.0660653806568099</v>
      </c>
      <c r="L370" s="16" t="s">
        <v>490</v>
      </c>
      <c r="M370" s="16" t="s">
        <v>8</v>
      </c>
      <c r="N370" s="16">
        <f t="shared" si="5"/>
        <v>53.303269032840497</v>
      </c>
      <c r="O370" s="22" t="s">
        <v>451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</row>
    <row r="371" spans="1:66" s="18" customFormat="1" ht="16" customHeight="1" x14ac:dyDescent="0.2">
      <c r="A371" s="16">
        <v>1599</v>
      </c>
      <c r="B371" s="16" t="s">
        <v>584</v>
      </c>
      <c r="C371" s="16" t="s">
        <v>915</v>
      </c>
      <c r="D371" s="16" t="s">
        <v>916</v>
      </c>
      <c r="E371" s="16" t="s">
        <v>586</v>
      </c>
      <c r="F371" s="16" t="s">
        <v>654</v>
      </c>
      <c r="G371" s="16" t="s">
        <v>919</v>
      </c>
      <c r="H371" s="17">
        <v>44336</v>
      </c>
      <c r="I371" s="16">
        <v>5</v>
      </c>
      <c r="J371" s="16">
        <v>100</v>
      </c>
      <c r="K371" s="16">
        <v>2.7429309736885399</v>
      </c>
      <c r="L371" s="16" t="s">
        <v>490</v>
      </c>
      <c r="M371" s="16" t="s">
        <v>8</v>
      </c>
      <c r="N371" s="16">
        <f t="shared" si="5"/>
        <v>137.14654868442699</v>
      </c>
      <c r="O371" s="22" t="s">
        <v>451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</row>
    <row r="372" spans="1:66" s="18" customFormat="1" ht="16" customHeight="1" x14ac:dyDescent="0.2">
      <c r="A372" s="16">
        <v>1605</v>
      </c>
      <c r="B372" s="16" t="s">
        <v>584</v>
      </c>
      <c r="C372" s="16" t="s">
        <v>915</v>
      </c>
      <c r="D372" s="16" t="s">
        <v>916</v>
      </c>
      <c r="E372" s="16" t="s">
        <v>586</v>
      </c>
      <c r="F372" s="16" t="s">
        <v>654</v>
      </c>
      <c r="G372" s="16" t="s">
        <v>919</v>
      </c>
      <c r="H372" s="17">
        <v>44336</v>
      </c>
      <c r="I372" s="16">
        <v>5</v>
      </c>
      <c r="J372" s="16">
        <v>100</v>
      </c>
      <c r="K372" s="16">
        <v>3.54961088733008</v>
      </c>
      <c r="L372" s="16" t="s">
        <v>490</v>
      </c>
      <c r="M372" s="16" t="s">
        <v>8</v>
      </c>
      <c r="N372" s="16">
        <f t="shared" si="5"/>
        <v>177.48054436650398</v>
      </c>
      <c r="O372" s="22" t="s">
        <v>451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</row>
    <row r="373" spans="1:66" s="18" customFormat="1" ht="16" customHeight="1" x14ac:dyDescent="0.2">
      <c r="A373" s="18">
        <v>1576</v>
      </c>
      <c r="B373" s="18" t="s">
        <v>588</v>
      </c>
      <c r="C373" s="18" t="s">
        <v>915</v>
      </c>
      <c r="D373" s="18" t="s">
        <v>920</v>
      </c>
      <c r="E373" s="18" t="s">
        <v>586</v>
      </c>
      <c r="F373" s="18" t="s">
        <v>654</v>
      </c>
      <c r="G373" s="18" t="s">
        <v>921</v>
      </c>
      <c r="H373" s="19">
        <v>44336</v>
      </c>
      <c r="I373" s="18">
        <v>5</v>
      </c>
      <c r="J373" s="18">
        <v>100</v>
      </c>
      <c r="K373" s="18">
        <v>14.3611029053086</v>
      </c>
      <c r="L373" s="18" t="s">
        <v>490</v>
      </c>
      <c r="M373" s="18" t="s">
        <v>8</v>
      </c>
      <c r="N373" s="18">
        <f t="shared" si="5"/>
        <v>718.05514526543004</v>
      </c>
      <c r="O373" s="20" t="s">
        <v>451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</row>
    <row r="374" spans="1:66" s="18" customFormat="1" ht="16" customHeight="1" x14ac:dyDescent="0.2">
      <c r="A374" s="18">
        <v>1582</v>
      </c>
      <c r="B374" s="18" t="s">
        <v>588</v>
      </c>
      <c r="C374" s="18" t="s">
        <v>915</v>
      </c>
      <c r="D374" s="18" t="s">
        <v>920</v>
      </c>
      <c r="E374" s="18" t="s">
        <v>586</v>
      </c>
      <c r="F374" s="18" t="s">
        <v>654</v>
      </c>
      <c r="G374" s="18" t="s">
        <v>921</v>
      </c>
      <c r="H374" s="19">
        <v>44336</v>
      </c>
      <c r="I374" s="18">
        <v>5</v>
      </c>
      <c r="J374" s="18">
        <v>100</v>
      </c>
      <c r="K374" s="18">
        <v>9.1237069392936601</v>
      </c>
      <c r="L374" s="18" t="s">
        <v>490</v>
      </c>
      <c r="M374" s="18" t="s">
        <v>8</v>
      </c>
      <c r="N374" s="18">
        <f t="shared" si="5"/>
        <v>456.18534696468305</v>
      </c>
      <c r="O374" s="20" t="s">
        <v>451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</row>
    <row r="375" spans="1:66" s="18" customFormat="1" ht="16" customHeight="1" x14ac:dyDescent="0.2">
      <c r="A375" s="18">
        <v>1588</v>
      </c>
      <c r="B375" s="18" t="s">
        <v>588</v>
      </c>
      <c r="C375" s="18" t="s">
        <v>915</v>
      </c>
      <c r="D375" s="18" t="s">
        <v>920</v>
      </c>
      <c r="E375" s="18" t="s">
        <v>586</v>
      </c>
      <c r="F375" s="18" t="s">
        <v>654</v>
      </c>
      <c r="G375" s="18" t="s">
        <v>921</v>
      </c>
      <c r="H375" s="19">
        <v>44336</v>
      </c>
      <c r="I375" s="18">
        <v>5</v>
      </c>
      <c r="J375" s="18">
        <v>100</v>
      </c>
      <c r="K375" s="18">
        <v>7.0167344238600604</v>
      </c>
      <c r="L375" s="18" t="s">
        <v>490</v>
      </c>
      <c r="M375" s="18" t="s">
        <v>8</v>
      </c>
      <c r="N375" s="18">
        <f t="shared" si="5"/>
        <v>350.83672119300303</v>
      </c>
      <c r="O375" s="20" t="s">
        <v>451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</row>
    <row r="376" spans="1:66" s="18" customFormat="1" ht="16" customHeight="1" x14ac:dyDescent="0.2">
      <c r="A376" s="18">
        <v>1594</v>
      </c>
      <c r="B376" s="18" t="s">
        <v>588</v>
      </c>
      <c r="C376" s="18" t="s">
        <v>915</v>
      </c>
      <c r="D376" s="18" t="s">
        <v>920</v>
      </c>
      <c r="E376" s="18" t="s">
        <v>586</v>
      </c>
      <c r="F376" s="18" t="s">
        <v>654</v>
      </c>
      <c r="G376" s="18" t="s">
        <v>922</v>
      </c>
      <c r="H376" s="19">
        <v>44336</v>
      </c>
      <c r="I376" s="18">
        <v>5</v>
      </c>
      <c r="J376" s="18">
        <v>100</v>
      </c>
      <c r="K376" s="18">
        <v>12.535242012862</v>
      </c>
      <c r="L376" s="18" t="s">
        <v>490</v>
      </c>
      <c r="M376" s="18" t="s">
        <v>8</v>
      </c>
      <c r="N376" s="18">
        <f t="shared" si="5"/>
        <v>626.76210064309998</v>
      </c>
      <c r="O376" s="20" t="s">
        <v>451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</row>
    <row r="377" spans="1:66" s="16" customFormat="1" ht="16" customHeight="1" x14ac:dyDescent="0.2">
      <c r="A377" s="18">
        <v>1600</v>
      </c>
      <c r="B377" s="18" t="s">
        <v>588</v>
      </c>
      <c r="C377" s="18" t="s">
        <v>915</v>
      </c>
      <c r="D377" s="18" t="s">
        <v>920</v>
      </c>
      <c r="E377" s="18" t="s">
        <v>586</v>
      </c>
      <c r="F377" s="18" t="s">
        <v>654</v>
      </c>
      <c r="G377" s="18" t="s">
        <v>922</v>
      </c>
      <c r="H377" s="19">
        <v>44336</v>
      </c>
      <c r="I377" s="18">
        <v>5</v>
      </c>
      <c r="J377" s="18">
        <v>100</v>
      </c>
      <c r="K377" s="18">
        <v>21.288389046569101</v>
      </c>
      <c r="L377" s="18" t="s">
        <v>490</v>
      </c>
      <c r="M377" s="18" t="s">
        <v>8</v>
      </c>
      <c r="N377" s="18">
        <f t="shared" si="5"/>
        <v>1064.419452328455</v>
      </c>
      <c r="O377" s="20" t="s">
        <v>451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</row>
    <row r="378" spans="1:66" s="16" customFormat="1" ht="16" customHeight="1" x14ac:dyDescent="0.2">
      <c r="A378" s="18">
        <v>1606</v>
      </c>
      <c r="B378" s="18" t="s">
        <v>588</v>
      </c>
      <c r="C378" s="18" t="s">
        <v>915</v>
      </c>
      <c r="D378" s="18" t="s">
        <v>920</v>
      </c>
      <c r="E378" s="18" t="s">
        <v>586</v>
      </c>
      <c r="F378" s="18" t="s">
        <v>654</v>
      </c>
      <c r="G378" s="18" t="s">
        <v>922</v>
      </c>
      <c r="H378" s="19">
        <v>44336</v>
      </c>
      <c r="I378" s="18">
        <v>5</v>
      </c>
      <c r="J378" s="18">
        <v>100</v>
      </c>
      <c r="K378" s="18">
        <v>17.276557043488399</v>
      </c>
      <c r="L378" s="18" t="s">
        <v>490</v>
      </c>
      <c r="M378" s="18" t="s">
        <v>8</v>
      </c>
      <c r="N378" s="18">
        <f t="shared" si="5"/>
        <v>863.82785217441995</v>
      </c>
      <c r="O378" s="20" t="s">
        <v>451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</row>
    <row r="379" spans="1:66" s="16" customFormat="1" ht="16" customHeight="1" x14ac:dyDescent="0.2">
      <c r="A379" s="18">
        <v>1577</v>
      </c>
      <c r="B379" s="18" t="s">
        <v>588</v>
      </c>
      <c r="C379" s="18" t="s">
        <v>915</v>
      </c>
      <c r="D379" s="18" t="s">
        <v>920</v>
      </c>
      <c r="E379" s="18" t="s">
        <v>586</v>
      </c>
      <c r="F379" s="18" t="s">
        <v>654</v>
      </c>
      <c r="G379" s="18" t="s">
        <v>923</v>
      </c>
      <c r="H379" s="19">
        <v>44336</v>
      </c>
      <c r="I379" s="18">
        <v>5</v>
      </c>
      <c r="J379" s="18">
        <v>100</v>
      </c>
      <c r="K379" s="18">
        <v>20.788622823229101</v>
      </c>
      <c r="L379" s="18" t="s">
        <v>490</v>
      </c>
      <c r="M379" s="18" t="s">
        <v>8</v>
      </c>
      <c r="N379" s="18">
        <f t="shared" si="5"/>
        <v>1039.4311411614551</v>
      </c>
      <c r="O379" s="20" t="s">
        <v>451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</row>
    <row r="380" spans="1:66" s="16" customFormat="1" ht="16" customHeight="1" x14ac:dyDescent="0.2">
      <c r="A380" s="18">
        <v>1583</v>
      </c>
      <c r="B380" s="18" t="s">
        <v>588</v>
      </c>
      <c r="C380" s="18" t="s">
        <v>915</v>
      </c>
      <c r="D380" s="18" t="s">
        <v>920</v>
      </c>
      <c r="E380" s="18" t="s">
        <v>586</v>
      </c>
      <c r="F380" s="18" t="s">
        <v>654</v>
      </c>
      <c r="G380" s="18" t="s">
        <v>923</v>
      </c>
      <c r="H380" s="19">
        <v>44336</v>
      </c>
      <c r="I380" s="18">
        <v>5</v>
      </c>
      <c r="J380" s="18">
        <v>100</v>
      </c>
      <c r="K380" s="18">
        <v>0</v>
      </c>
      <c r="L380" s="18" t="s">
        <v>490</v>
      </c>
      <c r="M380" s="18" t="s">
        <v>8</v>
      </c>
      <c r="N380" s="18">
        <f t="shared" si="5"/>
        <v>0</v>
      </c>
      <c r="O380" s="20" t="s">
        <v>451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</row>
    <row r="381" spans="1:66" s="16" customFormat="1" ht="16" customHeight="1" x14ac:dyDescent="0.2">
      <c r="A381" s="18">
        <v>1589</v>
      </c>
      <c r="B381" s="18" t="s">
        <v>588</v>
      </c>
      <c r="C381" s="18" t="s">
        <v>915</v>
      </c>
      <c r="D381" s="18" t="s">
        <v>920</v>
      </c>
      <c r="E381" s="18" t="s">
        <v>586</v>
      </c>
      <c r="F381" s="18" t="s">
        <v>654</v>
      </c>
      <c r="G381" s="18" t="s">
        <v>923</v>
      </c>
      <c r="H381" s="19">
        <v>44336</v>
      </c>
      <c r="I381" s="18">
        <v>5</v>
      </c>
      <c r="J381" s="18">
        <v>100</v>
      </c>
      <c r="K381" s="18">
        <v>17.7296433705149</v>
      </c>
      <c r="L381" s="18" t="s">
        <v>490</v>
      </c>
      <c r="M381" s="18" t="s">
        <v>8</v>
      </c>
      <c r="N381" s="18">
        <f t="shared" si="5"/>
        <v>886.48216852574501</v>
      </c>
      <c r="O381" s="20" t="s">
        <v>451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</row>
    <row r="382" spans="1:66" s="16" customFormat="1" ht="16" customHeight="1" x14ac:dyDescent="0.2">
      <c r="A382" s="16">
        <v>1595</v>
      </c>
      <c r="B382" s="16" t="s">
        <v>590</v>
      </c>
      <c r="C382" s="16" t="s">
        <v>924</v>
      </c>
      <c r="D382" s="16" t="s">
        <v>925</v>
      </c>
      <c r="E382" s="16" t="s">
        <v>592</v>
      </c>
      <c r="F382" s="16" t="s">
        <v>654</v>
      </c>
      <c r="G382" s="16" t="s">
        <v>926</v>
      </c>
      <c r="H382" s="17">
        <v>44336</v>
      </c>
      <c r="I382" s="16">
        <v>5</v>
      </c>
      <c r="J382" s="16">
        <v>100</v>
      </c>
      <c r="K382" s="16">
        <v>0</v>
      </c>
      <c r="L382" s="16" t="s">
        <v>490</v>
      </c>
      <c r="M382" s="16" t="s">
        <v>8</v>
      </c>
      <c r="N382" s="16">
        <f t="shared" si="5"/>
        <v>0</v>
      </c>
      <c r="O382" s="22" t="s">
        <v>451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</row>
    <row r="383" spans="1:66" s="16" customFormat="1" ht="16" customHeight="1" x14ac:dyDescent="0.2">
      <c r="A383" s="16">
        <v>1601</v>
      </c>
      <c r="B383" s="16" t="s">
        <v>590</v>
      </c>
      <c r="C383" s="16" t="s">
        <v>924</v>
      </c>
      <c r="D383" s="16" t="s">
        <v>925</v>
      </c>
      <c r="E383" s="16" t="s">
        <v>592</v>
      </c>
      <c r="F383" s="16" t="s">
        <v>654</v>
      </c>
      <c r="G383" s="16" t="s">
        <v>926</v>
      </c>
      <c r="H383" s="17">
        <v>44336</v>
      </c>
      <c r="I383" s="16">
        <v>5</v>
      </c>
      <c r="J383" s="16">
        <v>100</v>
      </c>
      <c r="K383" s="16">
        <v>0.50420321761903697</v>
      </c>
      <c r="L383" s="16" t="s">
        <v>490</v>
      </c>
      <c r="M383" s="16" t="s">
        <v>8</v>
      </c>
      <c r="N383" s="16">
        <f t="shared" si="5"/>
        <v>25.210160880951847</v>
      </c>
      <c r="O383" s="22" t="s">
        <v>451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</row>
    <row r="384" spans="1:66" s="16" customFormat="1" ht="16" customHeight="1" x14ac:dyDescent="0.2">
      <c r="A384" s="16">
        <v>1607</v>
      </c>
      <c r="B384" s="16" t="s">
        <v>590</v>
      </c>
      <c r="C384" s="16" t="s">
        <v>924</v>
      </c>
      <c r="D384" s="16" t="s">
        <v>925</v>
      </c>
      <c r="E384" s="16" t="s">
        <v>592</v>
      </c>
      <c r="F384" s="16" t="s">
        <v>654</v>
      </c>
      <c r="G384" s="16" t="s">
        <v>926</v>
      </c>
      <c r="H384" s="17">
        <v>44336</v>
      </c>
      <c r="I384" s="16">
        <v>5</v>
      </c>
      <c r="J384" s="16">
        <v>100</v>
      </c>
      <c r="K384" s="16">
        <v>7.6201347802706001E-2</v>
      </c>
      <c r="L384" s="16" t="s">
        <v>490</v>
      </c>
      <c r="M384" s="16" t="s">
        <v>8</v>
      </c>
      <c r="N384" s="16">
        <f t="shared" si="5"/>
        <v>3.8100673901353002</v>
      </c>
      <c r="O384" s="22" t="s">
        <v>451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</row>
    <row r="385" spans="1:66" s="16" customFormat="1" ht="16" customHeight="1" x14ac:dyDescent="0.2">
      <c r="A385" s="16">
        <v>1578</v>
      </c>
      <c r="B385" s="16" t="s">
        <v>590</v>
      </c>
      <c r="C385" s="16" t="s">
        <v>924</v>
      </c>
      <c r="D385" s="16" t="s">
        <v>925</v>
      </c>
      <c r="E385" s="16" t="s">
        <v>592</v>
      </c>
      <c r="F385" s="16" t="s">
        <v>654</v>
      </c>
      <c r="G385" s="16" t="s">
        <v>927</v>
      </c>
      <c r="H385" s="17">
        <v>44336</v>
      </c>
      <c r="I385" s="16">
        <v>5</v>
      </c>
      <c r="J385" s="16">
        <v>100</v>
      </c>
      <c r="K385" s="16">
        <v>0.10856136310311799</v>
      </c>
      <c r="L385" s="16" t="s">
        <v>490</v>
      </c>
      <c r="M385" s="16" t="s">
        <v>8</v>
      </c>
      <c r="N385" s="16">
        <f t="shared" si="5"/>
        <v>5.4280681551558994</v>
      </c>
      <c r="O385" s="22" t="s">
        <v>451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</row>
    <row r="386" spans="1:66" s="16" customFormat="1" ht="16" customHeight="1" x14ac:dyDescent="0.2">
      <c r="A386" s="16">
        <v>1584</v>
      </c>
      <c r="B386" s="16" t="s">
        <v>590</v>
      </c>
      <c r="C386" s="16" t="s">
        <v>924</v>
      </c>
      <c r="D386" s="16" t="s">
        <v>925</v>
      </c>
      <c r="E386" s="16" t="s">
        <v>592</v>
      </c>
      <c r="F386" s="16" t="s">
        <v>654</v>
      </c>
      <c r="G386" s="16" t="s">
        <v>927</v>
      </c>
      <c r="H386" s="17">
        <v>44336</v>
      </c>
      <c r="I386" s="16">
        <v>5</v>
      </c>
      <c r="J386" s="16">
        <v>100</v>
      </c>
      <c r="K386" s="16">
        <v>2.2903189493278999</v>
      </c>
      <c r="L386" s="16" t="s">
        <v>490</v>
      </c>
      <c r="M386" s="16" t="s">
        <v>8</v>
      </c>
      <c r="N386" s="16">
        <f t="shared" si="5"/>
        <v>114.515947466395</v>
      </c>
      <c r="O386" s="22" t="s">
        <v>451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</row>
    <row r="387" spans="1:66" s="16" customFormat="1" ht="16" customHeight="1" x14ac:dyDescent="0.2">
      <c r="A387" s="16">
        <v>1590</v>
      </c>
      <c r="B387" s="16" t="s">
        <v>590</v>
      </c>
      <c r="C387" s="16" t="s">
        <v>924</v>
      </c>
      <c r="D387" s="16" t="s">
        <v>925</v>
      </c>
      <c r="E387" s="16" t="s">
        <v>592</v>
      </c>
      <c r="F387" s="16" t="s">
        <v>654</v>
      </c>
      <c r="G387" s="16" t="s">
        <v>927</v>
      </c>
      <c r="H387" s="17">
        <v>44336</v>
      </c>
      <c r="I387" s="16">
        <v>5</v>
      </c>
      <c r="J387" s="16">
        <v>100</v>
      </c>
      <c r="K387" s="16">
        <v>0</v>
      </c>
      <c r="L387" s="16" t="s">
        <v>490</v>
      </c>
      <c r="M387" s="16" t="s">
        <v>8</v>
      </c>
      <c r="N387" s="16">
        <f t="shared" si="5"/>
        <v>0</v>
      </c>
      <c r="O387" s="22" t="s">
        <v>451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</row>
    <row r="388" spans="1:66" s="16" customFormat="1" ht="16" customHeight="1" x14ac:dyDescent="0.2">
      <c r="A388" s="16">
        <v>1596</v>
      </c>
      <c r="B388" s="16" t="s">
        <v>590</v>
      </c>
      <c r="C388" s="16" t="s">
        <v>924</v>
      </c>
      <c r="D388" s="16" t="s">
        <v>925</v>
      </c>
      <c r="E388" s="16" t="s">
        <v>592</v>
      </c>
      <c r="F388" s="16" t="s">
        <v>654</v>
      </c>
      <c r="G388" s="16" t="s">
        <v>928</v>
      </c>
      <c r="H388" s="17">
        <v>44336</v>
      </c>
      <c r="I388" s="16">
        <v>5</v>
      </c>
      <c r="J388" s="16">
        <v>100</v>
      </c>
      <c r="K388" s="16">
        <v>0.32299862218660902</v>
      </c>
      <c r="L388" s="16" t="s">
        <v>490</v>
      </c>
      <c r="M388" s="16" t="s">
        <v>8</v>
      </c>
      <c r="N388" s="16">
        <f t="shared" ref="N388:N451" si="6">K388*I388*(1000/J388)</f>
        <v>16.149931109330453</v>
      </c>
      <c r="O388" s="22" t="s">
        <v>451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</row>
    <row r="389" spans="1:66" s="16" customFormat="1" ht="16" customHeight="1" x14ac:dyDescent="0.2">
      <c r="A389" s="16">
        <v>1602</v>
      </c>
      <c r="B389" s="16" t="s">
        <v>590</v>
      </c>
      <c r="C389" s="16" t="s">
        <v>924</v>
      </c>
      <c r="D389" s="16" t="s">
        <v>925</v>
      </c>
      <c r="E389" s="16" t="s">
        <v>592</v>
      </c>
      <c r="F389" s="16" t="s">
        <v>654</v>
      </c>
      <c r="G389" s="16" t="s">
        <v>928</v>
      </c>
      <c r="H389" s="17">
        <v>44336</v>
      </c>
      <c r="I389" s="16">
        <v>5</v>
      </c>
      <c r="J389" s="16">
        <v>100</v>
      </c>
      <c r="K389" s="16">
        <v>9.1668657846050994E-2</v>
      </c>
      <c r="L389" s="16" t="s">
        <v>490</v>
      </c>
      <c r="M389" s="16" t="s">
        <v>8</v>
      </c>
      <c r="N389" s="16">
        <f t="shared" si="6"/>
        <v>4.5834328923025494</v>
      </c>
      <c r="O389" s="22" t="s">
        <v>451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</row>
    <row r="390" spans="1:66" s="16" customFormat="1" ht="16" customHeight="1" x14ac:dyDescent="0.2">
      <c r="A390" s="16">
        <v>1608</v>
      </c>
      <c r="B390" s="16" t="s">
        <v>590</v>
      </c>
      <c r="C390" s="16" t="s">
        <v>924</v>
      </c>
      <c r="D390" s="16" t="s">
        <v>925</v>
      </c>
      <c r="E390" s="16" t="s">
        <v>592</v>
      </c>
      <c r="F390" s="16" t="s">
        <v>654</v>
      </c>
      <c r="G390" s="16" t="s">
        <v>928</v>
      </c>
      <c r="H390" s="17">
        <v>44336</v>
      </c>
      <c r="I390" s="16">
        <v>5</v>
      </c>
      <c r="J390" s="16">
        <v>100</v>
      </c>
      <c r="K390" s="16">
        <v>0.38991932785593802</v>
      </c>
      <c r="L390" s="16" t="s">
        <v>490</v>
      </c>
      <c r="M390" s="16" t="s">
        <v>8</v>
      </c>
      <c r="N390" s="16">
        <f t="shared" si="6"/>
        <v>19.495966392796902</v>
      </c>
      <c r="O390" s="22" t="s">
        <v>451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</row>
    <row r="391" spans="1:66" s="16" customFormat="1" ht="16" customHeight="1" x14ac:dyDescent="0.2">
      <c r="A391" s="18">
        <v>1609</v>
      </c>
      <c r="B391" s="18" t="s">
        <v>594</v>
      </c>
      <c r="C391" s="18" t="s">
        <v>929</v>
      </c>
      <c r="D391" s="18" t="s">
        <v>930</v>
      </c>
      <c r="E391" s="18" t="s">
        <v>597</v>
      </c>
      <c r="F391" s="18" t="s">
        <v>654</v>
      </c>
      <c r="G391" s="18" t="s">
        <v>931</v>
      </c>
      <c r="H391" s="19">
        <v>44336</v>
      </c>
      <c r="I391" s="18">
        <v>5</v>
      </c>
      <c r="J391" s="18">
        <v>100</v>
      </c>
      <c r="K391" s="18">
        <v>0</v>
      </c>
      <c r="L391" s="18" t="s">
        <v>490</v>
      </c>
      <c r="M391" s="18" t="s">
        <v>8</v>
      </c>
      <c r="N391" s="18">
        <f t="shared" si="6"/>
        <v>0</v>
      </c>
      <c r="O391" s="20" t="s">
        <v>451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</row>
    <row r="392" spans="1:66" s="16" customFormat="1" ht="16" customHeight="1" x14ac:dyDescent="0.2">
      <c r="A392" s="18">
        <v>1616</v>
      </c>
      <c r="B392" s="18" t="s">
        <v>594</v>
      </c>
      <c r="C392" s="18" t="s">
        <v>929</v>
      </c>
      <c r="D392" s="18" t="s">
        <v>930</v>
      </c>
      <c r="E392" s="18" t="s">
        <v>597</v>
      </c>
      <c r="F392" s="18" t="s">
        <v>654</v>
      </c>
      <c r="G392" s="18" t="s">
        <v>931</v>
      </c>
      <c r="H392" s="19">
        <v>44336</v>
      </c>
      <c r="I392" s="18">
        <v>5</v>
      </c>
      <c r="J392" s="18">
        <v>100</v>
      </c>
      <c r="K392" s="18">
        <v>0</v>
      </c>
      <c r="L392" s="18" t="s">
        <v>490</v>
      </c>
      <c r="M392" s="18" t="s">
        <v>8</v>
      </c>
      <c r="N392" s="18">
        <f t="shared" si="6"/>
        <v>0</v>
      </c>
      <c r="O392" s="20" t="s">
        <v>451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</row>
    <row r="393" spans="1:66" s="16" customFormat="1" ht="16" customHeight="1" x14ac:dyDescent="0.2">
      <c r="A393" s="18">
        <v>1623</v>
      </c>
      <c r="B393" s="18" t="s">
        <v>594</v>
      </c>
      <c r="C393" s="18" t="s">
        <v>929</v>
      </c>
      <c r="D393" s="18" t="s">
        <v>930</v>
      </c>
      <c r="E393" s="18" t="s">
        <v>597</v>
      </c>
      <c r="F393" s="18" t="s">
        <v>654</v>
      </c>
      <c r="G393" s="18" t="s">
        <v>931</v>
      </c>
      <c r="H393" s="19">
        <v>44336</v>
      </c>
      <c r="I393" s="18">
        <v>5</v>
      </c>
      <c r="J393" s="18">
        <v>100</v>
      </c>
      <c r="K393" s="18">
        <v>0</v>
      </c>
      <c r="L393" s="18" t="s">
        <v>490</v>
      </c>
      <c r="M393" s="18" t="s">
        <v>8</v>
      </c>
      <c r="N393" s="18">
        <f t="shared" si="6"/>
        <v>0</v>
      </c>
      <c r="O393" s="20" t="s">
        <v>451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</row>
    <row r="394" spans="1:66" s="16" customFormat="1" ht="16" customHeight="1" x14ac:dyDescent="0.2">
      <c r="A394" s="18">
        <v>1630</v>
      </c>
      <c r="B394" s="18" t="s">
        <v>594</v>
      </c>
      <c r="C394" s="18" t="s">
        <v>929</v>
      </c>
      <c r="D394" s="18" t="s">
        <v>930</v>
      </c>
      <c r="E394" s="18" t="s">
        <v>597</v>
      </c>
      <c r="F394" s="18" t="s">
        <v>654</v>
      </c>
      <c r="G394" s="18" t="s">
        <v>932</v>
      </c>
      <c r="H394" s="19">
        <v>44336</v>
      </c>
      <c r="I394" s="18">
        <v>5</v>
      </c>
      <c r="J394" s="18">
        <v>100</v>
      </c>
      <c r="K394" s="18">
        <v>0</v>
      </c>
      <c r="L394" s="18" t="s">
        <v>490</v>
      </c>
      <c r="M394" s="18" t="s">
        <v>8</v>
      </c>
      <c r="N394" s="18">
        <f t="shared" si="6"/>
        <v>0</v>
      </c>
      <c r="O394" s="20" t="s">
        <v>451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</row>
    <row r="395" spans="1:66" s="16" customFormat="1" ht="16" customHeight="1" x14ac:dyDescent="0.2">
      <c r="A395" s="18">
        <v>1635</v>
      </c>
      <c r="B395" s="18" t="s">
        <v>594</v>
      </c>
      <c r="C395" s="18" t="s">
        <v>929</v>
      </c>
      <c r="D395" s="18" t="s">
        <v>930</v>
      </c>
      <c r="E395" s="18" t="s">
        <v>597</v>
      </c>
      <c r="F395" s="18" t="s">
        <v>654</v>
      </c>
      <c r="G395" s="18" t="s">
        <v>932</v>
      </c>
      <c r="H395" s="19">
        <v>44336</v>
      </c>
      <c r="I395" s="18">
        <v>5</v>
      </c>
      <c r="J395" s="18">
        <v>100</v>
      </c>
      <c r="K395" s="18">
        <v>0</v>
      </c>
      <c r="L395" s="18" t="s">
        <v>490</v>
      </c>
      <c r="M395" s="18" t="s">
        <v>8</v>
      </c>
      <c r="N395" s="18">
        <f t="shared" si="6"/>
        <v>0</v>
      </c>
      <c r="O395" s="20" t="s">
        <v>451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</row>
    <row r="396" spans="1:66" s="16" customFormat="1" ht="16" customHeight="1" x14ac:dyDescent="0.2">
      <c r="A396" s="18">
        <v>1640</v>
      </c>
      <c r="B396" s="18" t="s">
        <v>594</v>
      </c>
      <c r="C396" s="18" t="s">
        <v>929</v>
      </c>
      <c r="D396" s="18" t="s">
        <v>930</v>
      </c>
      <c r="E396" s="18" t="s">
        <v>597</v>
      </c>
      <c r="F396" s="18" t="s">
        <v>654</v>
      </c>
      <c r="G396" s="18" t="s">
        <v>932</v>
      </c>
      <c r="H396" s="19">
        <v>44336</v>
      </c>
      <c r="I396" s="18">
        <v>5</v>
      </c>
      <c r="J396" s="18">
        <v>100</v>
      </c>
      <c r="K396" s="18">
        <v>0</v>
      </c>
      <c r="L396" s="18" t="s">
        <v>490</v>
      </c>
      <c r="M396" s="18" t="s">
        <v>8</v>
      </c>
      <c r="N396" s="18">
        <f t="shared" si="6"/>
        <v>0</v>
      </c>
      <c r="O396" s="20" t="s">
        <v>451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</row>
    <row r="397" spans="1:66" s="16" customFormat="1" ht="16" customHeight="1" x14ac:dyDescent="0.2">
      <c r="A397" s="18">
        <v>1610</v>
      </c>
      <c r="B397" s="18" t="s">
        <v>594</v>
      </c>
      <c r="C397" s="18" t="s">
        <v>929</v>
      </c>
      <c r="D397" s="18" t="s">
        <v>930</v>
      </c>
      <c r="E397" s="18" t="s">
        <v>597</v>
      </c>
      <c r="F397" s="18" t="s">
        <v>654</v>
      </c>
      <c r="G397" s="18" t="s">
        <v>933</v>
      </c>
      <c r="H397" s="19">
        <v>44336</v>
      </c>
      <c r="I397" s="18">
        <v>5</v>
      </c>
      <c r="J397" s="18">
        <v>100</v>
      </c>
      <c r="K397" s="18">
        <v>0</v>
      </c>
      <c r="L397" s="18" t="s">
        <v>490</v>
      </c>
      <c r="M397" s="18" t="s">
        <v>8</v>
      </c>
      <c r="N397" s="18">
        <f t="shared" si="6"/>
        <v>0</v>
      </c>
      <c r="O397" s="20" t="s">
        <v>451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</row>
    <row r="398" spans="1:66" s="16" customFormat="1" ht="16" customHeight="1" x14ac:dyDescent="0.2">
      <c r="A398" s="18">
        <v>1617</v>
      </c>
      <c r="B398" s="18" t="s">
        <v>594</v>
      </c>
      <c r="C398" s="18" t="s">
        <v>929</v>
      </c>
      <c r="D398" s="18" t="s">
        <v>930</v>
      </c>
      <c r="E398" s="18" t="s">
        <v>597</v>
      </c>
      <c r="F398" s="18" t="s">
        <v>654</v>
      </c>
      <c r="G398" s="18" t="s">
        <v>933</v>
      </c>
      <c r="H398" s="19">
        <v>44336</v>
      </c>
      <c r="I398" s="18">
        <v>5</v>
      </c>
      <c r="J398" s="18">
        <v>100</v>
      </c>
      <c r="K398" s="18">
        <v>0</v>
      </c>
      <c r="L398" s="18" t="s">
        <v>490</v>
      </c>
      <c r="M398" s="18" t="s">
        <v>8</v>
      </c>
      <c r="N398" s="18">
        <f t="shared" si="6"/>
        <v>0</v>
      </c>
      <c r="O398" s="20" t="s">
        <v>451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</row>
    <row r="399" spans="1:66" s="16" customFormat="1" ht="16" customHeight="1" x14ac:dyDescent="0.2">
      <c r="A399" s="18">
        <v>1624</v>
      </c>
      <c r="B399" s="18" t="s">
        <v>594</v>
      </c>
      <c r="C399" s="18" t="s">
        <v>929</v>
      </c>
      <c r="D399" s="18" t="s">
        <v>930</v>
      </c>
      <c r="E399" s="18" t="s">
        <v>597</v>
      </c>
      <c r="F399" s="18" t="s">
        <v>654</v>
      </c>
      <c r="G399" s="18" t="s">
        <v>933</v>
      </c>
      <c r="H399" s="19">
        <v>44336</v>
      </c>
      <c r="I399" s="18">
        <v>5</v>
      </c>
      <c r="J399" s="18">
        <v>100</v>
      </c>
      <c r="K399" s="18">
        <v>0</v>
      </c>
      <c r="L399" s="18" t="s">
        <v>490</v>
      </c>
      <c r="M399" s="18" t="s">
        <v>8</v>
      </c>
      <c r="N399" s="18">
        <f t="shared" si="6"/>
        <v>0</v>
      </c>
      <c r="O399" s="20" t="s">
        <v>451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</row>
    <row r="400" spans="1:66" s="16" customFormat="1" ht="16" customHeight="1" x14ac:dyDescent="0.2">
      <c r="A400" s="16">
        <v>1611</v>
      </c>
      <c r="B400" s="16" t="s">
        <v>599</v>
      </c>
      <c r="C400" s="16" t="s">
        <v>929</v>
      </c>
      <c r="D400" s="16" t="s">
        <v>934</v>
      </c>
      <c r="E400" s="16" t="s">
        <v>597</v>
      </c>
      <c r="F400" s="16" t="s">
        <v>654</v>
      </c>
      <c r="G400" s="16" t="s">
        <v>935</v>
      </c>
      <c r="H400" s="17">
        <v>44337</v>
      </c>
      <c r="I400" s="16">
        <v>5</v>
      </c>
      <c r="J400" s="16">
        <v>100</v>
      </c>
      <c r="K400" s="16">
        <v>0</v>
      </c>
      <c r="L400" s="16" t="s">
        <v>490</v>
      </c>
      <c r="M400" s="16" t="s">
        <v>8</v>
      </c>
      <c r="N400" s="16">
        <f t="shared" si="6"/>
        <v>0</v>
      </c>
      <c r="O400" s="22" t="s">
        <v>451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</row>
    <row r="401" spans="1:66" s="16" customFormat="1" ht="16" customHeight="1" x14ac:dyDescent="0.2">
      <c r="A401" s="16">
        <v>1618</v>
      </c>
      <c r="B401" s="16" t="s">
        <v>599</v>
      </c>
      <c r="C401" s="16" t="s">
        <v>929</v>
      </c>
      <c r="D401" s="16" t="s">
        <v>934</v>
      </c>
      <c r="E401" s="16" t="s">
        <v>597</v>
      </c>
      <c r="F401" s="16" t="s">
        <v>654</v>
      </c>
      <c r="G401" s="16" t="s">
        <v>935</v>
      </c>
      <c r="H401" s="17">
        <v>44337</v>
      </c>
      <c r="I401" s="16">
        <v>5</v>
      </c>
      <c r="J401" s="16">
        <v>100</v>
      </c>
      <c r="K401" s="16">
        <v>0</v>
      </c>
      <c r="L401" s="16" t="s">
        <v>490</v>
      </c>
      <c r="M401" s="16" t="s">
        <v>8</v>
      </c>
      <c r="N401" s="16">
        <f t="shared" si="6"/>
        <v>0</v>
      </c>
      <c r="O401" s="22" t="s">
        <v>451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</row>
    <row r="402" spans="1:66" s="16" customFormat="1" ht="16" customHeight="1" x14ac:dyDescent="0.2">
      <c r="A402" s="16">
        <v>1625</v>
      </c>
      <c r="B402" s="16" t="s">
        <v>599</v>
      </c>
      <c r="C402" s="16" t="s">
        <v>929</v>
      </c>
      <c r="D402" s="16" t="s">
        <v>934</v>
      </c>
      <c r="E402" s="16" t="s">
        <v>597</v>
      </c>
      <c r="F402" s="16" t="s">
        <v>654</v>
      </c>
      <c r="G402" s="16" t="s">
        <v>935</v>
      </c>
      <c r="H402" s="17">
        <v>44337</v>
      </c>
      <c r="I402" s="16">
        <v>5</v>
      </c>
      <c r="J402" s="16">
        <v>100</v>
      </c>
      <c r="K402" s="16">
        <v>0</v>
      </c>
      <c r="L402" s="16" t="s">
        <v>490</v>
      </c>
      <c r="M402" s="16" t="s">
        <v>8</v>
      </c>
      <c r="N402" s="16">
        <f t="shared" si="6"/>
        <v>0</v>
      </c>
      <c r="O402" s="22" t="s">
        <v>451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</row>
    <row r="403" spans="1:66" s="16" customFormat="1" ht="16" customHeight="1" x14ac:dyDescent="0.2">
      <c r="A403" s="16">
        <v>1631</v>
      </c>
      <c r="B403" s="16" t="s">
        <v>599</v>
      </c>
      <c r="C403" s="16" t="s">
        <v>929</v>
      </c>
      <c r="D403" s="16" t="s">
        <v>934</v>
      </c>
      <c r="E403" s="16" t="s">
        <v>597</v>
      </c>
      <c r="F403" s="16" t="s">
        <v>654</v>
      </c>
      <c r="G403" s="16" t="s">
        <v>936</v>
      </c>
      <c r="H403" s="17">
        <v>44337</v>
      </c>
      <c r="I403" s="16">
        <v>5</v>
      </c>
      <c r="J403" s="16">
        <v>100</v>
      </c>
      <c r="K403" s="16">
        <v>0</v>
      </c>
      <c r="L403" s="16" t="s">
        <v>490</v>
      </c>
      <c r="M403" s="16" t="s">
        <v>8</v>
      </c>
      <c r="N403" s="16">
        <f t="shared" si="6"/>
        <v>0</v>
      </c>
      <c r="O403" s="22" t="s">
        <v>451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</row>
    <row r="404" spans="1:66" s="16" customFormat="1" ht="16" customHeight="1" x14ac:dyDescent="0.2">
      <c r="A404" s="16">
        <v>1636</v>
      </c>
      <c r="B404" s="16" t="s">
        <v>599</v>
      </c>
      <c r="C404" s="16" t="s">
        <v>929</v>
      </c>
      <c r="D404" s="16" t="s">
        <v>934</v>
      </c>
      <c r="E404" s="16" t="s">
        <v>597</v>
      </c>
      <c r="F404" s="16" t="s">
        <v>654</v>
      </c>
      <c r="G404" s="16" t="s">
        <v>936</v>
      </c>
      <c r="H404" s="17">
        <v>44337</v>
      </c>
      <c r="I404" s="16">
        <v>5</v>
      </c>
      <c r="J404" s="16">
        <v>100</v>
      </c>
      <c r="K404" s="16">
        <v>0</v>
      </c>
      <c r="L404" s="16" t="s">
        <v>490</v>
      </c>
      <c r="M404" s="16" t="s">
        <v>8</v>
      </c>
      <c r="N404" s="16">
        <f t="shared" si="6"/>
        <v>0</v>
      </c>
      <c r="O404" s="22" t="s">
        <v>451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</row>
    <row r="405" spans="1:66" s="16" customFormat="1" ht="16" customHeight="1" x14ac:dyDescent="0.2">
      <c r="A405" s="16">
        <v>1641</v>
      </c>
      <c r="B405" s="16" t="s">
        <v>599</v>
      </c>
      <c r="C405" s="16" t="s">
        <v>929</v>
      </c>
      <c r="D405" s="16" t="s">
        <v>934</v>
      </c>
      <c r="E405" s="16" t="s">
        <v>597</v>
      </c>
      <c r="F405" s="16" t="s">
        <v>654</v>
      </c>
      <c r="G405" s="16" t="s">
        <v>936</v>
      </c>
      <c r="H405" s="17">
        <v>44337</v>
      </c>
      <c r="I405" s="16">
        <v>5</v>
      </c>
      <c r="J405" s="16">
        <v>100</v>
      </c>
      <c r="K405" s="16">
        <v>0</v>
      </c>
      <c r="L405" s="16" t="s">
        <v>490</v>
      </c>
      <c r="M405" s="16" t="s">
        <v>8</v>
      </c>
      <c r="N405" s="16">
        <f t="shared" si="6"/>
        <v>0</v>
      </c>
      <c r="O405" s="22" t="s">
        <v>451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</row>
    <row r="406" spans="1:66" s="16" customFormat="1" ht="16" customHeight="1" x14ac:dyDescent="0.2">
      <c r="A406" s="16">
        <v>1612</v>
      </c>
      <c r="B406" s="16" t="s">
        <v>599</v>
      </c>
      <c r="C406" s="16" t="s">
        <v>929</v>
      </c>
      <c r="D406" s="16" t="s">
        <v>934</v>
      </c>
      <c r="E406" s="16" t="s">
        <v>597</v>
      </c>
      <c r="F406" s="16" t="s">
        <v>654</v>
      </c>
      <c r="G406" s="16" t="s">
        <v>937</v>
      </c>
      <c r="H406" s="17">
        <v>44337</v>
      </c>
      <c r="I406" s="16">
        <v>5</v>
      </c>
      <c r="J406" s="16">
        <v>100</v>
      </c>
      <c r="K406" s="16">
        <v>0</v>
      </c>
      <c r="L406" s="16" t="s">
        <v>490</v>
      </c>
      <c r="M406" s="16" t="s">
        <v>8</v>
      </c>
      <c r="N406" s="16">
        <f t="shared" si="6"/>
        <v>0</v>
      </c>
      <c r="O406" s="22" t="s">
        <v>451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</row>
    <row r="407" spans="1:66" s="18" customFormat="1" ht="16" customHeight="1" x14ac:dyDescent="0.2">
      <c r="A407" s="16">
        <v>1619</v>
      </c>
      <c r="B407" s="16" t="s">
        <v>599</v>
      </c>
      <c r="C407" s="16" t="s">
        <v>929</v>
      </c>
      <c r="D407" s="16" t="s">
        <v>934</v>
      </c>
      <c r="E407" s="16" t="s">
        <v>597</v>
      </c>
      <c r="F407" s="16" t="s">
        <v>654</v>
      </c>
      <c r="G407" s="16" t="s">
        <v>937</v>
      </c>
      <c r="H407" s="17">
        <v>44337</v>
      </c>
      <c r="I407" s="16">
        <v>5</v>
      </c>
      <c r="J407" s="16">
        <v>100</v>
      </c>
      <c r="K407" s="16">
        <v>0</v>
      </c>
      <c r="L407" s="16" t="s">
        <v>490</v>
      </c>
      <c r="M407" s="16" t="s">
        <v>8</v>
      </c>
      <c r="N407" s="16">
        <f t="shared" si="6"/>
        <v>0</v>
      </c>
      <c r="O407" s="22" t="s">
        <v>451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</row>
    <row r="408" spans="1:66" s="18" customFormat="1" ht="16" customHeight="1" x14ac:dyDescent="0.2">
      <c r="A408" s="16">
        <v>1626</v>
      </c>
      <c r="B408" s="16" t="s">
        <v>599</v>
      </c>
      <c r="C408" s="16" t="s">
        <v>929</v>
      </c>
      <c r="D408" s="16" t="s">
        <v>934</v>
      </c>
      <c r="E408" s="16" t="s">
        <v>597</v>
      </c>
      <c r="F408" s="16" t="s">
        <v>654</v>
      </c>
      <c r="G408" s="16" t="s">
        <v>937</v>
      </c>
      <c r="H408" s="17">
        <v>44337</v>
      </c>
      <c r="I408" s="16">
        <v>5</v>
      </c>
      <c r="J408" s="16">
        <v>100</v>
      </c>
      <c r="K408" s="16">
        <v>0</v>
      </c>
      <c r="L408" s="16" t="s">
        <v>490</v>
      </c>
      <c r="M408" s="16" t="s">
        <v>8</v>
      </c>
      <c r="N408" s="16">
        <f t="shared" si="6"/>
        <v>0</v>
      </c>
      <c r="O408" s="22" t="s">
        <v>451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</row>
    <row r="409" spans="1:66" s="18" customFormat="1" ht="16" customHeight="1" x14ac:dyDescent="0.2">
      <c r="A409" s="18">
        <v>1632</v>
      </c>
      <c r="B409" s="18" t="s">
        <v>601</v>
      </c>
      <c r="C409" s="18" t="s">
        <v>929</v>
      </c>
      <c r="D409" s="18" t="s">
        <v>938</v>
      </c>
      <c r="E409" s="18" t="s">
        <v>597</v>
      </c>
      <c r="F409" s="18" t="s">
        <v>654</v>
      </c>
      <c r="G409" s="18" t="s">
        <v>939</v>
      </c>
      <c r="H409" s="19">
        <v>44337</v>
      </c>
      <c r="I409" s="18">
        <v>5</v>
      </c>
      <c r="J409" s="18">
        <v>100</v>
      </c>
      <c r="K409" s="18">
        <v>0</v>
      </c>
      <c r="L409" s="18" t="s">
        <v>490</v>
      </c>
      <c r="M409" s="18" t="s">
        <v>8</v>
      </c>
      <c r="N409" s="18">
        <f t="shared" si="6"/>
        <v>0</v>
      </c>
      <c r="O409" s="20" t="s">
        <v>451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</row>
    <row r="410" spans="1:66" s="18" customFormat="1" ht="16" customHeight="1" x14ac:dyDescent="0.2">
      <c r="A410" s="18">
        <v>1637</v>
      </c>
      <c r="B410" s="18" t="s">
        <v>601</v>
      </c>
      <c r="C410" s="18" t="s">
        <v>929</v>
      </c>
      <c r="D410" s="18" t="s">
        <v>938</v>
      </c>
      <c r="E410" s="18" t="s">
        <v>597</v>
      </c>
      <c r="F410" s="18" t="s">
        <v>654</v>
      </c>
      <c r="G410" s="18" t="s">
        <v>939</v>
      </c>
      <c r="H410" s="19">
        <v>44337</v>
      </c>
      <c r="I410" s="18">
        <v>5</v>
      </c>
      <c r="J410" s="18">
        <v>100</v>
      </c>
      <c r="K410" s="18">
        <v>0</v>
      </c>
      <c r="L410" s="18" t="s">
        <v>490</v>
      </c>
      <c r="M410" s="18" t="s">
        <v>8</v>
      </c>
      <c r="N410" s="18">
        <f t="shared" si="6"/>
        <v>0</v>
      </c>
      <c r="O410" s="20" t="s">
        <v>451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</row>
    <row r="411" spans="1:66" s="18" customFormat="1" ht="16" customHeight="1" x14ac:dyDescent="0.2">
      <c r="A411" s="18">
        <v>1642</v>
      </c>
      <c r="B411" s="18" t="s">
        <v>601</v>
      </c>
      <c r="C411" s="18" t="s">
        <v>929</v>
      </c>
      <c r="D411" s="18" t="s">
        <v>938</v>
      </c>
      <c r="E411" s="18" t="s">
        <v>597</v>
      </c>
      <c r="F411" s="18" t="s">
        <v>654</v>
      </c>
      <c r="G411" s="18" t="s">
        <v>939</v>
      </c>
      <c r="H411" s="19">
        <v>44337</v>
      </c>
      <c r="I411" s="18">
        <v>5</v>
      </c>
      <c r="J411" s="18">
        <v>100</v>
      </c>
      <c r="K411" s="18">
        <v>0</v>
      </c>
      <c r="L411" s="18" t="s">
        <v>490</v>
      </c>
      <c r="M411" s="18" t="s">
        <v>8</v>
      </c>
      <c r="N411" s="18">
        <f t="shared" si="6"/>
        <v>0</v>
      </c>
      <c r="O411" s="20" t="s">
        <v>451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</row>
    <row r="412" spans="1:66" s="18" customFormat="1" ht="16" customHeight="1" x14ac:dyDescent="0.2">
      <c r="A412" s="18">
        <v>1613</v>
      </c>
      <c r="B412" s="18" t="s">
        <v>601</v>
      </c>
      <c r="C412" s="18" t="s">
        <v>929</v>
      </c>
      <c r="D412" s="18" t="s">
        <v>938</v>
      </c>
      <c r="E412" s="18" t="s">
        <v>597</v>
      </c>
      <c r="F412" s="18" t="s">
        <v>654</v>
      </c>
      <c r="G412" s="18" t="s">
        <v>940</v>
      </c>
      <c r="H412" s="19">
        <v>44337</v>
      </c>
      <c r="I412" s="18">
        <v>5</v>
      </c>
      <c r="J412" s="18">
        <v>100</v>
      </c>
      <c r="K412" s="18">
        <v>0</v>
      </c>
      <c r="L412" s="18" t="s">
        <v>490</v>
      </c>
      <c r="M412" s="18" t="s">
        <v>8</v>
      </c>
      <c r="N412" s="18">
        <f t="shared" si="6"/>
        <v>0</v>
      </c>
      <c r="O412" s="20" t="s">
        <v>451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</row>
    <row r="413" spans="1:66" s="18" customFormat="1" ht="16" customHeight="1" x14ac:dyDescent="0.2">
      <c r="A413" s="18">
        <v>1620</v>
      </c>
      <c r="B413" s="18" t="s">
        <v>601</v>
      </c>
      <c r="C413" s="18" t="s">
        <v>929</v>
      </c>
      <c r="D413" s="18" t="s">
        <v>938</v>
      </c>
      <c r="E413" s="18" t="s">
        <v>597</v>
      </c>
      <c r="F413" s="18" t="s">
        <v>654</v>
      </c>
      <c r="G413" s="18" t="s">
        <v>940</v>
      </c>
      <c r="H413" s="19">
        <v>44337</v>
      </c>
      <c r="I413" s="18">
        <v>5</v>
      </c>
      <c r="J413" s="18">
        <v>100</v>
      </c>
      <c r="K413" s="18">
        <v>0</v>
      </c>
      <c r="L413" s="18" t="s">
        <v>490</v>
      </c>
      <c r="M413" s="18" t="s">
        <v>8</v>
      </c>
      <c r="N413" s="18">
        <f t="shared" si="6"/>
        <v>0</v>
      </c>
      <c r="O413" s="20" t="s">
        <v>451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</row>
    <row r="414" spans="1:66" s="18" customFormat="1" ht="16" customHeight="1" x14ac:dyDescent="0.2">
      <c r="A414" s="18">
        <v>1627</v>
      </c>
      <c r="B414" s="18" t="s">
        <v>601</v>
      </c>
      <c r="C414" s="18" t="s">
        <v>929</v>
      </c>
      <c r="D414" s="18" t="s">
        <v>938</v>
      </c>
      <c r="E414" s="18" t="s">
        <v>597</v>
      </c>
      <c r="F414" s="18" t="s">
        <v>654</v>
      </c>
      <c r="G414" s="18" t="s">
        <v>940</v>
      </c>
      <c r="H414" s="19">
        <v>44337</v>
      </c>
      <c r="I414" s="18">
        <v>5</v>
      </c>
      <c r="J414" s="18">
        <v>100</v>
      </c>
      <c r="K414" s="18">
        <v>0</v>
      </c>
      <c r="L414" s="18" t="s">
        <v>490</v>
      </c>
      <c r="M414" s="18" t="s">
        <v>8</v>
      </c>
      <c r="N414" s="18">
        <f t="shared" si="6"/>
        <v>0</v>
      </c>
      <c r="O414" s="20" t="s">
        <v>451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</row>
    <row r="415" spans="1:66" s="18" customFormat="1" ht="16" customHeight="1" x14ac:dyDescent="0.2">
      <c r="A415" s="18">
        <v>1633</v>
      </c>
      <c r="B415" s="18" t="s">
        <v>601</v>
      </c>
      <c r="C415" s="18" t="s">
        <v>929</v>
      </c>
      <c r="D415" s="18" t="s">
        <v>938</v>
      </c>
      <c r="E415" s="18" t="s">
        <v>597</v>
      </c>
      <c r="F415" s="18" t="s">
        <v>654</v>
      </c>
      <c r="G415" s="18" t="s">
        <v>941</v>
      </c>
      <c r="H415" s="19">
        <v>44337</v>
      </c>
      <c r="I415" s="18">
        <v>5</v>
      </c>
      <c r="J415" s="18">
        <v>100</v>
      </c>
      <c r="K415" s="18">
        <v>0</v>
      </c>
      <c r="L415" s="18" t="s">
        <v>490</v>
      </c>
      <c r="M415" s="18" t="s">
        <v>8</v>
      </c>
      <c r="N415" s="18">
        <f t="shared" si="6"/>
        <v>0</v>
      </c>
      <c r="O415" s="20" t="s">
        <v>451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</row>
    <row r="416" spans="1:66" s="16" customFormat="1" ht="16" customHeight="1" x14ac:dyDescent="0.2">
      <c r="A416" s="18">
        <v>1638</v>
      </c>
      <c r="B416" s="18" t="s">
        <v>601</v>
      </c>
      <c r="C416" s="18" t="s">
        <v>929</v>
      </c>
      <c r="D416" s="18" t="s">
        <v>938</v>
      </c>
      <c r="E416" s="18" t="s">
        <v>597</v>
      </c>
      <c r="F416" s="18" t="s">
        <v>654</v>
      </c>
      <c r="G416" s="18" t="s">
        <v>941</v>
      </c>
      <c r="H416" s="19">
        <v>44337</v>
      </c>
      <c r="I416" s="18">
        <v>5</v>
      </c>
      <c r="J416" s="18">
        <v>100</v>
      </c>
      <c r="K416" s="18">
        <v>0</v>
      </c>
      <c r="L416" s="18" t="s">
        <v>490</v>
      </c>
      <c r="M416" s="18" t="s">
        <v>8</v>
      </c>
      <c r="N416" s="18">
        <f t="shared" si="6"/>
        <v>0</v>
      </c>
      <c r="O416" s="20" t="s">
        <v>451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</row>
    <row r="417" spans="1:66" s="16" customFormat="1" ht="16" customHeight="1" x14ac:dyDescent="0.2">
      <c r="A417" s="18">
        <v>1643</v>
      </c>
      <c r="B417" s="18" t="s">
        <v>601</v>
      </c>
      <c r="C417" s="18" t="s">
        <v>929</v>
      </c>
      <c r="D417" s="18" t="s">
        <v>938</v>
      </c>
      <c r="E417" s="18" t="s">
        <v>597</v>
      </c>
      <c r="F417" s="18" t="s">
        <v>654</v>
      </c>
      <c r="G417" s="18" t="s">
        <v>941</v>
      </c>
      <c r="H417" s="19">
        <v>44337</v>
      </c>
      <c r="I417" s="18">
        <v>5</v>
      </c>
      <c r="J417" s="18">
        <v>100</v>
      </c>
      <c r="K417" s="18">
        <v>0</v>
      </c>
      <c r="L417" s="18" t="s">
        <v>490</v>
      </c>
      <c r="M417" s="18" t="s">
        <v>8</v>
      </c>
      <c r="N417" s="18">
        <f t="shared" si="6"/>
        <v>0</v>
      </c>
      <c r="O417" s="20" t="s">
        <v>451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</row>
    <row r="418" spans="1:66" s="16" customFormat="1" ht="16" customHeight="1" x14ac:dyDescent="0.2">
      <c r="A418" s="16">
        <v>1614</v>
      </c>
      <c r="B418" s="16" t="s">
        <v>603</v>
      </c>
      <c r="C418" s="16" t="s">
        <v>942</v>
      </c>
      <c r="D418" s="16" t="s">
        <v>943</v>
      </c>
      <c r="E418" s="16" t="s">
        <v>605</v>
      </c>
      <c r="F418" s="16" t="s">
        <v>654</v>
      </c>
      <c r="G418" s="16" t="s">
        <v>944</v>
      </c>
      <c r="H418" s="17">
        <v>44337</v>
      </c>
      <c r="I418" s="16">
        <v>5</v>
      </c>
      <c r="J418" s="16">
        <v>100</v>
      </c>
      <c r="K418" s="16">
        <v>0</v>
      </c>
      <c r="L418" s="16" t="s">
        <v>490</v>
      </c>
      <c r="M418" s="16" t="s">
        <v>8</v>
      </c>
      <c r="N418" s="16">
        <f t="shared" si="6"/>
        <v>0</v>
      </c>
      <c r="O418" s="22" t="s">
        <v>451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</row>
    <row r="419" spans="1:66" s="16" customFormat="1" ht="16" customHeight="1" x14ac:dyDescent="0.2">
      <c r="A419" s="16">
        <v>1621</v>
      </c>
      <c r="B419" s="16" t="s">
        <v>603</v>
      </c>
      <c r="C419" s="16" t="s">
        <v>942</v>
      </c>
      <c r="D419" s="16" t="s">
        <v>943</v>
      </c>
      <c r="E419" s="16" t="s">
        <v>605</v>
      </c>
      <c r="F419" s="16" t="s">
        <v>654</v>
      </c>
      <c r="G419" s="16" t="s">
        <v>944</v>
      </c>
      <c r="H419" s="17">
        <v>44337</v>
      </c>
      <c r="I419" s="16">
        <v>5</v>
      </c>
      <c r="J419" s="16">
        <v>100</v>
      </c>
      <c r="K419" s="16">
        <v>0</v>
      </c>
      <c r="L419" s="16" t="s">
        <v>490</v>
      </c>
      <c r="M419" s="16" t="s">
        <v>8</v>
      </c>
      <c r="N419" s="16">
        <f t="shared" si="6"/>
        <v>0</v>
      </c>
      <c r="O419" s="22" t="s">
        <v>451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</row>
    <row r="420" spans="1:66" s="16" customFormat="1" ht="16" customHeight="1" x14ac:dyDescent="0.2">
      <c r="A420" s="16">
        <v>1628</v>
      </c>
      <c r="B420" s="16" t="s">
        <v>603</v>
      </c>
      <c r="C420" s="16" t="s">
        <v>942</v>
      </c>
      <c r="D420" s="16" t="s">
        <v>943</v>
      </c>
      <c r="E420" s="16" t="s">
        <v>605</v>
      </c>
      <c r="F420" s="16" t="s">
        <v>654</v>
      </c>
      <c r="G420" s="16" t="s">
        <v>944</v>
      </c>
      <c r="H420" s="17">
        <v>44337</v>
      </c>
      <c r="I420" s="16">
        <v>5</v>
      </c>
      <c r="J420" s="16">
        <v>100</v>
      </c>
      <c r="K420" s="16">
        <v>0.15927627053549201</v>
      </c>
      <c r="L420" s="16" t="s">
        <v>490</v>
      </c>
      <c r="M420" s="16" t="s">
        <v>8</v>
      </c>
      <c r="N420" s="16">
        <f t="shared" si="6"/>
        <v>7.9638135267746</v>
      </c>
      <c r="O420" s="22" t="s">
        <v>451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</row>
    <row r="421" spans="1:66" s="16" customFormat="1" ht="16" customHeight="1" x14ac:dyDescent="0.2">
      <c r="A421" s="16">
        <v>1634</v>
      </c>
      <c r="B421" s="16" t="s">
        <v>603</v>
      </c>
      <c r="C421" s="16" t="s">
        <v>942</v>
      </c>
      <c r="D421" s="16" t="s">
        <v>943</v>
      </c>
      <c r="E421" s="16" t="s">
        <v>605</v>
      </c>
      <c r="F421" s="16" t="s">
        <v>654</v>
      </c>
      <c r="G421" s="16" t="s">
        <v>945</v>
      </c>
      <c r="H421" s="17">
        <v>44337</v>
      </c>
      <c r="I421" s="16">
        <v>5</v>
      </c>
      <c r="J421" s="16">
        <v>100</v>
      </c>
      <c r="K421" s="16">
        <v>0</v>
      </c>
      <c r="L421" s="16" t="s">
        <v>490</v>
      </c>
      <c r="M421" s="16" t="s">
        <v>8</v>
      </c>
      <c r="N421" s="16">
        <f t="shared" si="6"/>
        <v>0</v>
      </c>
      <c r="O421" s="22" t="s">
        <v>451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</row>
    <row r="422" spans="1:66" s="16" customFormat="1" ht="16" customHeight="1" x14ac:dyDescent="0.2">
      <c r="A422" s="16">
        <v>1639</v>
      </c>
      <c r="B422" s="16" t="s">
        <v>603</v>
      </c>
      <c r="C422" s="16" t="s">
        <v>942</v>
      </c>
      <c r="D422" s="16" t="s">
        <v>943</v>
      </c>
      <c r="E422" s="16" t="s">
        <v>605</v>
      </c>
      <c r="F422" s="16" t="s">
        <v>654</v>
      </c>
      <c r="G422" s="16" t="s">
        <v>945</v>
      </c>
      <c r="H422" s="17">
        <v>44337</v>
      </c>
      <c r="I422" s="16">
        <v>5</v>
      </c>
      <c r="J422" s="16">
        <v>100</v>
      </c>
      <c r="K422" s="16">
        <v>0</v>
      </c>
      <c r="L422" s="16" t="s">
        <v>490</v>
      </c>
      <c r="M422" s="16" t="s">
        <v>8</v>
      </c>
      <c r="N422" s="16">
        <f t="shared" si="6"/>
        <v>0</v>
      </c>
      <c r="O422" s="22" t="s">
        <v>451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</row>
    <row r="423" spans="1:66" s="16" customFormat="1" ht="16" customHeight="1" x14ac:dyDescent="0.2">
      <c r="A423" s="16">
        <v>1644</v>
      </c>
      <c r="B423" s="16" t="s">
        <v>603</v>
      </c>
      <c r="C423" s="16" t="s">
        <v>942</v>
      </c>
      <c r="D423" s="16" t="s">
        <v>943</v>
      </c>
      <c r="E423" s="16" t="s">
        <v>605</v>
      </c>
      <c r="F423" s="16" t="s">
        <v>654</v>
      </c>
      <c r="G423" s="16" t="s">
        <v>945</v>
      </c>
      <c r="H423" s="17">
        <v>44337</v>
      </c>
      <c r="I423" s="16">
        <v>5</v>
      </c>
      <c r="J423" s="16">
        <v>100</v>
      </c>
      <c r="K423" s="16">
        <v>0.380965381005824</v>
      </c>
      <c r="L423" s="16" t="s">
        <v>490</v>
      </c>
      <c r="M423" s="16" t="s">
        <v>8</v>
      </c>
      <c r="N423" s="16">
        <f t="shared" si="6"/>
        <v>19.0482690502912</v>
      </c>
      <c r="O423" s="22" t="s">
        <v>451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</row>
    <row r="424" spans="1:66" s="16" customFormat="1" ht="16" customHeight="1" x14ac:dyDescent="0.2">
      <c r="A424" s="16">
        <v>1615</v>
      </c>
      <c r="B424" s="16" t="s">
        <v>603</v>
      </c>
      <c r="C424" s="16" t="s">
        <v>942</v>
      </c>
      <c r="D424" s="16" t="s">
        <v>943</v>
      </c>
      <c r="E424" s="16" t="s">
        <v>605</v>
      </c>
      <c r="F424" s="16" t="s">
        <v>654</v>
      </c>
      <c r="G424" s="16" t="s">
        <v>946</v>
      </c>
      <c r="H424" s="17">
        <v>44337</v>
      </c>
      <c r="I424" s="16">
        <v>5</v>
      </c>
      <c r="J424" s="16">
        <v>100</v>
      </c>
      <c r="K424" s="16">
        <v>0</v>
      </c>
      <c r="L424" s="16" t="s">
        <v>490</v>
      </c>
      <c r="M424" s="16" t="s">
        <v>8</v>
      </c>
      <c r="N424" s="16">
        <f t="shared" si="6"/>
        <v>0</v>
      </c>
      <c r="O424" s="22" t="s">
        <v>451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</row>
    <row r="425" spans="1:66" s="18" customFormat="1" ht="16" customHeight="1" x14ac:dyDescent="0.2">
      <c r="A425" s="16">
        <v>1622</v>
      </c>
      <c r="B425" s="16" t="s">
        <v>603</v>
      </c>
      <c r="C425" s="16" t="s">
        <v>942</v>
      </c>
      <c r="D425" s="16" t="s">
        <v>943</v>
      </c>
      <c r="E425" s="16" t="s">
        <v>605</v>
      </c>
      <c r="F425" s="16" t="s">
        <v>654</v>
      </c>
      <c r="G425" s="16" t="s">
        <v>946</v>
      </c>
      <c r="H425" s="17">
        <v>44337</v>
      </c>
      <c r="I425" s="16">
        <v>5</v>
      </c>
      <c r="J425" s="16">
        <v>100</v>
      </c>
      <c r="K425" s="16">
        <v>0.34920350232914898</v>
      </c>
      <c r="L425" s="16" t="s">
        <v>490</v>
      </c>
      <c r="M425" s="16" t="s">
        <v>8</v>
      </c>
      <c r="N425" s="16">
        <f t="shared" si="6"/>
        <v>17.460175116457449</v>
      </c>
      <c r="O425" s="22" t="s">
        <v>451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</row>
    <row r="426" spans="1:66" s="18" customFormat="1" ht="16" customHeight="1" x14ac:dyDescent="0.2">
      <c r="A426" s="16">
        <v>1629</v>
      </c>
      <c r="B426" s="16" t="s">
        <v>603</v>
      </c>
      <c r="C426" s="16" t="s">
        <v>942</v>
      </c>
      <c r="D426" s="16" t="s">
        <v>943</v>
      </c>
      <c r="E426" s="16" t="s">
        <v>605</v>
      </c>
      <c r="F426" s="16" t="s">
        <v>654</v>
      </c>
      <c r="G426" s="16" t="s">
        <v>946</v>
      </c>
      <c r="H426" s="17">
        <v>44337</v>
      </c>
      <c r="I426" s="16">
        <v>5</v>
      </c>
      <c r="J426" s="16">
        <v>100</v>
      </c>
      <c r="K426" s="16">
        <v>0</v>
      </c>
      <c r="L426" s="16" t="s">
        <v>490</v>
      </c>
      <c r="M426" s="16" t="s">
        <v>8</v>
      </c>
      <c r="N426" s="16">
        <f t="shared" si="6"/>
        <v>0</v>
      </c>
      <c r="O426" s="22" t="s">
        <v>451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</row>
    <row r="427" spans="1:66" s="18" customFormat="1" ht="16" customHeight="1" x14ac:dyDescent="0.2">
      <c r="A427" s="18">
        <v>1645</v>
      </c>
      <c r="B427" s="18" t="s">
        <v>607</v>
      </c>
      <c r="C427" s="18" t="s">
        <v>942</v>
      </c>
      <c r="D427" s="18" t="s">
        <v>947</v>
      </c>
      <c r="E427" s="18" t="s">
        <v>605</v>
      </c>
      <c r="F427" s="18" t="s">
        <v>654</v>
      </c>
      <c r="G427" s="18" t="s">
        <v>948</v>
      </c>
      <c r="H427" s="19">
        <v>44341</v>
      </c>
      <c r="I427" s="18">
        <v>5</v>
      </c>
      <c r="J427" s="18">
        <v>100</v>
      </c>
      <c r="K427" s="18">
        <v>3.82986048692096</v>
      </c>
      <c r="L427" s="18" t="s">
        <v>490</v>
      </c>
      <c r="M427" s="18" t="s">
        <v>8</v>
      </c>
      <c r="N427" s="18">
        <f t="shared" si="6"/>
        <v>191.493024346048</v>
      </c>
      <c r="O427" s="20" t="s">
        <v>451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</row>
    <row r="428" spans="1:66" s="18" customFormat="1" ht="16" customHeight="1" x14ac:dyDescent="0.2">
      <c r="A428" s="18">
        <v>1652</v>
      </c>
      <c r="B428" s="18" t="s">
        <v>607</v>
      </c>
      <c r="C428" s="18" t="s">
        <v>942</v>
      </c>
      <c r="D428" s="18" t="s">
        <v>947</v>
      </c>
      <c r="E428" s="18" t="s">
        <v>605</v>
      </c>
      <c r="F428" s="18" t="s">
        <v>654</v>
      </c>
      <c r="G428" s="18" t="s">
        <v>948</v>
      </c>
      <c r="H428" s="19">
        <v>44341</v>
      </c>
      <c r="I428" s="18">
        <v>5</v>
      </c>
      <c r="J428" s="18">
        <v>100</v>
      </c>
      <c r="K428" s="18">
        <v>5.4451288571208396</v>
      </c>
      <c r="L428" s="18" t="s">
        <v>490</v>
      </c>
      <c r="M428" s="18" t="s">
        <v>8</v>
      </c>
      <c r="N428" s="18">
        <f t="shared" si="6"/>
        <v>272.25644285604199</v>
      </c>
      <c r="O428" s="20" t="s">
        <v>451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</row>
    <row r="429" spans="1:66" s="18" customFormat="1" ht="16" customHeight="1" x14ac:dyDescent="0.2">
      <c r="A429" s="18">
        <v>1659</v>
      </c>
      <c r="B429" s="18" t="s">
        <v>607</v>
      </c>
      <c r="C429" s="18" t="s">
        <v>942</v>
      </c>
      <c r="D429" s="18" t="s">
        <v>947</v>
      </c>
      <c r="E429" s="18" t="s">
        <v>605</v>
      </c>
      <c r="F429" s="18" t="s">
        <v>654</v>
      </c>
      <c r="G429" s="18" t="s">
        <v>948</v>
      </c>
      <c r="H429" s="19">
        <v>44341</v>
      </c>
      <c r="I429" s="18">
        <v>5</v>
      </c>
      <c r="J429" s="18">
        <v>100</v>
      </c>
      <c r="K429" s="18">
        <v>7.6459505612509799</v>
      </c>
      <c r="L429" s="18" t="s">
        <v>490</v>
      </c>
      <c r="M429" s="18" t="s">
        <v>8</v>
      </c>
      <c r="N429" s="18">
        <f t="shared" si="6"/>
        <v>382.29752806254902</v>
      </c>
      <c r="O429" s="20" t="s">
        <v>451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</row>
    <row r="430" spans="1:66" s="18" customFormat="1" ht="16" customHeight="1" x14ac:dyDescent="0.2">
      <c r="A430" s="18">
        <v>1666</v>
      </c>
      <c r="B430" s="18" t="s">
        <v>607</v>
      </c>
      <c r="C430" s="18" t="s">
        <v>942</v>
      </c>
      <c r="D430" s="18" t="s">
        <v>947</v>
      </c>
      <c r="E430" s="18" t="s">
        <v>605</v>
      </c>
      <c r="F430" s="18" t="s">
        <v>654</v>
      </c>
      <c r="G430" s="18" t="s">
        <v>949</v>
      </c>
      <c r="H430" s="19">
        <v>44341</v>
      </c>
      <c r="I430" s="18">
        <v>5</v>
      </c>
      <c r="J430" s="18">
        <v>100</v>
      </c>
      <c r="K430" s="18">
        <v>0</v>
      </c>
      <c r="L430" s="18" t="s">
        <v>490</v>
      </c>
      <c r="M430" s="18" t="s">
        <v>8</v>
      </c>
      <c r="N430" s="18">
        <f t="shared" si="6"/>
        <v>0</v>
      </c>
      <c r="O430" s="20" t="s">
        <v>451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</row>
    <row r="431" spans="1:66" s="18" customFormat="1" ht="16" customHeight="1" x14ac:dyDescent="0.2">
      <c r="A431" s="18">
        <v>1673</v>
      </c>
      <c r="B431" s="18" t="s">
        <v>607</v>
      </c>
      <c r="C431" s="18" t="s">
        <v>942</v>
      </c>
      <c r="D431" s="18" t="s">
        <v>947</v>
      </c>
      <c r="E431" s="18" t="s">
        <v>605</v>
      </c>
      <c r="F431" s="18" t="s">
        <v>654</v>
      </c>
      <c r="G431" s="18" t="s">
        <v>949</v>
      </c>
      <c r="H431" s="19">
        <v>44341</v>
      </c>
      <c r="I431" s="18">
        <v>5</v>
      </c>
      <c r="J431" s="18">
        <v>100</v>
      </c>
      <c r="K431" s="18">
        <v>2.4886205023183998</v>
      </c>
      <c r="L431" s="18" t="s">
        <v>490</v>
      </c>
      <c r="M431" s="18" t="s">
        <v>8</v>
      </c>
      <c r="N431" s="18">
        <f t="shared" si="6"/>
        <v>124.43102511591999</v>
      </c>
      <c r="O431" s="20" t="s">
        <v>451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</row>
    <row r="432" spans="1:66" s="18" customFormat="1" ht="16" customHeight="1" x14ac:dyDescent="0.2">
      <c r="A432" s="18">
        <v>1680</v>
      </c>
      <c r="B432" s="18" t="s">
        <v>607</v>
      </c>
      <c r="C432" s="18" t="s">
        <v>942</v>
      </c>
      <c r="D432" s="18" t="s">
        <v>947</v>
      </c>
      <c r="E432" s="18" t="s">
        <v>605</v>
      </c>
      <c r="F432" s="18" t="s">
        <v>654</v>
      </c>
      <c r="G432" s="18" t="s">
        <v>949</v>
      </c>
      <c r="H432" s="19">
        <v>44341</v>
      </c>
      <c r="I432" s="18">
        <v>5</v>
      </c>
      <c r="J432" s="18">
        <v>100</v>
      </c>
      <c r="K432" s="18">
        <v>3.9789518728987998</v>
      </c>
      <c r="L432" s="18" t="s">
        <v>490</v>
      </c>
      <c r="M432" s="18" t="s">
        <v>8</v>
      </c>
      <c r="N432" s="18">
        <f t="shared" si="6"/>
        <v>198.94759364494001</v>
      </c>
      <c r="O432" s="20" t="s">
        <v>451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</row>
    <row r="433" spans="1:66" s="18" customFormat="1" ht="16" customHeight="1" x14ac:dyDescent="0.2">
      <c r="A433" s="18">
        <v>1646</v>
      </c>
      <c r="B433" s="18" t="s">
        <v>607</v>
      </c>
      <c r="C433" s="18" t="s">
        <v>942</v>
      </c>
      <c r="D433" s="18" t="s">
        <v>947</v>
      </c>
      <c r="E433" s="18" t="s">
        <v>605</v>
      </c>
      <c r="F433" s="18" t="s">
        <v>654</v>
      </c>
      <c r="G433" s="18" t="s">
        <v>950</v>
      </c>
      <c r="H433" s="19">
        <v>44341</v>
      </c>
      <c r="I433" s="18">
        <v>5</v>
      </c>
      <c r="J433" s="18">
        <v>100</v>
      </c>
      <c r="K433" s="18">
        <v>2.0285760182800701</v>
      </c>
      <c r="L433" s="18" t="s">
        <v>490</v>
      </c>
      <c r="M433" s="18" t="s">
        <v>8</v>
      </c>
      <c r="N433" s="18">
        <f t="shared" si="6"/>
        <v>101.4288009140035</v>
      </c>
      <c r="O433" s="20" t="s">
        <v>451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</row>
    <row r="434" spans="1:66" s="16" customFormat="1" ht="16" customHeight="1" x14ac:dyDescent="0.2">
      <c r="A434" s="18">
        <v>1653</v>
      </c>
      <c r="B434" s="18" t="s">
        <v>607</v>
      </c>
      <c r="C434" s="18" t="s">
        <v>942</v>
      </c>
      <c r="D434" s="18" t="s">
        <v>947</v>
      </c>
      <c r="E434" s="18" t="s">
        <v>605</v>
      </c>
      <c r="F434" s="18" t="s">
        <v>654</v>
      </c>
      <c r="G434" s="18" t="s">
        <v>950</v>
      </c>
      <c r="H434" s="19">
        <v>44341</v>
      </c>
      <c r="I434" s="18">
        <v>5</v>
      </c>
      <c r="J434" s="18">
        <v>100</v>
      </c>
      <c r="K434" s="18">
        <v>3.6246558595804999</v>
      </c>
      <c r="L434" s="18" t="s">
        <v>490</v>
      </c>
      <c r="M434" s="18" t="s">
        <v>8</v>
      </c>
      <c r="N434" s="18">
        <f t="shared" si="6"/>
        <v>181.23279297902499</v>
      </c>
      <c r="O434" s="20" t="s">
        <v>451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</row>
    <row r="435" spans="1:66" s="16" customFormat="1" ht="16" customHeight="1" x14ac:dyDescent="0.2">
      <c r="A435" s="18">
        <v>1660</v>
      </c>
      <c r="B435" s="18" t="s">
        <v>607</v>
      </c>
      <c r="C435" s="18" t="s">
        <v>942</v>
      </c>
      <c r="D435" s="18" t="s">
        <v>947</v>
      </c>
      <c r="E435" s="18" t="s">
        <v>605</v>
      </c>
      <c r="F435" s="18" t="s">
        <v>654</v>
      </c>
      <c r="G435" s="18" t="s">
        <v>950</v>
      </c>
      <c r="H435" s="19">
        <v>44341</v>
      </c>
      <c r="I435" s="18">
        <v>5</v>
      </c>
      <c r="J435" s="18">
        <v>100</v>
      </c>
      <c r="K435" s="18">
        <v>6.2900068018994704</v>
      </c>
      <c r="L435" s="18" t="s">
        <v>490</v>
      </c>
      <c r="M435" s="18" t="s">
        <v>8</v>
      </c>
      <c r="N435" s="18">
        <f t="shared" si="6"/>
        <v>314.50034009497352</v>
      </c>
      <c r="O435" s="20" t="s">
        <v>451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</row>
    <row r="436" spans="1:66" s="16" customFormat="1" ht="16" customHeight="1" x14ac:dyDescent="0.2">
      <c r="A436" s="16">
        <v>1667</v>
      </c>
      <c r="B436" s="16" t="s">
        <v>609</v>
      </c>
      <c r="C436" s="16" t="s">
        <v>951</v>
      </c>
      <c r="D436" s="16" t="s">
        <v>952</v>
      </c>
      <c r="E436" s="16" t="s">
        <v>611</v>
      </c>
      <c r="F436" s="16" t="s">
        <v>654</v>
      </c>
      <c r="G436" s="16" t="s">
        <v>953</v>
      </c>
      <c r="H436" s="17">
        <v>44341</v>
      </c>
      <c r="I436" s="16">
        <v>5</v>
      </c>
      <c r="J436" s="16">
        <v>100</v>
      </c>
      <c r="K436" s="16">
        <v>0</v>
      </c>
      <c r="L436" s="16" t="s">
        <v>490</v>
      </c>
      <c r="M436" s="16" t="s">
        <v>8</v>
      </c>
      <c r="N436" s="16">
        <f t="shared" si="6"/>
        <v>0</v>
      </c>
      <c r="O436" s="22" t="s">
        <v>451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</row>
    <row r="437" spans="1:66" s="16" customFormat="1" ht="16" customHeight="1" x14ac:dyDescent="0.2">
      <c r="A437" s="16">
        <v>1674</v>
      </c>
      <c r="B437" s="16" t="s">
        <v>609</v>
      </c>
      <c r="C437" s="16" t="s">
        <v>951</v>
      </c>
      <c r="D437" s="16" t="s">
        <v>952</v>
      </c>
      <c r="E437" s="16" t="s">
        <v>611</v>
      </c>
      <c r="F437" s="16" t="s">
        <v>654</v>
      </c>
      <c r="G437" s="16" t="s">
        <v>953</v>
      </c>
      <c r="H437" s="17">
        <v>44341</v>
      </c>
      <c r="I437" s="16">
        <v>5</v>
      </c>
      <c r="J437" s="16">
        <v>100</v>
      </c>
      <c r="K437" s="16">
        <v>0</v>
      </c>
      <c r="L437" s="16" t="s">
        <v>490</v>
      </c>
      <c r="M437" s="16" t="s">
        <v>8</v>
      </c>
      <c r="N437" s="16">
        <f t="shared" si="6"/>
        <v>0</v>
      </c>
      <c r="O437" s="22" t="s">
        <v>451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</row>
    <row r="438" spans="1:66" s="16" customFormat="1" ht="16" customHeight="1" x14ac:dyDescent="0.2">
      <c r="A438" s="16">
        <v>1681</v>
      </c>
      <c r="B438" s="16" t="s">
        <v>609</v>
      </c>
      <c r="C438" s="16" t="s">
        <v>951</v>
      </c>
      <c r="D438" s="16" t="s">
        <v>952</v>
      </c>
      <c r="E438" s="16" t="s">
        <v>611</v>
      </c>
      <c r="F438" s="16" t="s">
        <v>654</v>
      </c>
      <c r="G438" s="16" t="s">
        <v>953</v>
      </c>
      <c r="H438" s="17">
        <v>44341</v>
      </c>
      <c r="I438" s="16">
        <v>5</v>
      </c>
      <c r="J438" s="16">
        <v>100</v>
      </c>
      <c r="K438" s="16">
        <v>0.36692806647763798</v>
      </c>
      <c r="L438" s="16" t="s">
        <v>490</v>
      </c>
      <c r="M438" s="16" t="s">
        <v>8</v>
      </c>
      <c r="N438" s="16">
        <f t="shared" si="6"/>
        <v>18.346403323881898</v>
      </c>
      <c r="O438" s="22" t="s">
        <v>451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</row>
    <row r="439" spans="1:66" s="16" customFormat="1" ht="16" customHeight="1" x14ac:dyDescent="0.2">
      <c r="A439" s="16">
        <v>1647</v>
      </c>
      <c r="B439" s="16" t="s">
        <v>609</v>
      </c>
      <c r="C439" s="16" t="s">
        <v>951</v>
      </c>
      <c r="D439" s="16" t="s">
        <v>952</v>
      </c>
      <c r="E439" s="16" t="s">
        <v>611</v>
      </c>
      <c r="F439" s="16" t="s">
        <v>654</v>
      </c>
      <c r="G439" s="16" t="s">
        <v>954</v>
      </c>
      <c r="H439" s="17">
        <v>44341</v>
      </c>
      <c r="I439" s="16">
        <v>5</v>
      </c>
      <c r="J439" s="16">
        <v>100</v>
      </c>
      <c r="K439" s="16">
        <v>0.106505617301035</v>
      </c>
      <c r="L439" s="16" t="s">
        <v>490</v>
      </c>
      <c r="M439" s="16" t="s">
        <v>8</v>
      </c>
      <c r="N439" s="16">
        <f t="shared" si="6"/>
        <v>5.3252808650517505</v>
      </c>
      <c r="O439" s="22" t="s">
        <v>451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</row>
    <row r="440" spans="1:66" s="16" customFormat="1" ht="16" customHeight="1" x14ac:dyDescent="0.2">
      <c r="A440" s="16">
        <v>1654</v>
      </c>
      <c r="B440" s="16" t="s">
        <v>609</v>
      </c>
      <c r="C440" s="16" t="s">
        <v>951</v>
      </c>
      <c r="D440" s="16" t="s">
        <v>952</v>
      </c>
      <c r="E440" s="16" t="s">
        <v>611</v>
      </c>
      <c r="F440" s="16" t="s">
        <v>654</v>
      </c>
      <c r="G440" s="16" t="s">
        <v>954</v>
      </c>
      <c r="H440" s="17">
        <v>44341</v>
      </c>
      <c r="I440" s="16">
        <v>5</v>
      </c>
      <c r="J440" s="16">
        <v>100</v>
      </c>
      <c r="K440" s="16">
        <v>0</v>
      </c>
      <c r="L440" s="16" t="s">
        <v>490</v>
      </c>
      <c r="M440" s="16" t="s">
        <v>8</v>
      </c>
      <c r="N440" s="16">
        <f t="shared" si="6"/>
        <v>0</v>
      </c>
      <c r="O440" s="22" t="s">
        <v>451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</row>
    <row r="441" spans="1:66" s="16" customFormat="1" ht="16" customHeight="1" x14ac:dyDescent="0.2">
      <c r="A441" s="16">
        <v>1661</v>
      </c>
      <c r="B441" s="16" t="s">
        <v>609</v>
      </c>
      <c r="C441" s="16" t="s">
        <v>951</v>
      </c>
      <c r="D441" s="16" t="s">
        <v>952</v>
      </c>
      <c r="E441" s="16" t="s">
        <v>611</v>
      </c>
      <c r="F441" s="16" t="s">
        <v>654</v>
      </c>
      <c r="G441" s="16" t="s">
        <v>954</v>
      </c>
      <c r="H441" s="17">
        <v>44341</v>
      </c>
      <c r="I441" s="16">
        <v>5</v>
      </c>
      <c r="J441" s="16">
        <v>100</v>
      </c>
      <c r="K441" s="16">
        <v>1.4312761269177701</v>
      </c>
      <c r="L441" s="16" t="s">
        <v>490</v>
      </c>
      <c r="M441" s="16" t="s">
        <v>8</v>
      </c>
      <c r="N441" s="16">
        <f t="shared" si="6"/>
        <v>71.563806345888509</v>
      </c>
      <c r="O441" s="22" t="s">
        <v>451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</row>
    <row r="442" spans="1:66" s="16" customFormat="1" ht="16" customHeight="1" x14ac:dyDescent="0.2">
      <c r="A442" s="16">
        <v>1668</v>
      </c>
      <c r="B442" s="16" t="s">
        <v>609</v>
      </c>
      <c r="C442" s="16" t="s">
        <v>951</v>
      </c>
      <c r="D442" s="16" t="s">
        <v>952</v>
      </c>
      <c r="E442" s="16" t="s">
        <v>611</v>
      </c>
      <c r="F442" s="16" t="s">
        <v>654</v>
      </c>
      <c r="G442" s="16" t="s">
        <v>955</v>
      </c>
      <c r="H442" s="17">
        <v>44341</v>
      </c>
      <c r="I442" s="16">
        <v>5</v>
      </c>
      <c r="J442" s="16">
        <v>100</v>
      </c>
      <c r="K442" s="16">
        <v>0</v>
      </c>
      <c r="L442" s="16" t="s">
        <v>490</v>
      </c>
      <c r="M442" s="16" t="s">
        <v>8</v>
      </c>
      <c r="N442" s="16">
        <f t="shared" si="6"/>
        <v>0</v>
      </c>
      <c r="O442" s="22" t="s">
        <v>451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</row>
    <row r="443" spans="1:66" s="18" customFormat="1" ht="16" customHeight="1" x14ac:dyDescent="0.2">
      <c r="A443" s="16">
        <v>1675</v>
      </c>
      <c r="B443" s="16" t="s">
        <v>609</v>
      </c>
      <c r="C443" s="16" t="s">
        <v>951</v>
      </c>
      <c r="D443" s="16" t="s">
        <v>952</v>
      </c>
      <c r="E443" s="16" t="s">
        <v>611</v>
      </c>
      <c r="F443" s="16" t="s">
        <v>654</v>
      </c>
      <c r="G443" s="16" t="s">
        <v>955</v>
      </c>
      <c r="H443" s="17">
        <v>44341</v>
      </c>
      <c r="I443" s="16">
        <v>5</v>
      </c>
      <c r="J443" s="16">
        <v>100</v>
      </c>
      <c r="K443" s="16">
        <v>0.399568042809128</v>
      </c>
      <c r="L443" s="16" t="s">
        <v>490</v>
      </c>
      <c r="M443" s="16" t="s">
        <v>8</v>
      </c>
      <c r="N443" s="16">
        <f t="shared" si="6"/>
        <v>19.978402140456399</v>
      </c>
      <c r="O443" s="22" t="s">
        <v>451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</row>
    <row r="444" spans="1:66" s="18" customFormat="1" ht="16" customHeight="1" x14ac:dyDescent="0.2">
      <c r="A444" s="16">
        <v>1682</v>
      </c>
      <c r="B444" s="16" t="s">
        <v>609</v>
      </c>
      <c r="C444" s="16" t="s">
        <v>951</v>
      </c>
      <c r="D444" s="16" t="s">
        <v>952</v>
      </c>
      <c r="E444" s="16" t="s">
        <v>611</v>
      </c>
      <c r="F444" s="16" t="s">
        <v>654</v>
      </c>
      <c r="G444" s="16" t="s">
        <v>955</v>
      </c>
      <c r="H444" s="17">
        <v>44341</v>
      </c>
      <c r="I444" s="16">
        <v>5</v>
      </c>
      <c r="J444" s="16">
        <v>100</v>
      </c>
      <c r="K444" s="16">
        <v>8.1465856721540997E-2</v>
      </c>
      <c r="L444" s="16" t="s">
        <v>490</v>
      </c>
      <c r="M444" s="16" t="s">
        <v>8</v>
      </c>
      <c r="N444" s="16">
        <f t="shared" si="6"/>
        <v>4.0732928360770497</v>
      </c>
      <c r="O444" s="22" t="s">
        <v>451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</row>
    <row r="445" spans="1:66" s="18" customFormat="1" ht="16" customHeight="1" x14ac:dyDescent="0.2">
      <c r="A445" s="18">
        <v>1648</v>
      </c>
      <c r="B445" s="18" t="s">
        <v>613</v>
      </c>
      <c r="C445" s="18" t="s">
        <v>956</v>
      </c>
      <c r="D445" s="18" t="s">
        <v>957</v>
      </c>
      <c r="E445" s="18" t="s">
        <v>615</v>
      </c>
      <c r="F445" s="18" t="s">
        <v>654</v>
      </c>
      <c r="G445" s="18" t="s">
        <v>958</v>
      </c>
      <c r="H445" s="19">
        <v>44341</v>
      </c>
      <c r="I445" s="18">
        <v>5</v>
      </c>
      <c r="J445" s="18">
        <v>100</v>
      </c>
      <c r="K445" s="18">
        <v>0</v>
      </c>
      <c r="L445" s="18" t="s">
        <v>490</v>
      </c>
      <c r="M445" s="18" t="s">
        <v>8</v>
      </c>
      <c r="N445" s="18">
        <f t="shared" si="6"/>
        <v>0</v>
      </c>
      <c r="O445" s="20" t="s">
        <v>451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</row>
    <row r="446" spans="1:66" s="18" customFormat="1" ht="16" customHeight="1" x14ac:dyDescent="0.2">
      <c r="A446" s="18">
        <v>1655</v>
      </c>
      <c r="B446" s="18" t="s">
        <v>613</v>
      </c>
      <c r="C446" s="18" t="s">
        <v>956</v>
      </c>
      <c r="D446" s="18" t="s">
        <v>957</v>
      </c>
      <c r="E446" s="18" t="s">
        <v>615</v>
      </c>
      <c r="F446" s="18" t="s">
        <v>654</v>
      </c>
      <c r="G446" s="18" t="s">
        <v>958</v>
      </c>
      <c r="H446" s="19">
        <v>44341</v>
      </c>
      <c r="I446" s="18">
        <v>5</v>
      </c>
      <c r="J446" s="18">
        <v>100</v>
      </c>
      <c r="K446" s="18">
        <v>1.4399734204794301</v>
      </c>
      <c r="L446" s="18" t="s">
        <v>490</v>
      </c>
      <c r="M446" s="18" t="s">
        <v>8</v>
      </c>
      <c r="N446" s="18">
        <f t="shared" si="6"/>
        <v>71.998671023971511</v>
      </c>
      <c r="O446" s="20" t="s">
        <v>451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</row>
    <row r="447" spans="1:66" s="18" customFormat="1" ht="16" customHeight="1" x14ac:dyDescent="0.2">
      <c r="A447" s="18">
        <v>1662</v>
      </c>
      <c r="B447" s="18" t="s">
        <v>613</v>
      </c>
      <c r="C447" s="18" t="s">
        <v>956</v>
      </c>
      <c r="D447" s="18" t="s">
        <v>957</v>
      </c>
      <c r="E447" s="18" t="s">
        <v>615</v>
      </c>
      <c r="F447" s="18" t="s">
        <v>654</v>
      </c>
      <c r="G447" s="18" t="s">
        <v>958</v>
      </c>
      <c r="H447" s="19">
        <v>44341</v>
      </c>
      <c r="I447" s="18">
        <v>5</v>
      </c>
      <c r="J447" s="18">
        <v>100</v>
      </c>
      <c r="K447" s="18">
        <v>0.17244450590590901</v>
      </c>
      <c r="L447" s="18" t="s">
        <v>490</v>
      </c>
      <c r="M447" s="18" t="s">
        <v>8</v>
      </c>
      <c r="N447" s="18">
        <f t="shared" si="6"/>
        <v>8.6222252952954506</v>
      </c>
      <c r="O447" s="20" t="s">
        <v>451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</row>
    <row r="448" spans="1:66" s="18" customFormat="1" ht="16" customHeight="1" x14ac:dyDescent="0.2">
      <c r="A448" s="18">
        <v>1669</v>
      </c>
      <c r="B448" s="18" t="s">
        <v>613</v>
      </c>
      <c r="C448" s="18" t="s">
        <v>956</v>
      </c>
      <c r="D448" s="18" t="s">
        <v>957</v>
      </c>
      <c r="E448" s="18" t="s">
        <v>615</v>
      </c>
      <c r="F448" s="18" t="s">
        <v>654</v>
      </c>
      <c r="G448" s="18" t="s">
        <v>959</v>
      </c>
      <c r="H448" s="19">
        <v>44341</v>
      </c>
      <c r="I448" s="18">
        <v>5</v>
      </c>
      <c r="J448" s="18">
        <v>100</v>
      </c>
      <c r="K448" s="18">
        <v>0</v>
      </c>
      <c r="L448" s="18" t="s">
        <v>490</v>
      </c>
      <c r="M448" s="18" t="s">
        <v>8</v>
      </c>
      <c r="N448" s="18">
        <f t="shared" si="6"/>
        <v>0</v>
      </c>
      <c r="O448" s="20" t="s">
        <v>451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</row>
    <row r="449" spans="1:66" s="18" customFormat="1" ht="16" customHeight="1" x14ac:dyDescent="0.2">
      <c r="A449" s="18">
        <v>1676</v>
      </c>
      <c r="B449" s="18" t="s">
        <v>613</v>
      </c>
      <c r="C449" s="18" t="s">
        <v>956</v>
      </c>
      <c r="D449" s="18" t="s">
        <v>957</v>
      </c>
      <c r="E449" s="18" t="s">
        <v>615</v>
      </c>
      <c r="F449" s="18" t="s">
        <v>654</v>
      </c>
      <c r="G449" s="18" t="s">
        <v>959</v>
      </c>
      <c r="H449" s="19">
        <v>44341</v>
      </c>
      <c r="I449" s="18">
        <v>5</v>
      </c>
      <c r="J449" s="18">
        <v>100</v>
      </c>
      <c r="K449" s="18">
        <v>0</v>
      </c>
      <c r="L449" s="18" t="s">
        <v>490</v>
      </c>
      <c r="M449" s="18" t="s">
        <v>8</v>
      </c>
      <c r="N449" s="18">
        <f t="shared" si="6"/>
        <v>0</v>
      </c>
      <c r="O449" s="20" t="s">
        <v>451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</row>
    <row r="450" spans="1:66" s="18" customFormat="1" ht="16" customHeight="1" x14ac:dyDescent="0.2">
      <c r="A450" s="18">
        <v>1683</v>
      </c>
      <c r="B450" s="18" t="s">
        <v>613</v>
      </c>
      <c r="C450" s="18" t="s">
        <v>956</v>
      </c>
      <c r="D450" s="18" t="s">
        <v>957</v>
      </c>
      <c r="E450" s="18" t="s">
        <v>615</v>
      </c>
      <c r="F450" s="18" t="s">
        <v>654</v>
      </c>
      <c r="G450" s="18" t="s">
        <v>959</v>
      </c>
      <c r="H450" s="19">
        <v>44341</v>
      </c>
      <c r="I450" s="18">
        <v>5</v>
      </c>
      <c r="J450" s="18">
        <v>100</v>
      </c>
      <c r="K450" s="18">
        <v>0</v>
      </c>
      <c r="L450" s="18" t="s">
        <v>490</v>
      </c>
      <c r="M450" s="18" t="s">
        <v>8</v>
      </c>
      <c r="N450" s="18">
        <f t="shared" si="6"/>
        <v>0</v>
      </c>
      <c r="O450" s="20" t="s">
        <v>451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</row>
    <row r="451" spans="1:66" s="18" customFormat="1" ht="16" customHeight="1" x14ac:dyDescent="0.2">
      <c r="A451" s="18">
        <v>1649</v>
      </c>
      <c r="B451" s="18" t="s">
        <v>613</v>
      </c>
      <c r="C451" s="18" t="s">
        <v>956</v>
      </c>
      <c r="D451" s="18" t="s">
        <v>957</v>
      </c>
      <c r="E451" s="18" t="s">
        <v>615</v>
      </c>
      <c r="F451" s="18" t="s">
        <v>654</v>
      </c>
      <c r="G451" s="18" t="s">
        <v>960</v>
      </c>
      <c r="H451" s="19">
        <v>44341</v>
      </c>
      <c r="I451" s="18">
        <v>5</v>
      </c>
      <c r="J451" s="18">
        <v>100</v>
      </c>
      <c r="K451" s="18">
        <v>0</v>
      </c>
      <c r="L451" s="18" t="s">
        <v>490</v>
      </c>
      <c r="M451" s="18" t="s">
        <v>8</v>
      </c>
      <c r="N451" s="18">
        <f t="shared" si="6"/>
        <v>0</v>
      </c>
      <c r="O451" s="20" t="s">
        <v>451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</row>
    <row r="452" spans="1:66" s="16" customFormat="1" ht="16" customHeight="1" x14ac:dyDescent="0.2">
      <c r="A452" s="18">
        <v>1656</v>
      </c>
      <c r="B452" s="18" t="s">
        <v>613</v>
      </c>
      <c r="C452" s="18" t="s">
        <v>956</v>
      </c>
      <c r="D452" s="18" t="s">
        <v>957</v>
      </c>
      <c r="E452" s="18" t="s">
        <v>615</v>
      </c>
      <c r="F452" s="18" t="s">
        <v>654</v>
      </c>
      <c r="G452" s="18" t="s">
        <v>960</v>
      </c>
      <c r="H452" s="19">
        <v>44341</v>
      </c>
      <c r="I452" s="18">
        <v>5</v>
      </c>
      <c r="J452" s="18">
        <v>100</v>
      </c>
      <c r="K452" s="18">
        <v>0</v>
      </c>
      <c r="L452" s="18" t="s">
        <v>490</v>
      </c>
      <c r="M452" s="18" t="s">
        <v>8</v>
      </c>
      <c r="N452" s="18">
        <f t="shared" ref="N452:N471" si="7">K452*I452*(1000/J452)</f>
        <v>0</v>
      </c>
      <c r="O452" s="20" t="s">
        <v>451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</row>
    <row r="453" spans="1:66" s="16" customFormat="1" ht="16" customHeight="1" x14ac:dyDescent="0.2">
      <c r="A453" s="18">
        <v>1663</v>
      </c>
      <c r="B453" s="18" t="s">
        <v>613</v>
      </c>
      <c r="C453" s="18" t="s">
        <v>956</v>
      </c>
      <c r="D453" s="18" t="s">
        <v>957</v>
      </c>
      <c r="E453" s="18" t="s">
        <v>615</v>
      </c>
      <c r="F453" s="18" t="s">
        <v>654</v>
      </c>
      <c r="G453" s="18" t="s">
        <v>960</v>
      </c>
      <c r="H453" s="19">
        <v>44341</v>
      </c>
      <c r="I453" s="18">
        <v>5</v>
      </c>
      <c r="J453" s="18">
        <v>100</v>
      </c>
      <c r="K453" s="18">
        <v>0.78776114181405399</v>
      </c>
      <c r="L453" s="18" t="s">
        <v>490</v>
      </c>
      <c r="M453" s="18" t="s">
        <v>8</v>
      </c>
      <c r="N453" s="18">
        <f t="shared" si="7"/>
        <v>39.388057090702702</v>
      </c>
      <c r="O453" s="20" t="s">
        <v>451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</row>
    <row r="454" spans="1:66" s="16" customFormat="1" ht="16" customHeight="1" x14ac:dyDescent="0.2">
      <c r="A454" s="16">
        <v>1670</v>
      </c>
      <c r="B454" s="16" t="s">
        <v>617</v>
      </c>
      <c r="C454" s="16" t="s">
        <v>961</v>
      </c>
      <c r="D454" s="16" t="s">
        <v>962</v>
      </c>
      <c r="E454" s="16" t="s">
        <v>619</v>
      </c>
      <c r="F454" s="16" t="s">
        <v>654</v>
      </c>
      <c r="G454" s="16" t="s">
        <v>963</v>
      </c>
      <c r="H454" s="17">
        <v>44341</v>
      </c>
      <c r="I454" s="16">
        <v>5</v>
      </c>
      <c r="J454" s="16">
        <v>100</v>
      </c>
      <c r="K454" s="16">
        <v>0</v>
      </c>
      <c r="L454" s="16" t="s">
        <v>490</v>
      </c>
      <c r="M454" s="16" t="s">
        <v>8</v>
      </c>
      <c r="N454" s="16">
        <f t="shared" si="7"/>
        <v>0</v>
      </c>
      <c r="O454" s="22" t="s">
        <v>451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</row>
    <row r="455" spans="1:66" s="16" customFormat="1" ht="16" customHeight="1" x14ac:dyDescent="0.2">
      <c r="A455" s="16">
        <v>1677</v>
      </c>
      <c r="B455" s="16" t="s">
        <v>617</v>
      </c>
      <c r="C455" s="16" t="s">
        <v>961</v>
      </c>
      <c r="D455" s="16" t="s">
        <v>962</v>
      </c>
      <c r="E455" s="16" t="s">
        <v>619</v>
      </c>
      <c r="F455" s="16" t="s">
        <v>654</v>
      </c>
      <c r="G455" s="16" t="s">
        <v>963</v>
      </c>
      <c r="H455" s="17">
        <v>44341</v>
      </c>
      <c r="I455" s="16">
        <v>5</v>
      </c>
      <c r="J455" s="16">
        <v>100</v>
      </c>
      <c r="K455" s="16">
        <v>0</v>
      </c>
      <c r="L455" s="16" t="s">
        <v>490</v>
      </c>
      <c r="M455" s="16" t="s">
        <v>8</v>
      </c>
      <c r="N455" s="16">
        <f t="shared" si="7"/>
        <v>0</v>
      </c>
      <c r="O455" s="22" t="s">
        <v>451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</row>
    <row r="456" spans="1:66" s="16" customFormat="1" ht="16" customHeight="1" x14ac:dyDescent="0.2">
      <c r="A456" s="16">
        <v>1684</v>
      </c>
      <c r="B456" s="16" t="s">
        <v>617</v>
      </c>
      <c r="C456" s="16" t="s">
        <v>961</v>
      </c>
      <c r="D456" s="16" t="s">
        <v>962</v>
      </c>
      <c r="E456" s="16" t="s">
        <v>619</v>
      </c>
      <c r="F456" s="16" t="s">
        <v>654</v>
      </c>
      <c r="G456" s="16" t="s">
        <v>963</v>
      </c>
      <c r="H456" s="17">
        <v>44341</v>
      </c>
      <c r="I456" s="16">
        <v>5</v>
      </c>
      <c r="J456" s="16">
        <v>100</v>
      </c>
      <c r="K456" s="16">
        <v>0</v>
      </c>
      <c r="L456" s="16" t="s">
        <v>490</v>
      </c>
      <c r="M456" s="16" t="s">
        <v>8</v>
      </c>
      <c r="N456" s="16">
        <f t="shared" si="7"/>
        <v>0</v>
      </c>
      <c r="O456" s="22" t="s">
        <v>451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</row>
    <row r="457" spans="1:66" s="16" customFormat="1" ht="16" customHeight="1" x14ac:dyDescent="0.2">
      <c r="A457" s="16">
        <v>1650</v>
      </c>
      <c r="B457" s="16" t="s">
        <v>617</v>
      </c>
      <c r="C457" s="16" t="s">
        <v>961</v>
      </c>
      <c r="D457" s="16" t="s">
        <v>962</v>
      </c>
      <c r="E457" s="16" t="s">
        <v>619</v>
      </c>
      <c r="F457" s="16" t="s">
        <v>654</v>
      </c>
      <c r="G457" s="16" t="s">
        <v>964</v>
      </c>
      <c r="H457" s="17">
        <v>44341</v>
      </c>
      <c r="I457" s="16">
        <v>5</v>
      </c>
      <c r="J457" s="16">
        <v>100</v>
      </c>
      <c r="K457" s="16">
        <v>0</v>
      </c>
      <c r="L457" s="16" t="s">
        <v>490</v>
      </c>
      <c r="M457" s="16" t="s">
        <v>8</v>
      </c>
      <c r="N457" s="16">
        <f t="shared" si="7"/>
        <v>0</v>
      </c>
      <c r="O457" s="22" t="s">
        <v>451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</row>
    <row r="458" spans="1:66" s="16" customFormat="1" ht="16" customHeight="1" x14ac:dyDescent="0.2">
      <c r="A458" s="16">
        <v>1657</v>
      </c>
      <c r="B458" s="16" t="s">
        <v>617</v>
      </c>
      <c r="C458" s="16" t="s">
        <v>961</v>
      </c>
      <c r="D458" s="16" t="s">
        <v>962</v>
      </c>
      <c r="E458" s="16" t="s">
        <v>619</v>
      </c>
      <c r="F458" s="16" t="s">
        <v>654</v>
      </c>
      <c r="G458" s="16" t="s">
        <v>964</v>
      </c>
      <c r="H458" s="17">
        <v>44341</v>
      </c>
      <c r="I458" s="16">
        <v>5</v>
      </c>
      <c r="J458" s="16">
        <v>100</v>
      </c>
      <c r="K458" s="16">
        <v>0</v>
      </c>
      <c r="L458" s="16" t="s">
        <v>490</v>
      </c>
      <c r="M458" s="16" t="s">
        <v>8</v>
      </c>
      <c r="N458" s="16">
        <f t="shared" si="7"/>
        <v>0</v>
      </c>
      <c r="O458" s="22" t="s">
        <v>451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</row>
    <row r="459" spans="1:66" s="16" customFormat="1" ht="16" customHeight="1" x14ac:dyDescent="0.2">
      <c r="A459" s="16">
        <v>1664</v>
      </c>
      <c r="B459" s="16" t="s">
        <v>617</v>
      </c>
      <c r="C459" s="16" t="s">
        <v>961</v>
      </c>
      <c r="D459" s="16" t="s">
        <v>962</v>
      </c>
      <c r="E459" s="16" t="s">
        <v>619</v>
      </c>
      <c r="F459" s="16" t="s">
        <v>654</v>
      </c>
      <c r="G459" s="16" t="s">
        <v>964</v>
      </c>
      <c r="H459" s="17">
        <v>44341</v>
      </c>
      <c r="I459" s="16">
        <v>5</v>
      </c>
      <c r="J459" s="16">
        <v>100</v>
      </c>
      <c r="K459" s="16">
        <v>0</v>
      </c>
      <c r="L459" s="16" t="s">
        <v>490</v>
      </c>
      <c r="M459" s="16" t="s">
        <v>8</v>
      </c>
      <c r="N459" s="16">
        <f t="shared" si="7"/>
        <v>0</v>
      </c>
      <c r="O459" s="22" t="s">
        <v>451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</row>
    <row r="460" spans="1:66" s="16" customFormat="1" ht="16" customHeight="1" x14ac:dyDescent="0.2">
      <c r="A460" s="16">
        <v>1671</v>
      </c>
      <c r="B460" s="16" t="s">
        <v>617</v>
      </c>
      <c r="C460" s="16" t="s">
        <v>961</v>
      </c>
      <c r="D460" s="16" t="s">
        <v>962</v>
      </c>
      <c r="E460" s="16" t="s">
        <v>619</v>
      </c>
      <c r="F460" s="16" t="s">
        <v>654</v>
      </c>
      <c r="G460" s="16" t="s">
        <v>965</v>
      </c>
      <c r="H460" s="17">
        <v>44341</v>
      </c>
      <c r="I460" s="16">
        <v>5</v>
      </c>
      <c r="J460" s="16">
        <v>100</v>
      </c>
      <c r="K460" s="16">
        <v>0</v>
      </c>
      <c r="L460" s="16" t="s">
        <v>490</v>
      </c>
      <c r="M460" s="16" t="s">
        <v>8</v>
      </c>
      <c r="N460" s="16">
        <f t="shared" si="7"/>
        <v>0</v>
      </c>
      <c r="O460" s="22" t="s">
        <v>451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</row>
    <row r="461" spans="1:66" s="18" customFormat="1" ht="16" customHeight="1" x14ac:dyDescent="0.2">
      <c r="A461" s="16">
        <v>1678</v>
      </c>
      <c r="B461" s="16" t="s">
        <v>617</v>
      </c>
      <c r="C461" s="16" t="s">
        <v>961</v>
      </c>
      <c r="D461" s="16" t="s">
        <v>962</v>
      </c>
      <c r="E461" s="16" t="s">
        <v>619</v>
      </c>
      <c r="F461" s="16" t="s">
        <v>654</v>
      </c>
      <c r="G461" s="16" t="s">
        <v>965</v>
      </c>
      <c r="H461" s="17">
        <v>44341</v>
      </c>
      <c r="I461" s="16">
        <v>5</v>
      </c>
      <c r="J461" s="16">
        <v>100</v>
      </c>
      <c r="K461" s="16">
        <v>0</v>
      </c>
      <c r="L461" s="16" t="s">
        <v>490</v>
      </c>
      <c r="M461" s="16" t="s">
        <v>8</v>
      </c>
      <c r="N461" s="16">
        <f t="shared" si="7"/>
        <v>0</v>
      </c>
      <c r="O461" s="22" t="s">
        <v>451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</row>
    <row r="462" spans="1:66" s="18" customFormat="1" ht="16" customHeight="1" x14ac:dyDescent="0.2">
      <c r="A462" s="16">
        <v>1685</v>
      </c>
      <c r="B462" s="16" t="s">
        <v>617</v>
      </c>
      <c r="C462" s="16" t="s">
        <v>961</v>
      </c>
      <c r="D462" s="16" t="s">
        <v>962</v>
      </c>
      <c r="E462" s="16" t="s">
        <v>619</v>
      </c>
      <c r="F462" s="16" t="s">
        <v>654</v>
      </c>
      <c r="G462" s="16" t="s">
        <v>965</v>
      </c>
      <c r="H462" s="17">
        <v>44341</v>
      </c>
      <c r="I462" s="16">
        <v>5</v>
      </c>
      <c r="J462" s="16">
        <v>100</v>
      </c>
      <c r="K462" s="16">
        <v>0</v>
      </c>
      <c r="L462" s="16" t="s">
        <v>490</v>
      </c>
      <c r="M462" s="16" t="s">
        <v>8</v>
      </c>
      <c r="N462" s="16">
        <f t="shared" si="7"/>
        <v>0</v>
      </c>
      <c r="O462" s="22" t="s">
        <v>451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</row>
    <row r="463" spans="1:66" s="18" customFormat="1" ht="16" customHeight="1" x14ac:dyDescent="0.2">
      <c r="A463" s="18">
        <v>1651</v>
      </c>
      <c r="B463" s="18" t="s">
        <v>621</v>
      </c>
      <c r="C463" s="18" t="s">
        <v>961</v>
      </c>
      <c r="D463" s="18" t="s">
        <v>966</v>
      </c>
      <c r="E463" s="18" t="s">
        <v>619</v>
      </c>
      <c r="F463" s="18" t="s">
        <v>654</v>
      </c>
      <c r="G463" s="18" t="s">
        <v>967</v>
      </c>
      <c r="H463" s="19">
        <v>44341</v>
      </c>
      <c r="I463" s="18">
        <v>5</v>
      </c>
      <c r="J463" s="18">
        <v>100</v>
      </c>
      <c r="K463" s="18">
        <v>1.66337939763665</v>
      </c>
      <c r="L463" s="18" t="s">
        <v>490</v>
      </c>
      <c r="M463" s="18" t="s">
        <v>8</v>
      </c>
      <c r="N463" s="18">
        <f t="shared" si="7"/>
        <v>83.16896988183251</v>
      </c>
      <c r="O463" s="20" t="s">
        <v>451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</row>
    <row r="464" spans="1:66" s="16" customFormat="1" ht="16" customHeight="1" x14ac:dyDescent="0.2">
      <c r="A464" s="18">
        <v>1658</v>
      </c>
      <c r="B464" s="18" t="s">
        <v>621</v>
      </c>
      <c r="C464" s="18" t="s">
        <v>961</v>
      </c>
      <c r="D464" s="18" t="s">
        <v>966</v>
      </c>
      <c r="E464" s="18" t="s">
        <v>619</v>
      </c>
      <c r="F464" s="18" t="s">
        <v>654</v>
      </c>
      <c r="G464" s="18" t="s">
        <v>967</v>
      </c>
      <c r="H464" s="19">
        <v>44341</v>
      </c>
      <c r="I464" s="18">
        <v>5</v>
      </c>
      <c r="J464" s="18">
        <v>100</v>
      </c>
      <c r="K464" s="18">
        <v>0</v>
      </c>
      <c r="L464" s="18" t="s">
        <v>490</v>
      </c>
      <c r="M464" s="18" t="s">
        <v>8</v>
      </c>
      <c r="N464" s="18">
        <f t="shared" si="7"/>
        <v>0</v>
      </c>
      <c r="O464" s="20" t="s">
        <v>451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</row>
    <row r="465" spans="1:66" s="16" customFormat="1" ht="16" customHeight="1" x14ac:dyDescent="0.2">
      <c r="A465" s="18">
        <v>1665</v>
      </c>
      <c r="B465" s="18" t="s">
        <v>621</v>
      </c>
      <c r="C465" s="18" t="s">
        <v>961</v>
      </c>
      <c r="D465" s="18" t="s">
        <v>966</v>
      </c>
      <c r="E465" s="18" t="s">
        <v>619</v>
      </c>
      <c r="F465" s="18" t="s">
        <v>654</v>
      </c>
      <c r="G465" s="18" t="s">
        <v>967</v>
      </c>
      <c r="H465" s="19">
        <v>44341</v>
      </c>
      <c r="I465" s="18">
        <v>5</v>
      </c>
      <c r="J465" s="18">
        <v>100</v>
      </c>
      <c r="K465" s="18">
        <v>5.9541271740522997E-2</v>
      </c>
      <c r="L465" s="18" t="s">
        <v>490</v>
      </c>
      <c r="M465" s="18" t="s">
        <v>8</v>
      </c>
      <c r="N465" s="18">
        <f t="shared" si="7"/>
        <v>2.9770635870261497</v>
      </c>
      <c r="O465" s="20" t="s">
        <v>451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</row>
    <row r="466" spans="1:66" s="16" customFormat="1" ht="16" customHeight="1" x14ac:dyDescent="0.2">
      <c r="A466" s="18">
        <v>1672</v>
      </c>
      <c r="B466" s="18" t="s">
        <v>621</v>
      </c>
      <c r="C466" s="18" t="s">
        <v>961</v>
      </c>
      <c r="D466" s="18" t="s">
        <v>966</v>
      </c>
      <c r="E466" s="18" t="s">
        <v>619</v>
      </c>
      <c r="F466" s="18" t="s">
        <v>654</v>
      </c>
      <c r="G466" s="18" t="s">
        <v>968</v>
      </c>
      <c r="H466" s="19">
        <v>44341</v>
      </c>
      <c r="I466" s="18">
        <v>5</v>
      </c>
      <c r="J466" s="18">
        <v>100</v>
      </c>
      <c r="K466" s="18">
        <v>3.8884543007821102</v>
      </c>
      <c r="L466" s="18" t="s">
        <v>490</v>
      </c>
      <c r="M466" s="18" t="s">
        <v>8</v>
      </c>
      <c r="N466" s="18">
        <f t="shared" si="7"/>
        <v>194.4227150391055</v>
      </c>
      <c r="O466" s="20" t="s">
        <v>451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</row>
    <row r="467" spans="1:66" s="16" customFormat="1" ht="16" customHeight="1" x14ac:dyDescent="0.2">
      <c r="A467" s="18">
        <v>1679</v>
      </c>
      <c r="B467" s="18" t="s">
        <v>621</v>
      </c>
      <c r="C467" s="18" t="s">
        <v>961</v>
      </c>
      <c r="D467" s="18" t="s">
        <v>966</v>
      </c>
      <c r="E467" s="18" t="s">
        <v>619</v>
      </c>
      <c r="F467" s="18" t="s">
        <v>654</v>
      </c>
      <c r="G467" s="18" t="s">
        <v>968</v>
      </c>
      <c r="H467" s="19">
        <v>44341</v>
      </c>
      <c r="I467" s="18">
        <v>5</v>
      </c>
      <c r="J467" s="18">
        <v>100</v>
      </c>
      <c r="K467" s="18">
        <v>2.9417958819224199</v>
      </c>
      <c r="L467" s="18" t="s">
        <v>490</v>
      </c>
      <c r="M467" s="18" t="s">
        <v>8</v>
      </c>
      <c r="N467" s="18">
        <f t="shared" si="7"/>
        <v>147.08979409612101</v>
      </c>
      <c r="O467" s="20" t="s">
        <v>451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</row>
    <row r="468" spans="1:66" s="16" customFormat="1" ht="16" customHeight="1" x14ac:dyDescent="0.2">
      <c r="A468" s="18">
        <v>1686</v>
      </c>
      <c r="B468" s="18" t="s">
        <v>621</v>
      </c>
      <c r="C468" s="18" t="s">
        <v>961</v>
      </c>
      <c r="D468" s="18" t="s">
        <v>966</v>
      </c>
      <c r="E468" s="18" t="s">
        <v>619</v>
      </c>
      <c r="F468" s="18" t="s">
        <v>654</v>
      </c>
      <c r="G468" s="18" t="s">
        <v>968</v>
      </c>
      <c r="H468" s="19">
        <v>44341</v>
      </c>
      <c r="I468" s="18">
        <v>5</v>
      </c>
      <c r="J468" s="18">
        <v>100</v>
      </c>
      <c r="K468" s="18">
        <v>6.2216746575671404</v>
      </c>
      <c r="L468" s="18" t="s">
        <v>490</v>
      </c>
      <c r="M468" s="18" t="s">
        <v>8</v>
      </c>
      <c r="N468" s="18">
        <f t="shared" si="7"/>
        <v>311.08373287835707</v>
      </c>
      <c r="O468" s="20" t="s">
        <v>451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</row>
    <row r="469" spans="1:66" s="16" customFormat="1" ht="16" customHeight="1" x14ac:dyDescent="0.2">
      <c r="A469" s="18">
        <v>1777</v>
      </c>
      <c r="B469" s="18" t="s">
        <v>621</v>
      </c>
      <c r="C469" s="18" t="s">
        <v>961</v>
      </c>
      <c r="D469" s="18" t="s">
        <v>966</v>
      </c>
      <c r="E469" s="18" t="s">
        <v>619</v>
      </c>
      <c r="F469" s="18" t="s">
        <v>654</v>
      </c>
      <c r="G469" s="18" t="s">
        <v>969</v>
      </c>
      <c r="H469" s="19">
        <v>44341</v>
      </c>
      <c r="I469" s="18">
        <v>5</v>
      </c>
      <c r="J469" s="18">
        <v>100</v>
      </c>
      <c r="K469" s="18">
        <v>23.7405190516284</v>
      </c>
      <c r="L469" s="18" t="s">
        <v>490</v>
      </c>
      <c r="M469" s="18" t="s">
        <v>8</v>
      </c>
      <c r="N469" s="18">
        <f t="shared" si="7"/>
        <v>1187.0259525814199</v>
      </c>
      <c r="O469" s="20" t="s">
        <v>451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</row>
    <row r="470" spans="1:66" s="16" customFormat="1" ht="16" customHeight="1" x14ac:dyDescent="0.2">
      <c r="A470" s="18">
        <v>1784</v>
      </c>
      <c r="B470" s="18" t="s">
        <v>621</v>
      </c>
      <c r="C470" s="18" t="s">
        <v>961</v>
      </c>
      <c r="D470" s="18" t="s">
        <v>966</v>
      </c>
      <c r="E470" s="18" t="s">
        <v>619</v>
      </c>
      <c r="F470" s="18" t="s">
        <v>654</v>
      </c>
      <c r="G470" s="18" t="s">
        <v>969</v>
      </c>
      <c r="H470" s="19">
        <v>44341</v>
      </c>
      <c r="I470" s="18">
        <v>5</v>
      </c>
      <c r="J470" s="18">
        <v>100</v>
      </c>
      <c r="K470" s="18">
        <v>13.6065985848276</v>
      </c>
      <c r="L470" s="18" t="s">
        <v>490</v>
      </c>
      <c r="M470" s="18" t="s">
        <v>8</v>
      </c>
      <c r="N470" s="18">
        <f t="shared" si="7"/>
        <v>680.32992924138</v>
      </c>
      <c r="O470" s="20" t="s">
        <v>451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</row>
    <row r="471" spans="1:66" s="16" customFormat="1" ht="16" customHeight="1" x14ac:dyDescent="0.2">
      <c r="A471" s="18">
        <v>1791</v>
      </c>
      <c r="B471" s="18" t="s">
        <v>621</v>
      </c>
      <c r="C471" s="18" t="s">
        <v>961</v>
      </c>
      <c r="D471" s="18" t="s">
        <v>966</v>
      </c>
      <c r="E471" s="18" t="s">
        <v>619</v>
      </c>
      <c r="F471" s="18" t="s">
        <v>654</v>
      </c>
      <c r="G471" s="18" t="s">
        <v>969</v>
      </c>
      <c r="H471" s="19">
        <v>44341</v>
      </c>
      <c r="I471" s="18">
        <v>5</v>
      </c>
      <c r="J471" s="18">
        <v>100</v>
      </c>
      <c r="K471" s="18">
        <v>18.158931019210002</v>
      </c>
      <c r="L471" s="18" t="s">
        <v>490</v>
      </c>
      <c r="M471" s="18" t="s">
        <v>8</v>
      </c>
      <c r="N471" s="18">
        <f t="shared" si="7"/>
        <v>907.94655096050008</v>
      </c>
      <c r="O471" s="20" t="s">
        <v>451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</row>
  </sheetData>
  <sortState xmlns:xlrd2="http://schemas.microsoft.com/office/spreadsheetml/2017/richdata2" ref="A4:O471">
    <sortCondition ref="B4:B471"/>
    <sortCondition ref="G4:G471"/>
    <sortCondition ref="A4:A471"/>
  </sortState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1140"/>
  <sheetViews>
    <sheetView zoomScale="80" zoomScaleNormal="80" workbookViewId="0"/>
  </sheetViews>
  <sheetFormatPr baseColWidth="10" defaultColWidth="12.83203125" defaultRowHeight="15.75" customHeight="1" x14ac:dyDescent="0.2"/>
  <cols>
    <col min="1" max="1" width="12.83203125" style="3"/>
    <col min="2" max="2" width="23.6640625" style="3" customWidth="1"/>
    <col min="3" max="3" width="25.6640625" style="3" customWidth="1"/>
    <col min="4" max="4" width="27.5" style="3" customWidth="1"/>
    <col min="5" max="5" width="19.6640625" style="3" customWidth="1"/>
    <col min="6" max="6" width="11.1640625" style="3" customWidth="1"/>
    <col min="7" max="7" width="17.83203125" style="3" customWidth="1"/>
    <col min="8" max="8" width="13.5" style="3" customWidth="1"/>
    <col min="9" max="9" width="12.6640625" style="3" customWidth="1"/>
    <col min="10" max="10" width="6.33203125" style="3" customWidth="1"/>
    <col min="11" max="11" width="12.1640625" style="3" customWidth="1"/>
    <col min="12" max="12" width="12.5" style="3" customWidth="1"/>
    <col min="13" max="13" width="24.5" style="3" customWidth="1"/>
    <col min="14" max="14" width="16.83203125" style="3" customWidth="1"/>
    <col min="15" max="15" width="33.33203125" style="3" customWidth="1"/>
    <col min="16" max="16" width="35.6640625" style="3" customWidth="1"/>
    <col min="17" max="16384" width="12.83203125" style="3"/>
  </cols>
  <sheetData>
    <row r="1" spans="1:92" ht="15.75" customHeight="1" x14ac:dyDescent="0.2">
      <c r="A1" s="6" t="s">
        <v>8015</v>
      </c>
      <c r="O1" s="3" t="s">
        <v>715</v>
      </c>
    </row>
    <row r="3" spans="1:92" s="13" customFormat="1" ht="15.75" customHeight="1" x14ac:dyDescent="0.2">
      <c r="A3" s="13" t="s">
        <v>716</v>
      </c>
      <c r="B3" s="13" t="s">
        <v>422</v>
      </c>
      <c r="C3" s="13" t="s">
        <v>427</v>
      </c>
      <c r="D3" s="13" t="s">
        <v>426</v>
      </c>
      <c r="E3" s="13" t="s">
        <v>428</v>
      </c>
      <c r="F3" s="13" t="s">
        <v>717</v>
      </c>
      <c r="G3" s="13" t="s">
        <v>718</v>
      </c>
      <c r="H3" s="13" t="s">
        <v>719</v>
      </c>
      <c r="I3" s="13" t="s">
        <v>720</v>
      </c>
      <c r="J3" s="13" t="s">
        <v>440</v>
      </c>
      <c r="K3" s="13" t="s">
        <v>721</v>
      </c>
      <c r="L3" s="13" t="s">
        <v>722</v>
      </c>
      <c r="M3" s="13" t="s">
        <v>971</v>
      </c>
      <c r="N3" s="13" t="s">
        <v>724</v>
      </c>
      <c r="O3" s="13" t="s">
        <v>725</v>
      </c>
    </row>
    <row r="4" spans="1:92" s="16" customFormat="1" ht="16" x14ac:dyDescent="0.2">
      <c r="A4" s="16">
        <v>1183</v>
      </c>
      <c r="B4" s="16" t="s">
        <v>442</v>
      </c>
      <c r="C4" s="16" t="s">
        <v>726</v>
      </c>
      <c r="D4" s="16" t="s">
        <v>727</v>
      </c>
      <c r="E4" s="16" t="s">
        <v>446</v>
      </c>
      <c r="F4" s="16" t="s">
        <v>680</v>
      </c>
      <c r="G4" s="16" t="s">
        <v>728</v>
      </c>
      <c r="H4" s="17">
        <v>43626</v>
      </c>
      <c r="I4" s="16">
        <v>5</v>
      </c>
      <c r="J4" s="16">
        <v>70</v>
      </c>
      <c r="K4" s="16">
        <v>19.2387715130718</v>
      </c>
      <c r="L4" s="16" t="s">
        <v>451</v>
      </c>
      <c r="M4" s="16" t="s">
        <v>490</v>
      </c>
      <c r="N4" s="16">
        <f t="shared" ref="N4:N67" si="0">K4*I4*(1000/J4)</f>
        <v>1374.1979652194143</v>
      </c>
      <c r="O4" s="16" t="s">
        <v>451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s="16" customFormat="1" ht="16" x14ac:dyDescent="0.2">
      <c r="A5" s="16">
        <v>1190</v>
      </c>
      <c r="B5" s="16" t="s">
        <v>442</v>
      </c>
      <c r="C5" s="16" t="s">
        <v>726</v>
      </c>
      <c r="D5" s="16" t="s">
        <v>727</v>
      </c>
      <c r="E5" s="16" t="s">
        <v>446</v>
      </c>
      <c r="F5" s="16" t="s">
        <v>680</v>
      </c>
      <c r="G5" s="16" t="s">
        <v>728</v>
      </c>
      <c r="H5" s="17">
        <v>43626</v>
      </c>
      <c r="I5" s="16">
        <v>5</v>
      </c>
      <c r="J5" s="16">
        <v>70</v>
      </c>
      <c r="K5" s="16">
        <v>23.0038437280073</v>
      </c>
      <c r="L5" s="16" t="s">
        <v>451</v>
      </c>
      <c r="M5" s="16" t="s">
        <v>490</v>
      </c>
      <c r="N5" s="16">
        <f t="shared" si="0"/>
        <v>1643.1316948576643</v>
      </c>
      <c r="O5" s="16" t="s">
        <v>451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s="16" customFormat="1" ht="16" x14ac:dyDescent="0.2">
      <c r="A6" s="16">
        <v>1197</v>
      </c>
      <c r="B6" s="16" t="s">
        <v>442</v>
      </c>
      <c r="C6" s="16" t="s">
        <v>726</v>
      </c>
      <c r="D6" s="16" t="s">
        <v>727</v>
      </c>
      <c r="E6" s="16" t="s">
        <v>446</v>
      </c>
      <c r="F6" s="16" t="s">
        <v>680</v>
      </c>
      <c r="G6" s="16" t="s">
        <v>728</v>
      </c>
      <c r="H6" s="17">
        <v>43626</v>
      </c>
      <c r="I6" s="16">
        <v>5</v>
      </c>
      <c r="J6" s="16">
        <v>70</v>
      </c>
      <c r="K6" s="16">
        <v>22.991045420847598</v>
      </c>
      <c r="L6" s="16" t="s">
        <v>451</v>
      </c>
      <c r="M6" s="16" t="s">
        <v>490</v>
      </c>
      <c r="N6" s="16">
        <f t="shared" si="0"/>
        <v>1642.2175300605429</v>
      </c>
      <c r="O6" s="16" t="s">
        <v>451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s="16" customFormat="1" ht="16" x14ac:dyDescent="0.2">
      <c r="A7" s="16">
        <v>1204</v>
      </c>
      <c r="B7" s="16" t="s">
        <v>442</v>
      </c>
      <c r="C7" s="16" t="s">
        <v>726</v>
      </c>
      <c r="D7" s="16" t="s">
        <v>727</v>
      </c>
      <c r="E7" s="16" t="s">
        <v>446</v>
      </c>
      <c r="F7" s="16" t="s">
        <v>680</v>
      </c>
      <c r="G7" s="16" t="s">
        <v>729</v>
      </c>
      <c r="H7" s="17">
        <v>43626</v>
      </c>
      <c r="I7" s="16">
        <v>5</v>
      </c>
      <c r="J7" s="16">
        <v>70</v>
      </c>
      <c r="K7" s="16">
        <v>6.6464905338407201</v>
      </c>
      <c r="L7" s="16" t="s">
        <v>451</v>
      </c>
      <c r="M7" s="16" t="s">
        <v>490</v>
      </c>
      <c r="N7" s="16">
        <f t="shared" si="0"/>
        <v>474.74932384576579</v>
      </c>
      <c r="O7" s="16" t="s">
        <v>451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s="18" customFormat="1" ht="16" x14ac:dyDescent="0.2">
      <c r="A8" s="16">
        <v>1210</v>
      </c>
      <c r="B8" s="16" t="s">
        <v>442</v>
      </c>
      <c r="C8" s="16" t="s">
        <v>726</v>
      </c>
      <c r="D8" s="16" t="s">
        <v>727</v>
      </c>
      <c r="E8" s="16" t="s">
        <v>446</v>
      </c>
      <c r="F8" s="16" t="s">
        <v>680</v>
      </c>
      <c r="G8" s="16" t="s">
        <v>729</v>
      </c>
      <c r="H8" s="17">
        <v>43626</v>
      </c>
      <c r="I8" s="16">
        <v>5</v>
      </c>
      <c r="J8" s="16">
        <v>70</v>
      </c>
      <c r="K8" s="16">
        <v>3.7704463627452101</v>
      </c>
      <c r="L8" s="16" t="s">
        <v>451</v>
      </c>
      <c r="M8" s="16" t="s">
        <v>490</v>
      </c>
      <c r="N8" s="16">
        <f t="shared" si="0"/>
        <v>269.31759733894359</v>
      </c>
      <c r="O8" s="16" t="s">
        <v>451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s="18" customFormat="1" ht="16" x14ac:dyDescent="0.2">
      <c r="A9" s="16">
        <v>1216</v>
      </c>
      <c r="B9" s="16" t="s">
        <v>442</v>
      </c>
      <c r="C9" s="16" t="s">
        <v>726</v>
      </c>
      <c r="D9" s="16" t="s">
        <v>727</v>
      </c>
      <c r="E9" s="16" t="s">
        <v>446</v>
      </c>
      <c r="F9" s="16" t="s">
        <v>680</v>
      </c>
      <c r="G9" s="16" t="s">
        <v>729</v>
      </c>
      <c r="H9" s="17">
        <v>43626</v>
      </c>
      <c r="I9" s="16">
        <v>5</v>
      </c>
      <c r="J9" s="16">
        <v>70</v>
      </c>
      <c r="K9" s="16">
        <v>6.9308900072636703</v>
      </c>
      <c r="L9" s="16" t="s">
        <v>451</v>
      </c>
      <c r="M9" s="16" t="s">
        <v>490</v>
      </c>
      <c r="N9" s="16">
        <f t="shared" si="0"/>
        <v>495.06357194740502</v>
      </c>
      <c r="O9" s="16" t="s">
        <v>451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s="18" customFormat="1" ht="16" x14ac:dyDescent="0.2">
      <c r="A10" s="16">
        <v>1184</v>
      </c>
      <c r="B10" s="16" t="s">
        <v>442</v>
      </c>
      <c r="C10" s="16" t="s">
        <v>726</v>
      </c>
      <c r="D10" s="16" t="s">
        <v>727</v>
      </c>
      <c r="E10" s="16" t="s">
        <v>446</v>
      </c>
      <c r="F10" s="16" t="s">
        <v>680</v>
      </c>
      <c r="G10" s="16" t="s">
        <v>730</v>
      </c>
      <c r="H10" s="17">
        <v>43626</v>
      </c>
      <c r="I10" s="16">
        <v>5</v>
      </c>
      <c r="J10" s="16">
        <v>70</v>
      </c>
      <c r="K10" s="16">
        <v>10.048836799723899</v>
      </c>
      <c r="L10" s="16" t="s">
        <v>451</v>
      </c>
      <c r="M10" s="16" t="s">
        <v>490</v>
      </c>
      <c r="N10" s="16">
        <f t="shared" si="0"/>
        <v>717.77405712313578</v>
      </c>
      <c r="O10" s="16" t="s">
        <v>451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s="18" customFormat="1" ht="16" x14ac:dyDescent="0.2">
      <c r="A11" s="16">
        <v>1191</v>
      </c>
      <c r="B11" s="16" t="s">
        <v>442</v>
      </c>
      <c r="C11" s="16" t="s">
        <v>726</v>
      </c>
      <c r="D11" s="16" t="s">
        <v>727</v>
      </c>
      <c r="E11" s="16" t="s">
        <v>446</v>
      </c>
      <c r="F11" s="16" t="s">
        <v>680</v>
      </c>
      <c r="G11" s="16" t="s">
        <v>730</v>
      </c>
      <c r="H11" s="17">
        <v>43626</v>
      </c>
      <c r="I11" s="16">
        <v>5</v>
      </c>
      <c r="J11" s="16">
        <v>70</v>
      </c>
      <c r="K11" s="16">
        <v>23.7172596013285</v>
      </c>
      <c r="L11" s="16" t="s">
        <v>451</v>
      </c>
      <c r="M11" s="16" t="s">
        <v>490</v>
      </c>
      <c r="N11" s="16">
        <f t="shared" si="0"/>
        <v>1694.0899715234643</v>
      </c>
      <c r="O11" s="16" t="s">
        <v>451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s="18" customFormat="1" ht="16" x14ac:dyDescent="0.2">
      <c r="A12" s="16">
        <v>1198</v>
      </c>
      <c r="B12" s="16" t="s">
        <v>442</v>
      </c>
      <c r="C12" s="16" t="s">
        <v>726</v>
      </c>
      <c r="D12" s="16" t="s">
        <v>727</v>
      </c>
      <c r="E12" s="16" t="s">
        <v>446</v>
      </c>
      <c r="F12" s="16" t="s">
        <v>680</v>
      </c>
      <c r="G12" s="16" t="s">
        <v>730</v>
      </c>
      <c r="H12" s="17">
        <v>43626</v>
      </c>
      <c r="I12" s="16">
        <v>5</v>
      </c>
      <c r="J12" s="16">
        <v>70</v>
      </c>
      <c r="K12" s="16">
        <v>19.2602353353033</v>
      </c>
      <c r="L12" s="16" t="s">
        <v>451</v>
      </c>
      <c r="M12" s="16" t="s">
        <v>490</v>
      </c>
      <c r="N12" s="16">
        <f t="shared" si="0"/>
        <v>1375.7310953788071</v>
      </c>
      <c r="O12" s="16" t="s">
        <v>451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s="18" customFormat="1" ht="16" x14ac:dyDescent="0.2">
      <c r="A13" s="18">
        <v>1205</v>
      </c>
      <c r="B13" s="18" t="s">
        <v>452</v>
      </c>
      <c r="C13" s="18" t="s">
        <v>726</v>
      </c>
      <c r="D13" s="18" t="s">
        <v>731</v>
      </c>
      <c r="E13" s="18" t="s">
        <v>446</v>
      </c>
      <c r="F13" s="18" t="s">
        <v>680</v>
      </c>
      <c r="G13" s="18" t="s">
        <v>732</v>
      </c>
      <c r="H13" s="19">
        <v>43627</v>
      </c>
      <c r="I13" s="18">
        <v>5</v>
      </c>
      <c r="J13" s="18">
        <v>60</v>
      </c>
      <c r="K13" s="18">
        <v>0</v>
      </c>
      <c r="L13" s="18" t="s">
        <v>451</v>
      </c>
      <c r="M13" s="18" t="s">
        <v>490</v>
      </c>
      <c r="N13" s="18">
        <f t="shared" si="0"/>
        <v>0</v>
      </c>
      <c r="O13" s="18" t="s">
        <v>451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s="18" customFormat="1" ht="16" x14ac:dyDescent="0.2">
      <c r="A14" s="18">
        <v>1211</v>
      </c>
      <c r="B14" s="18" t="s">
        <v>452</v>
      </c>
      <c r="C14" s="18" t="s">
        <v>726</v>
      </c>
      <c r="D14" s="18" t="s">
        <v>731</v>
      </c>
      <c r="E14" s="18" t="s">
        <v>446</v>
      </c>
      <c r="F14" s="18" t="s">
        <v>680</v>
      </c>
      <c r="G14" s="18" t="s">
        <v>732</v>
      </c>
      <c r="H14" s="19">
        <v>43627</v>
      </c>
      <c r="I14" s="18">
        <v>5</v>
      </c>
      <c r="J14" s="18">
        <v>60</v>
      </c>
      <c r="K14" s="18">
        <v>0</v>
      </c>
      <c r="L14" s="18" t="s">
        <v>451</v>
      </c>
      <c r="M14" s="18" t="s">
        <v>490</v>
      </c>
      <c r="N14" s="18">
        <f t="shared" si="0"/>
        <v>0</v>
      </c>
      <c r="O14" s="18" t="s">
        <v>451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s="18" customFormat="1" ht="16" x14ac:dyDescent="0.2">
      <c r="A15" s="18">
        <v>1217</v>
      </c>
      <c r="B15" s="18" t="s">
        <v>452</v>
      </c>
      <c r="C15" s="18" t="s">
        <v>726</v>
      </c>
      <c r="D15" s="18" t="s">
        <v>731</v>
      </c>
      <c r="E15" s="18" t="s">
        <v>446</v>
      </c>
      <c r="F15" s="18" t="s">
        <v>680</v>
      </c>
      <c r="G15" s="18" t="s">
        <v>732</v>
      </c>
      <c r="H15" s="19">
        <v>43627</v>
      </c>
      <c r="I15" s="18">
        <v>5</v>
      </c>
      <c r="J15" s="18">
        <v>60</v>
      </c>
      <c r="K15" s="18">
        <v>0</v>
      </c>
      <c r="L15" s="18" t="s">
        <v>451</v>
      </c>
      <c r="M15" s="18" t="s">
        <v>490</v>
      </c>
      <c r="N15" s="18">
        <f t="shared" si="0"/>
        <v>0</v>
      </c>
      <c r="O15" s="18" t="s">
        <v>451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s="18" customFormat="1" ht="16" x14ac:dyDescent="0.2">
      <c r="A16" s="18">
        <v>1185</v>
      </c>
      <c r="B16" s="18" t="s">
        <v>452</v>
      </c>
      <c r="C16" s="18" t="s">
        <v>726</v>
      </c>
      <c r="D16" s="18" t="s">
        <v>731</v>
      </c>
      <c r="E16" s="18" t="s">
        <v>446</v>
      </c>
      <c r="F16" s="18" t="s">
        <v>680</v>
      </c>
      <c r="G16" s="18" t="s">
        <v>733</v>
      </c>
      <c r="H16" s="19">
        <v>43627</v>
      </c>
      <c r="I16" s="18">
        <v>5</v>
      </c>
      <c r="J16" s="18">
        <v>60</v>
      </c>
      <c r="K16" s="18">
        <v>0</v>
      </c>
      <c r="L16" s="18" t="s">
        <v>451</v>
      </c>
      <c r="M16" s="18" t="s">
        <v>490</v>
      </c>
      <c r="N16" s="18">
        <f t="shared" si="0"/>
        <v>0</v>
      </c>
      <c r="O16" s="18" t="s">
        <v>451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s="18" customFormat="1" ht="16" x14ac:dyDescent="0.2">
      <c r="A17" s="18">
        <v>1192</v>
      </c>
      <c r="B17" s="18" t="s">
        <v>452</v>
      </c>
      <c r="C17" s="18" t="s">
        <v>726</v>
      </c>
      <c r="D17" s="18" t="s">
        <v>731</v>
      </c>
      <c r="E17" s="18" t="s">
        <v>446</v>
      </c>
      <c r="F17" s="18" t="s">
        <v>680</v>
      </c>
      <c r="G17" s="18" t="s">
        <v>733</v>
      </c>
      <c r="H17" s="19">
        <v>43627</v>
      </c>
      <c r="I17" s="18">
        <v>5</v>
      </c>
      <c r="J17" s="18">
        <v>60</v>
      </c>
      <c r="K17" s="18">
        <v>0</v>
      </c>
      <c r="L17" s="18" t="s">
        <v>451</v>
      </c>
      <c r="M17" s="18" t="s">
        <v>490</v>
      </c>
      <c r="N17" s="18">
        <f t="shared" si="0"/>
        <v>0</v>
      </c>
      <c r="O17" s="18" t="s">
        <v>451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s="18" customFormat="1" ht="16" x14ac:dyDescent="0.2">
      <c r="A18" s="18">
        <v>1199</v>
      </c>
      <c r="B18" s="18" t="s">
        <v>452</v>
      </c>
      <c r="C18" s="18" t="s">
        <v>726</v>
      </c>
      <c r="D18" s="18" t="s">
        <v>731</v>
      </c>
      <c r="E18" s="18" t="s">
        <v>446</v>
      </c>
      <c r="F18" s="18" t="s">
        <v>680</v>
      </c>
      <c r="G18" s="18" t="s">
        <v>733</v>
      </c>
      <c r="H18" s="19">
        <v>43627</v>
      </c>
      <c r="I18" s="18">
        <v>5</v>
      </c>
      <c r="J18" s="18">
        <v>60</v>
      </c>
      <c r="K18" s="18">
        <v>0</v>
      </c>
      <c r="L18" s="18" t="s">
        <v>451</v>
      </c>
      <c r="M18" s="18" t="s">
        <v>490</v>
      </c>
      <c r="N18" s="18">
        <f t="shared" si="0"/>
        <v>0</v>
      </c>
      <c r="O18" s="18" t="s">
        <v>451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s="18" customFormat="1" ht="16" x14ac:dyDescent="0.2">
      <c r="A19" s="18">
        <v>1206</v>
      </c>
      <c r="B19" s="18" t="s">
        <v>452</v>
      </c>
      <c r="C19" s="18" t="s">
        <v>726</v>
      </c>
      <c r="D19" s="18" t="s">
        <v>731</v>
      </c>
      <c r="E19" s="18" t="s">
        <v>446</v>
      </c>
      <c r="F19" s="18" t="s">
        <v>680</v>
      </c>
      <c r="G19" s="18" t="s">
        <v>734</v>
      </c>
      <c r="H19" s="19">
        <v>43627</v>
      </c>
      <c r="I19" s="18">
        <v>5</v>
      </c>
      <c r="J19" s="18">
        <v>60</v>
      </c>
      <c r="K19" s="18">
        <v>0</v>
      </c>
      <c r="L19" s="18" t="s">
        <v>451</v>
      </c>
      <c r="M19" s="18" t="s">
        <v>490</v>
      </c>
      <c r="N19" s="18">
        <f t="shared" si="0"/>
        <v>0</v>
      </c>
      <c r="O19" s="18" t="s">
        <v>451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s="18" customFormat="1" ht="16" x14ac:dyDescent="0.2">
      <c r="A20" s="18">
        <v>1212</v>
      </c>
      <c r="B20" s="18" t="s">
        <v>452</v>
      </c>
      <c r="C20" s="18" t="s">
        <v>726</v>
      </c>
      <c r="D20" s="18" t="s">
        <v>731</v>
      </c>
      <c r="E20" s="18" t="s">
        <v>446</v>
      </c>
      <c r="F20" s="18" t="s">
        <v>680</v>
      </c>
      <c r="G20" s="18" t="s">
        <v>734</v>
      </c>
      <c r="H20" s="19">
        <v>43627</v>
      </c>
      <c r="I20" s="18">
        <v>5</v>
      </c>
      <c r="J20" s="18">
        <v>60</v>
      </c>
      <c r="K20" s="18">
        <v>0</v>
      </c>
      <c r="L20" s="18" t="s">
        <v>451</v>
      </c>
      <c r="M20" s="18" t="s">
        <v>490</v>
      </c>
      <c r="N20" s="18">
        <f t="shared" si="0"/>
        <v>0</v>
      </c>
      <c r="O20" s="18" t="s">
        <v>451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s="18" customFormat="1" ht="16" x14ac:dyDescent="0.2">
      <c r="A21" s="18">
        <v>1218</v>
      </c>
      <c r="B21" s="18" t="s">
        <v>452</v>
      </c>
      <c r="C21" s="18" t="s">
        <v>726</v>
      </c>
      <c r="D21" s="18" t="s">
        <v>731</v>
      </c>
      <c r="E21" s="18" t="s">
        <v>446</v>
      </c>
      <c r="F21" s="18" t="s">
        <v>680</v>
      </c>
      <c r="G21" s="18" t="s">
        <v>734</v>
      </c>
      <c r="H21" s="19">
        <v>43627</v>
      </c>
      <c r="I21" s="18">
        <v>5</v>
      </c>
      <c r="J21" s="18">
        <v>60</v>
      </c>
      <c r="K21" s="18">
        <v>0</v>
      </c>
      <c r="L21" s="18" t="s">
        <v>451</v>
      </c>
      <c r="M21" s="18" t="s">
        <v>490</v>
      </c>
      <c r="N21" s="18">
        <f t="shared" si="0"/>
        <v>0</v>
      </c>
      <c r="O21" s="18" t="s">
        <v>451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s="18" customFormat="1" ht="16" x14ac:dyDescent="0.2">
      <c r="A22" s="16">
        <v>1186</v>
      </c>
      <c r="B22" s="16" t="s">
        <v>454</v>
      </c>
      <c r="C22" s="16" t="s">
        <v>726</v>
      </c>
      <c r="D22" s="16" t="s">
        <v>735</v>
      </c>
      <c r="E22" s="16" t="s">
        <v>446</v>
      </c>
      <c r="F22" s="16" t="s">
        <v>680</v>
      </c>
      <c r="G22" s="16" t="s">
        <v>736</v>
      </c>
      <c r="H22" s="17">
        <v>43627</v>
      </c>
      <c r="I22" s="16">
        <v>5</v>
      </c>
      <c r="J22" s="16">
        <v>50</v>
      </c>
      <c r="K22" s="16">
        <v>0</v>
      </c>
      <c r="L22" s="16" t="s">
        <v>451</v>
      </c>
      <c r="M22" s="16" t="s">
        <v>490</v>
      </c>
      <c r="N22" s="16">
        <f t="shared" si="0"/>
        <v>0</v>
      </c>
      <c r="O22" s="16" t="s">
        <v>451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s="18" customFormat="1" ht="16" x14ac:dyDescent="0.2">
      <c r="A23" s="16">
        <v>1193</v>
      </c>
      <c r="B23" s="16" t="s">
        <v>454</v>
      </c>
      <c r="C23" s="16" t="s">
        <v>726</v>
      </c>
      <c r="D23" s="16" t="s">
        <v>735</v>
      </c>
      <c r="E23" s="16" t="s">
        <v>446</v>
      </c>
      <c r="F23" s="16" t="s">
        <v>680</v>
      </c>
      <c r="G23" s="16" t="s">
        <v>736</v>
      </c>
      <c r="H23" s="17">
        <v>43627</v>
      </c>
      <c r="I23" s="16">
        <v>5</v>
      </c>
      <c r="J23" s="16">
        <v>50</v>
      </c>
      <c r="K23" s="16">
        <v>0</v>
      </c>
      <c r="L23" s="16" t="s">
        <v>451</v>
      </c>
      <c r="M23" s="16" t="s">
        <v>490</v>
      </c>
      <c r="N23" s="16">
        <f t="shared" si="0"/>
        <v>0</v>
      </c>
      <c r="O23" s="16" t="s">
        <v>451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s="18" customFormat="1" ht="16" x14ac:dyDescent="0.2">
      <c r="A24" s="16">
        <v>1200</v>
      </c>
      <c r="B24" s="16" t="s">
        <v>454</v>
      </c>
      <c r="C24" s="16" t="s">
        <v>726</v>
      </c>
      <c r="D24" s="16" t="s">
        <v>735</v>
      </c>
      <c r="E24" s="16" t="s">
        <v>446</v>
      </c>
      <c r="F24" s="16" t="s">
        <v>680</v>
      </c>
      <c r="G24" s="16" t="s">
        <v>736</v>
      </c>
      <c r="H24" s="17">
        <v>43627</v>
      </c>
      <c r="I24" s="16">
        <v>5</v>
      </c>
      <c r="J24" s="16">
        <v>50</v>
      </c>
      <c r="K24" s="16">
        <v>0</v>
      </c>
      <c r="L24" s="16" t="s">
        <v>451</v>
      </c>
      <c r="M24" s="16" t="s">
        <v>490</v>
      </c>
      <c r="N24" s="16">
        <f t="shared" si="0"/>
        <v>0</v>
      </c>
      <c r="O24" s="16" t="s">
        <v>451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s="18" customFormat="1" ht="16" x14ac:dyDescent="0.2">
      <c r="A25" s="16">
        <v>1207</v>
      </c>
      <c r="B25" s="16" t="s">
        <v>454</v>
      </c>
      <c r="C25" s="16" t="s">
        <v>726</v>
      </c>
      <c r="D25" s="16" t="s">
        <v>735</v>
      </c>
      <c r="E25" s="16" t="s">
        <v>446</v>
      </c>
      <c r="F25" s="16" t="s">
        <v>680</v>
      </c>
      <c r="G25" s="16" t="s">
        <v>737</v>
      </c>
      <c r="H25" s="17">
        <v>43627</v>
      </c>
      <c r="I25" s="16">
        <v>5</v>
      </c>
      <c r="J25" s="16">
        <v>50</v>
      </c>
      <c r="K25" s="16">
        <v>0</v>
      </c>
      <c r="L25" s="16" t="s">
        <v>451</v>
      </c>
      <c r="M25" s="16" t="s">
        <v>490</v>
      </c>
      <c r="N25" s="16">
        <f t="shared" si="0"/>
        <v>0</v>
      </c>
      <c r="O25" s="16" t="s">
        <v>451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s="18" customFormat="1" ht="16" x14ac:dyDescent="0.2">
      <c r="A26" s="16">
        <v>1213</v>
      </c>
      <c r="B26" s="16" t="s">
        <v>454</v>
      </c>
      <c r="C26" s="16" t="s">
        <v>726</v>
      </c>
      <c r="D26" s="16" t="s">
        <v>735</v>
      </c>
      <c r="E26" s="16" t="s">
        <v>446</v>
      </c>
      <c r="F26" s="16" t="s">
        <v>680</v>
      </c>
      <c r="G26" s="16" t="s">
        <v>737</v>
      </c>
      <c r="H26" s="17">
        <v>43627</v>
      </c>
      <c r="I26" s="16">
        <v>5</v>
      </c>
      <c r="J26" s="16">
        <v>50</v>
      </c>
      <c r="K26" s="16">
        <v>0</v>
      </c>
      <c r="L26" s="16" t="s">
        <v>451</v>
      </c>
      <c r="M26" s="16" t="s">
        <v>490</v>
      </c>
      <c r="N26" s="16">
        <f t="shared" si="0"/>
        <v>0</v>
      </c>
      <c r="O26" s="16" t="s">
        <v>451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s="18" customFormat="1" ht="16" x14ac:dyDescent="0.2">
      <c r="A27" s="16">
        <v>1219</v>
      </c>
      <c r="B27" s="16" t="s">
        <v>454</v>
      </c>
      <c r="C27" s="16" t="s">
        <v>726</v>
      </c>
      <c r="D27" s="16" t="s">
        <v>735</v>
      </c>
      <c r="E27" s="16" t="s">
        <v>446</v>
      </c>
      <c r="F27" s="16" t="s">
        <v>680</v>
      </c>
      <c r="G27" s="16" t="s">
        <v>737</v>
      </c>
      <c r="H27" s="17">
        <v>43627</v>
      </c>
      <c r="I27" s="16">
        <v>5</v>
      </c>
      <c r="J27" s="16">
        <v>50</v>
      </c>
      <c r="K27" s="16">
        <v>0</v>
      </c>
      <c r="L27" s="16" t="s">
        <v>451</v>
      </c>
      <c r="M27" s="16" t="s">
        <v>490</v>
      </c>
      <c r="N27" s="16">
        <f t="shared" si="0"/>
        <v>0</v>
      </c>
      <c r="O27" s="16" t="s">
        <v>451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s="18" customFormat="1" ht="16" x14ac:dyDescent="0.2">
      <c r="A28" s="16">
        <v>1187</v>
      </c>
      <c r="B28" s="16" t="s">
        <v>454</v>
      </c>
      <c r="C28" s="16" t="s">
        <v>726</v>
      </c>
      <c r="D28" s="16" t="s">
        <v>735</v>
      </c>
      <c r="E28" s="16" t="s">
        <v>446</v>
      </c>
      <c r="F28" s="16" t="s">
        <v>680</v>
      </c>
      <c r="G28" s="16" t="s">
        <v>738</v>
      </c>
      <c r="H28" s="17">
        <v>43627</v>
      </c>
      <c r="I28" s="16">
        <v>5</v>
      </c>
      <c r="J28" s="16">
        <v>50</v>
      </c>
      <c r="K28" s="16">
        <v>0</v>
      </c>
      <c r="L28" s="16" t="s">
        <v>451</v>
      </c>
      <c r="M28" s="16" t="s">
        <v>490</v>
      </c>
      <c r="N28" s="16">
        <f t="shared" si="0"/>
        <v>0</v>
      </c>
      <c r="O28" s="16" t="s">
        <v>451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s="18" customFormat="1" ht="16" x14ac:dyDescent="0.2">
      <c r="A29" s="16">
        <v>1194</v>
      </c>
      <c r="B29" s="16" t="s">
        <v>454</v>
      </c>
      <c r="C29" s="16" t="s">
        <v>726</v>
      </c>
      <c r="D29" s="16" t="s">
        <v>735</v>
      </c>
      <c r="E29" s="16" t="s">
        <v>446</v>
      </c>
      <c r="F29" s="16" t="s">
        <v>680</v>
      </c>
      <c r="G29" s="16" t="s">
        <v>738</v>
      </c>
      <c r="H29" s="17">
        <v>43627</v>
      </c>
      <c r="I29" s="16">
        <v>5</v>
      </c>
      <c r="J29" s="16">
        <v>50</v>
      </c>
      <c r="K29" s="16">
        <v>0</v>
      </c>
      <c r="L29" s="16" t="s">
        <v>451</v>
      </c>
      <c r="M29" s="16" t="s">
        <v>490</v>
      </c>
      <c r="N29" s="16">
        <f t="shared" si="0"/>
        <v>0</v>
      </c>
      <c r="O29" s="16" t="s">
        <v>451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s="18" customFormat="1" ht="16" x14ac:dyDescent="0.2">
      <c r="A30" s="16">
        <v>1201</v>
      </c>
      <c r="B30" s="16" t="s">
        <v>454</v>
      </c>
      <c r="C30" s="16" t="s">
        <v>726</v>
      </c>
      <c r="D30" s="16" t="s">
        <v>735</v>
      </c>
      <c r="E30" s="16" t="s">
        <v>446</v>
      </c>
      <c r="F30" s="16" t="s">
        <v>680</v>
      </c>
      <c r="G30" s="16" t="s">
        <v>738</v>
      </c>
      <c r="H30" s="17">
        <v>43627</v>
      </c>
      <c r="I30" s="16">
        <v>5</v>
      </c>
      <c r="J30" s="16">
        <v>50</v>
      </c>
      <c r="K30" s="16">
        <v>0</v>
      </c>
      <c r="L30" s="16" t="s">
        <v>451</v>
      </c>
      <c r="M30" s="16" t="s">
        <v>490</v>
      </c>
      <c r="N30" s="16">
        <f t="shared" si="0"/>
        <v>0</v>
      </c>
      <c r="O30" s="16" t="s">
        <v>451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s="18" customFormat="1" ht="16" x14ac:dyDescent="0.2">
      <c r="A31" s="18">
        <v>1188</v>
      </c>
      <c r="B31" s="18" t="s">
        <v>456</v>
      </c>
      <c r="C31" s="18" t="s">
        <v>739</v>
      </c>
      <c r="D31" s="18" t="s">
        <v>740</v>
      </c>
      <c r="E31" s="18" t="s">
        <v>458</v>
      </c>
      <c r="F31" s="18" t="s">
        <v>680</v>
      </c>
      <c r="G31" s="18" t="s">
        <v>741</v>
      </c>
      <c r="H31" s="19">
        <v>43627</v>
      </c>
      <c r="I31" s="18">
        <v>5</v>
      </c>
      <c r="J31" s="18">
        <v>120</v>
      </c>
      <c r="K31" s="18">
        <v>4.9529328255862799</v>
      </c>
      <c r="L31" s="18" t="s">
        <v>451</v>
      </c>
      <c r="M31" s="18" t="s">
        <v>490</v>
      </c>
      <c r="N31" s="18">
        <f t="shared" si="0"/>
        <v>206.37220106609502</v>
      </c>
      <c r="O31" s="18" t="s">
        <v>451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s="18" customFormat="1" ht="16" x14ac:dyDescent="0.2">
      <c r="A32" s="18">
        <v>1195</v>
      </c>
      <c r="B32" s="18" t="s">
        <v>456</v>
      </c>
      <c r="C32" s="18" t="s">
        <v>739</v>
      </c>
      <c r="D32" s="18" t="s">
        <v>740</v>
      </c>
      <c r="E32" s="18" t="s">
        <v>458</v>
      </c>
      <c r="F32" s="18" t="s">
        <v>680</v>
      </c>
      <c r="G32" s="18" t="s">
        <v>741</v>
      </c>
      <c r="H32" s="19">
        <v>43627</v>
      </c>
      <c r="I32" s="18">
        <v>5</v>
      </c>
      <c r="J32" s="18">
        <v>120</v>
      </c>
      <c r="K32" s="18">
        <v>0</v>
      </c>
      <c r="L32" s="18" t="s">
        <v>451</v>
      </c>
      <c r="M32" s="18" t="s">
        <v>490</v>
      </c>
      <c r="N32" s="18">
        <f t="shared" si="0"/>
        <v>0</v>
      </c>
      <c r="O32" s="18" t="s">
        <v>451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s="18" customFormat="1" ht="16" x14ac:dyDescent="0.2">
      <c r="A33" s="18">
        <v>1202</v>
      </c>
      <c r="B33" s="18" t="s">
        <v>456</v>
      </c>
      <c r="C33" s="18" t="s">
        <v>739</v>
      </c>
      <c r="D33" s="18" t="s">
        <v>740</v>
      </c>
      <c r="E33" s="18" t="s">
        <v>458</v>
      </c>
      <c r="F33" s="18" t="s">
        <v>680</v>
      </c>
      <c r="G33" s="18" t="s">
        <v>741</v>
      </c>
      <c r="H33" s="19">
        <v>43627</v>
      </c>
      <c r="I33" s="18">
        <v>5</v>
      </c>
      <c r="J33" s="18">
        <v>120</v>
      </c>
      <c r="K33" s="18">
        <v>0</v>
      </c>
      <c r="L33" s="18" t="s">
        <v>451</v>
      </c>
      <c r="M33" s="18" t="s">
        <v>490</v>
      </c>
      <c r="N33" s="18">
        <f t="shared" si="0"/>
        <v>0</v>
      </c>
      <c r="O33" s="18" t="s">
        <v>451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s="18" customFormat="1" ht="16" x14ac:dyDescent="0.2">
      <c r="A34" s="18">
        <v>1208</v>
      </c>
      <c r="B34" s="18" t="s">
        <v>456</v>
      </c>
      <c r="C34" s="18" t="s">
        <v>739</v>
      </c>
      <c r="D34" s="18" t="s">
        <v>740</v>
      </c>
      <c r="E34" s="18" t="s">
        <v>458</v>
      </c>
      <c r="F34" s="18" t="s">
        <v>680</v>
      </c>
      <c r="G34" s="18" t="s">
        <v>742</v>
      </c>
      <c r="H34" s="19">
        <v>43627</v>
      </c>
      <c r="I34" s="18">
        <v>5</v>
      </c>
      <c r="J34" s="18">
        <v>120</v>
      </c>
      <c r="K34" s="18">
        <v>0</v>
      </c>
      <c r="L34" s="18" t="s">
        <v>451</v>
      </c>
      <c r="M34" s="18" t="s">
        <v>490</v>
      </c>
      <c r="N34" s="18">
        <f t="shared" si="0"/>
        <v>0</v>
      </c>
      <c r="O34" s="18" t="s">
        <v>451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s="16" customFormat="1" ht="16" x14ac:dyDescent="0.2">
      <c r="A35" s="18">
        <v>1214</v>
      </c>
      <c r="B35" s="18" t="s">
        <v>456</v>
      </c>
      <c r="C35" s="18" t="s">
        <v>739</v>
      </c>
      <c r="D35" s="18" t="s">
        <v>740</v>
      </c>
      <c r="E35" s="18" t="s">
        <v>458</v>
      </c>
      <c r="F35" s="18" t="s">
        <v>680</v>
      </c>
      <c r="G35" s="18" t="s">
        <v>742</v>
      </c>
      <c r="H35" s="19">
        <v>43627</v>
      </c>
      <c r="I35" s="18">
        <v>5</v>
      </c>
      <c r="J35" s="18">
        <v>120</v>
      </c>
      <c r="K35" s="18">
        <v>6.3825466787347001</v>
      </c>
      <c r="L35" s="18" t="s">
        <v>451</v>
      </c>
      <c r="M35" s="18" t="s">
        <v>490</v>
      </c>
      <c r="N35" s="18">
        <f t="shared" si="0"/>
        <v>265.93944494727918</v>
      </c>
      <c r="O35" s="18" t="s">
        <v>451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s="16" customFormat="1" ht="16" x14ac:dyDescent="0.2">
      <c r="A36" s="18">
        <v>1220</v>
      </c>
      <c r="B36" s="18" t="s">
        <v>456</v>
      </c>
      <c r="C36" s="18" t="s">
        <v>739</v>
      </c>
      <c r="D36" s="18" t="s">
        <v>740</v>
      </c>
      <c r="E36" s="18" t="s">
        <v>458</v>
      </c>
      <c r="F36" s="18" t="s">
        <v>680</v>
      </c>
      <c r="G36" s="18" t="s">
        <v>742</v>
      </c>
      <c r="H36" s="19">
        <v>43627</v>
      </c>
      <c r="I36" s="18">
        <v>5</v>
      </c>
      <c r="J36" s="18">
        <v>120</v>
      </c>
      <c r="K36" s="18">
        <v>8.8836285757016196</v>
      </c>
      <c r="L36" s="18" t="s">
        <v>451</v>
      </c>
      <c r="M36" s="18" t="s">
        <v>490</v>
      </c>
      <c r="N36" s="18">
        <f t="shared" si="0"/>
        <v>370.1511906542342</v>
      </c>
      <c r="O36" s="18" t="s">
        <v>451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s="16" customFormat="1" ht="16" x14ac:dyDescent="0.2">
      <c r="A37" s="18">
        <v>1189</v>
      </c>
      <c r="B37" s="18" t="s">
        <v>456</v>
      </c>
      <c r="C37" s="18" t="s">
        <v>739</v>
      </c>
      <c r="D37" s="18" t="s">
        <v>740</v>
      </c>
      <c r="E37" s="18" t="s">
        <v>458</v>
      </c>
      <c r="F37" s="18" t="s">
        <v>680</v>
      </c>
      <c r="G37" s="18" t="s">
        <v>743</v>
      </c>
      <c r="H37" s="19">
        <v>43627</v>
      </c>
      <c r="I37" s="18">
        <v>5</v>
      </c>
      <c r="J37" s="18">
        <v>120</v>
      </c>
      <c r="K37" s="18">
        <v>9.0798885096198294</v>
      </c>
      <c r="L37" s="18" t="s">
        <v>451</v>
      </c>
      <c r="M37" s="18" t="s">
        <v>490</v>
      </c>
      <c r="N37" s="18">
        <f t="shared" si="0"/>
        <v>378.32868790082625</v>
      </c>
      <c r="O37" s="18" t="s">
        <v>451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s="16" customFormat="1" ht="16" x14ac:dyDescent="0.2">
      <c r="A38" s="18">
        <v>1196</v>
      </c>
      <c r="B38" s="18" t="s">
        <v>456</v>
      </c>
      <c r="C38" s="18" t="s">
        <v>739</v>
      </c>
      <c r="D38" s="18" t="s">
        <v>740</v>
      </c>
      <c r="E38" s="18" t="s">
        <v>458</v>
      </c>
      <c r="F38" s="18" t="s">
        <v>680</v>
      </c>
      <c r="G38" s="18" t="s">
        <v>743</v>
      </c>
      <c r="H38" s="19">
        <v>43627</v>
      </c>
      <c r="I38" s="18">
        <v>5</v>
      </c>
      <c r="J38" s="18">
        <v>120</v>
      </c>
      <c r="K38" s="18">
        <v>0</v>
      </c>
      <c r="L38" s="18" t="s">
        <v>451</v>
      </c>
      <c r="M38" s="18" t="s">
        <v>490</v>
      </c>
      <c r="N38" s="18">
        <f t="shared" si="0"/>
        <v>0</v>
      </c>
      <c r="O38" s="18" t="s">
        <v>451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s="16" customFormat="1" ht="16" x14ac:dyDescent="0.2">
      <c r="A39" s="18">
        <v>1203</v>
      </c>
      <c r="B39" s="18" t="s">
        <v>456</v>
      </c>
      <c r="C39" s="18" t="s">
        <v>739</v>
      </c>
      <c r="D39" s="18" t="s">
        <v>740</v>
      </c>
      <c r="E39" s="18" t="s">
        <v>458</v>
      </c>
      <c r="F39" s="18" t="s">
        <v>680</v>
      </c>
      <c r="G39" s="18" t="s">
        <v>743</v>
      </c>
      <c r="H39" s="19">
        <v>43627</v>
      </c>
      <c r="I39" s="18">
        <v>5</v>
      </c>
      <c r="J39" s="18">
        <v>120</v>
      </c>
      <c r="K39" s="18">
        <v>0</v>
      </c>
      <c r="L39" s="18" t="s">
        <v>451</v>
      </c>
      <c r="M39" s="18" t="s">
        <v>490</v>
      </c>
      <c r="N39" s="18">
        <f t="shared" si="0"/>
        <v>0</v>
      </c>
      <c r="O39" s="18" t="s">
        <v>451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s="16" customFormat="1" ht="16" x14ac:dyDescent="0.2">
      <c r="A40" s="16">
        <v>1209</v>
      </c>
      <c r="B40" s="16" t="s">
        <v>460</v>
      </c>
      <c r="C40" s="16" t="s">
        <v>739</v>
      </c>
      <c r="D40" s="16" t="s">
        <v>744</v>
      </c>
      <c r="E40" s="16" t="s">
        <v>458</v>
      </c>
      <c r="F40" s="16" t="s">
        <v>680</v>
      </c>
      <c r="G40" s="16" t="s">
        <v>745</v>
      </c>
      <c r="H40" s="17">
        <v>43628</v>
      </c>
      <c r="I40" s="16">
        <v>5</v>
      </c>
      <c r="J40" s="16">
        <v>70</v>
      </c>
      <c r="K40" s="16">
        <v>0</v>
      </c>
      <c r="L40" s="16" t="s">
        <v>451</v>
      </c>
      <c r="M40" s="16" t="s">
        <v>490</v>
      </c>
      <c r="N40" s="16">
        <f t="shared" si="0"/>
        <v>0</v>
      </c>
      <c r="O40" s="16" t="s">
        <v>746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s="16" customFormat="1" ht="16" x14ac:dyDescent="0.2">
      <c r="A41" s="16">
        <v>1215</v>
      </c>
      <c r="B41" s="16" t="s">
        <v>460</v>
      </c>
      <c r="C41" s="16" t="s">
        <v>739</v>
      </c>
      <c r="D41" s="16" t="s">
        <v>744</v>
      </c>
      <c r="E41" s="16" t="s">
        <v>458</v>
      </c>
      <c r="F41" s="16" t="s">
        <v>680</v>
      </c>
      <c r="G41" s="16" t="s">
        <v>745</v>
      </c>
      <c r="H41" s="17">
        <v>43628</v>
      </c>
      <c r="I41" s="16">
        <v>5</v>
      </c>
      <c r="J41" s="16">
        <v>70</v>
      </c>
      <c r="K41" s="16">
        <v>4.0675975438068299</v>
      </c>
      <c r="L41" s="16" t="s">
        <v>451</v>
      </c>
      <c r="M41" s="16" t="s">
        <v>490</v>
      </c>
      <c r="N41" s="16">
        <f t="shared" si="0"/>
        <v>290.54268170048789</v>
      </c>
      <c r="O41" s="16" t="s">
        <v>746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s="16" customFormat="1" ht="16" x14ac:dyDescent="0.2">
      <c r="A42" s="16">
        <v>1221</v>
      </c>
      <c r="B42" s="16" t="s">
        <v>460</v>
      </c>
      <c r="C42" s="16" t="s">
        <v>739</v>
      </c>
      <c r="D42" s="16" t="s">
        <v>744</v>
      </c>
      <c r="E42" s="16" t="s">
        <v>458</v>
      </c>
      <c r="F42" s="16" t="s">
        <v>680</v>
      </c>
      <c r="G42" s="16" t="s">
        <v>745</v>
      </c>
      <c r="H42" s="17">
        <v>43628</v>
      </c>
      <c r="I42" s="16">
        <v>5</v>
      </c>
      <c r="J42" s="16">
        <v>70</v>
      </c>
      <c r="K42" s="16">
        <v>0</v>
      </c>
      <c r="L42" s="16" t="s">
        <v>451</v>
      </c>
      <c r="M42" s="16" t="s">
        <v>490</v>
      </c>
      <c r="N42" s="16">
        <f t="shared" si="0"/>
        <v>0</v>
      </c>
      <c r="O42" s="16" t="s">
        <v>746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s="16" customFormat="1" ht="16" x14ac:dyDescent="0.2">
      <c r="A43" s="16">
        <v>1222</v>
      </c>
      <c r="B43" s="16" t="s">
        <v>460</v>
      </c>
      <c r="C43" s="16" t="s">
        <v>739</v>
      </c>
      <c r="D43" s="16" t="s">
        <v>744</v>
      </c>
      <c r="E43" s="16" t="s">
        <v>458</v>
      </c>
      <c r="F43" s="16" t="s">
        <v>680</v>
      </c>
      <c r="G43" s="16" t="s">
        <v>747</v>
      </c>
      <c r="H43" s="17">
        <v>43628</v>
      </c>
      <c r="I43" s="16">
        <v>5</v>
      </c>
      <c r="J43" s="16">
        <v>70</v>
      </c>
      <c r="K43" s="16">
        <v>0</v>
      </c>
      <c r="L43" s="16" t="s">
        <v>451</v>
      </c>
      <c r="M43" s="16" t="s">
        <v>490</v>
      </c>
      <c r="N43" s="16">
        <f t="shared" si="0"/>
        <v>0</v>
      </c>
      <c r="O43" s="16" t="s">
        <v>746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s="16" customFormat="1" ht="16" x14ac:dyDescent="0.2">
      <c r="A44" s="16">
        <v>1229</v>
      </c>
      <c r="B44" s="16" t="s">
        <v>460</v>
      </c>
      <c r="C44" s="16" t="s">
        <v>739</v>
      </c>
      <c r="D44" s="16" t="s">
        <v>744</v>
      </c>
      <c r="E44" s="16" t="s">
        <v>458</v>
      </c>
      <c r="F44" s="16" t="s">
        <v>680</v>
      </c>
      <c r="G44" s="16" t="s">
        <v>747</v>
      </c>
      <c r="H44" s="17">
        <v>43628</v>
      </c>
      <c r="I44" s="16">
        <v>5</v>
      </c>
      <c r="J44" s="16">
        <v>70</v>
      </c>
      <c r="K44" s="16">
        <v>0</v>
      </c>
      <c r="L44" s="16" t="s">
        <v>451</v>
      </c>
      <c r="M44" s="16" t="s">
        <v>490</v>
      </c>
      <c r="N44" s="16">
        <f t="shared" si="0"/>
        <v>0</v>
      </c>
      <c r="O44" s="16" t="s">
        <v>746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s="16" customFormat="1" ht="16" x14ac:dyDescent="0.2">
      <c r="A45" s="16">
        <v>1236</v>
      </c>
      <c r="B45" s="16" t="s">
        <v>460</v>
      </c>
      <c r="C45" s="16" t="s">
        <v>739</v>
      </c>
      <c r="D45" s="16" t="s">
        <v>744</v>
      </c>
      <c r="E45" s="16" t="s">
        <v>458</v>
      </c>
      <c r="F45" s="16" t="s">
        <v>680</v>
      </c>
      <c r="G45" s="16" t="s">
        <v>747</v>
      </c>
      <c r="H45" s="17">
        <v>43628</v>
      </c>
      <c r="I45" s="16">
        <v>5</v>
      </c>
      <c r="J45" s="16">
        <v>70</v>
      </c>
      <c r="K45" s="16">
        <v>0</v>
      </c>
      <c r="L45" s="16" t="s">
        <v>451</v>
      </c>
      <c r="M45" s="16" t="s">
        <v>490</v>
      </c>
      <c r="N45" s="16">
        <f t="shared" si="0"/>
        <v>0</v>
      </c>
      <c r="O45" s="16" t="s">
        <v>746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s="16" customFormat="1" ht="16" x14ac:dyDescent="0.2">
      <c r="A46" s="18">
        <v>1243</v>
      </c>
      <c r="B46" s="18" t="s">
        <v>462</v>
      </c>
      <c r="C46" s="18" t="s">
        <v>739</v>
      </c>
      <c r="D46" s="18" t="s">
        <v>748</v>
      </c>
      <c r="E46" s="18" t="s">
        <v>458</v>
      </c>
      <c r="F46" s="18" t="s">
        <v>680</v>
      </c>
      <c r="G46" s="18" t="s">
        <v>749</v>
      </c>
      <c r="H46" s="19">
        <v>43628</v>
      </c>
      <c r="I46" s="18">
        <v>5</v>
      </c>
      <c r="J46" s="18">
        <v>50</v>
      </c>
      <c r="K46" s="18">
        <v>0</v>
      </c>
      <c r="L46" s="18" t="s">
        <v>490</v>
      </c>
      <c r="M46" s="18" t="s">
        <v>8</v>
      </c>
      <c r="N46" s="18">
        <f t="shared" si="0"/>
        <v>0</v>
      </c>
      <c r="O46" s="18" t="s">
        <v>750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s="16" customFormat="1" ht="16" x14ac:dyDescent="0.2">
      <c r="A47" s="18">
        <v>1250</v>
      </c>
      <c r="B47" s="18" t="s">
        <v>462</v>
      </c>
      <c r="C47" s="18" t="s">
        <v>739</v>
      </c>
      <c r="D47" s="18" t="s">
        <v>748</v>
      </c>
      <c r="E47" s="18" t="s">
        <v>458</v>
      </c>
      <c r="F47" s="18" t="s">
        <v>680</v>
      </c>
      <c r="G47" s="18" t="s">
        <v>749</v>
      </c>
      <c r="H47" s="19">
        <v>43628</v>
      </c>
      <c r="I47" s="18">
        <v>5</v>
      </c>
      <c r="J47" s="18">
        <v>50</v>
      </c>
      <c r="K47" s="18">
        <v>1.76405625955893</v>
      </c>
      <c r="L47" s="18" t="s">
        <v>490</v>
      </c>
      <c r="M47" s="18" t="s">
        <v>8</v>
      </c>
      <c r="N47" s="18">
        <f t="shared" si="0"/>
        <v>176.40562595589302</v>
      </c>
      <c r="O47" s="18" t="s">
        <v>750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s="16" customFormat="1" ht="16" x14ac:dyDescent="0.2">
      <c r="A48" s="18">
        <v>1257</v>
      </c>
      <c r="B48" s="18" t="s">
        <v>462</v>
      </c>
      <c r="C48" s="18" t="s">
        <v>739</v>
      </c>
      <c r="D48" s="18" t="s">
        <v>748</v>
      </c>
      <c r="E48" s="18" t="s">
        <v>458</v>
      </c>
      <c r="F48" s="18" t="s">
        <v>680</v>
      </c>
      <c r="G48" s="18" t="s">
        <v>749</v>
      </c>
      <c r="H48" s="19">
        <v>43628</v>
      </c>
      <c r="I48" s="18">
        <v>5</v>
      </c>
      <c r="J48" s="18">
        <v>50</v>
      </c>
      <c r="K48" s="18">
        <v>0</v>
      </c>
      <c r="L48" s="18" t="s">
        <v>490</v>
      </c>
      <c r="M48" s="18" t="s">
        <v>8</v>
      </c>
      <c r="N48" s="18">
        <f t="shared" si="0"/>
        <v>0</v>
      </c>
      <c r="O48" s="18" t="s">
        <v>750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s="16" customFormat="1" ht="16" x14ac:dyDescent="0.2">
      <c r="A49" s="16">
        <v>1223</v>
      </c>
      <c r="B49" s="16" t="s">
        <v>464</v>
      </c>
      <c r="C49" s="16" t="s">
        <v>751</v>
      </c>
      <c r="D49" s="16" t="s">
        <v>752</v>
      </c>
      <c r="E49" s="16" t="s">
        <v>466</v>
      </c>
      <c r="F49" s="16" t="s">
        <v>680</v>
      </c>
      <c r="G49" s="16" t="s">
        <v>753</v>
      </c>
      <c r="H49" s="17">
        <v>43628</v>
      </c>
      <c r="I49" s="16">
        <v>5</v>
      </c>
      <c r="J49" s="16">
        <v>60</v>
      </c>
      <c r="K49" s="16">
        <v>0</v>
      </c>
      <c r="L49" s="16" t="s">
        <v>451</v>
      </c>
      <c r="M49" s="16" t="s">
        <v>490</v>
      </c>
      <c r="N49" s="16">
        <f t="shared" si="0"/>
        <v>0</v>
      </c>
      <c r="O49" s="16" t="s">
        <v>451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s="16" customFormat="1" ht="16" x14ac:dyDescent="0.2">
      <c r="A50" s="16">
        <v>1230</v>
      </c>
      <c r="B50" s="16" t="s">
        <v>464</v>
      </c>
      <c r="C50" s="16" t="s">
        <v>751</v>
      </c>
      <c r="D50" s="16" t="s">
        <v>752</v>
      </c>
      <c r="E50" s="16" t="s">
        <v>466</v>
      </c>
      <c r="F50" s="16" t="s">
        <v>680</v>
      </c>
      <c r="G50" s="16" t="s">
        <v>753</v>
      </c>
      <c r="H50" s="17">
        <v>43628</v>
      </c>
      <c r="I50" s="16">
        <v>5</v>
      </c>
      <c r="J50" s="16">
        <v>60</v>
      </c>
      <c r="K50" s="16">
        <v>0</v>
      </c>
      <c r="L50" s="16" t="s">
        <v>451</v>
      </c>
      <c r="M50" s="16" t="s">
        <v>490</v>
      </c>
      <c r="N50" s="16">
        <f t="shared" si="0"/>
        <v>0</v>
      </c>
      <c r="O50" s="16" t="s">
        <v>451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s="16" customFormat="1" ht="16" x14ac:dyDescent="0.2">
      <c r="A51" s="16">
        <v>1237</v>
      </c>
      <c r="B51" s="16" t="s">
        <v>464</v>
      </c>
      <c r="C51" s="16" t="s">
        <v>751</v>
      </c>
      <c r="D51" s="16" t="s">
        <v>752</v>
      </c>
      <c r="E51" s="16" t="s">
        <v>466</v>
      </c>
      <c r="F51" s="16" t="s">
        <v>680</v>
      </c>
      <c r="G51" s="16" t="s">
        <v>753</v>
      </c>
      <c r="H51" s="17">
        <v>43628</v>
      </c>
      <c r="I51" s="16">
        <v>5</v>
      </c>
      <c r="J51" s="16">
        <v>60</v>
      </c>
      <c r="K51" s="16">
        <v>0</v>
      </c>
      <c r="L51" s="16" t="s">
        <v>451</v>
      </c>
      <c r="M51" s="16" t="s">
        <v>490</v>
      </c>
      <c r="N51" s="16">
        <f t="shared" si="0"/>
        <v>0</v>
      </c>
      <c r="O51" s="16" t="s">
        <v>451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s="16" customFormat="1" ht="16" x14ac:dyDescent="0.2">
      <c r="A52" s="16">
        <v>1244</v>
      </c>
      <c r="B52" s="16" t="s">
        <v>464</v>
      </c>
      <c r="C52" s="16" t="s">
        <v>751</v>
      </c>
      <c r="D52" s="16" t="s">
        <v>752</v>
      </c>
      <c r="E52" s="16" t="s">
        <v>466</v>
      </c>
      <c r="F52" s="16" t="s">
        <v>680</v>
      </c>
      <c r="G52" s="16" t="s">
        <v>754</v>
      </c>
      <c r="H52" s="17">
        <v>43628</v>
      </c>
      <c r="I52" s="16">
        <v>5</v>
      </c>
      <c r="J52" s="16">
        <v>60</v>
      </c>
      <c r="K52" s="16">
        <v>0</v>
      </c>
      <c r="L52" s="16" t="s">
        <v>451</v>
      </c>
      <c r="M52" s="16" t="s">
        <v>490</v>
      </c>
      <c r="N52" s="16">
        <f t="shared" si="0"/>
        <v>0</v>
      </c>
      <c r="O52" s="16" t="s">
        <v>451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s="16" customFormat="1" ht="16" x14ac:dyDescent="0.2">
      <c r="A53" s="16">
        <v>1251</v>
      </c>
      <c r="B53" s="16" t="s">
        <v>464</v>
      </c>
      <c r="C53" s="16" t="s">
        <v>751</v>
      </c>
      <c r="D53" s="16" t="s">
        <v>752</v>
      </c>
      <c r="E53" s="16" t="s">
        <v>466</v>
      </c>
      <c r="F53" s="16" t="s">
        <v>680</v>
      </c>
      <c r="G53" s="16" t="s">
        <v>754</v>
      </c>
      <c r="H53" s="17">
        <v>43628</v>
      </c>
      <c r="I53" s="16">
        <v>5</v>
      </c>
      <c r="J53" s="16">
        <v>60</v>
      </c>
      <c r="K53" s="16">
        <v>0</v>
      </c>
      <c r="L53" s="16" t="s">
        <v>451</v>
      </c>
      <c r="M53" s="16" t="s">
        <v>490</v>
      </c>
      <c r="N53" s="16">
        <f t="shared" si="0"/>
        <v>0</v>
      </c>
      <c r="O53" s="16" t="s">
        <v>451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s="16" customFormat="1" ht="16" x14ac:dyDescent="0.2">
      <c r="A54" s="16">
        <v>1258</v>
      </c>
      <c r="B54" s="16" t="s">
        <v>464</v>
      </c>
      <c r="C54" s="16" t="s">
        <v>751</v>
      </c>
      <c r="D54" s="16" t="s">
        <v>752</v>
      </c>
      <c r="E54" s="16" t="s">
        <v>466</v>
      </c>
      <c r="F54" s="16" t="s">
        <v>680</v>
      </c>
      <c r="G54" s="16" t="s">
        <v>754</v>
      </c>
      <c r="H54" s="17">
        <v>43628</v>
      </c>
      <c r="I54" s="16">
        <v>5</v>
      </c>
      <c r="J54" s="16">
        <v>60</v>
      </c>
      <c r="K54" s="16">
        <v>0</v>
      </c>
      <c r="L54" s="16" t="s">
        <v>451</v>
      </c>
      <c r="M54" s="16" t="s">
        <v>490</v>
      </c>
      <c r="N54" s="16">
        <f t="shared" si="0"/>
        <v>0</v>
      </c>
      <c r="O54" s="16" t="s">
        <v>451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s="16" customFormat="1" ht="16" x14ac:dyDescent="0.2">
      <c r="A55" s="16">
        <v>1224</v>
      </c>
      <c r="B55" s="16" t="s">
        <v>464</v>
      </c>
      <c r="C55" s="16" t="s">
        <v>751</v>
      </c>
      <c r="D55" s="16" t="s">
        <v>752</v>
      </c>
      <c r="E55" s="16" t="s">
        <v>466</v>
      </c>
      <c r="F55" s="16" t="s">
        <v>680</v>
      </c>
      <c r="G55" s="16" t="s">
        <v>755</v>
      </c>
      <c r="H55" s="17">
        <v>43628</v>
      </c>
      <c r="I55" s="16">
        <v>5</v>
      </c>
      <c r="J55" s="16">
        <v>60</v>
      </c>
      <c r="K55" s="16">
        <v>0</v>
      </c>
      <c r="L55" s="16" t="s">
        <v>451</v>
      </c>
      <c r="M55" s="16" t="s">
        <v>490</v>
      </c>
      <c r="N55" s="16">
        <f t="shared" si="0"/>
        <v>0</v>
      </c>
      <c r="O55" s="16" t="s">
        <v>451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s="16" customFormat="1" ht="16" x14ac:dyDescent="0.2">
      <c r="A56" s="16">
        <v>1231</v>
      </c>
      <c r="B56" s="16" t="s">
        <v>464</v>
      </c>
      <c r="C56" s="16" t="s">
        <v>751</v>
      </c>
      <c r="D56" s="16" t="s">
        <v>752</v>
      </c>
      <c r="E56" s="16" t="s">
        <v>466</v>
      </c>
      <c r="F56" s="16" t="s">
        <v>680</v>
      </c>
      <c r="G56" s="16" t="s">
        <v>755</v>
      </c>
      <c r="H56" s="17">
        <v>43628</v>
      </c>
      <c r="I56" s="16">
        <v>5</v>
      </c>
      <c r="J56" s="16">
        <v>60</v>
      </c>
      <c r="K56" s="16">
        <v>0</v>
      </c>
      <c r="L56" s="16" t="s">
        <v>451</v>
      </c>
      <c r="M56" s="16" t="s">
        <v>490</v>
      </c>
      <c r="N56" s="16">
        <f t="shared" si="0"/>
        <v>0</v>
      </c>
      <c r="O56" s="16" t="s">
        <v>451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s="16" customFormat="1" ht="16" x14ac:dyDescent="0.2">
      <c r="A57" s="16">
        <v>1238</v>
      </c>
      <c r="B57" s="16" t="s">
        <v>464</v>
      </c>
      <c r="C57" s="16" t="s">
        <v>751</v>
      </c>
      <c r="D57" s="16" t="s">
        <v>752</v>
      </c>
      <c r="E57" s="16" t="s">
        <v>466</v>
      </c>
      <c r="F57" s="16" t="s">
        <v>680</v>
      </c>
      <c r="G57" s="16" t="s">
        <v>755</v>
      </c>
      <c r="H57" s="17">
        <v>43628</v>
      </c>
      <c r="I57" s="16">
        <v>5</v>
      </c>
      <c r="J57" s="16">
        <v>60</v>
      </c>
      <c r="K57" s="16">
        <v>0</v>
      </c>
      <c r="L57" s="16" t="s">
        <v>451</v>
      </c>
      <c r="M57" s="16" t="s">
        <v>490</v>
      </c>
      <c r="N57" s="16">
        <f t="shared" si="0"/>
        <v>0</v>
      </c>
      <c r="O57" s="16" t="s">
        <v>451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s="16" customFormat="1" ht="16" x14ac:dyDescent="0.2">
      <c r="A58" s="18">
        <v>1245</v>
      </c>
      <c r="B58" s="18" t="s">
        <v>468</v>
      </c>
      <c r="C58" s="18" t="s">
        <v>756</v>
      </c>
      <c r="D58" s="18" t="s">
        <v>757</v>
      </c>
      <c r="E58" s="18" t="s">
        <v>470</v>
      </c>
      <c r="F58" s="18" t="s">
        <v>680</v>
      </c>
      <c r="G58" s="18" t="s">
        <v>758</v>
      </c>
      <c r="H58" s="19">
        <v>43628</v>
      </c>
      <c r="I58" s="18">
        <v>5</v>
      </c>
      <c r="J58" s="18">
        <v>70</v>
      </c>
      <c r="K58" s="18">
        <v>38.910214292613801</v>
      </c>
      <c r="L58" s="18" t="s">
        <v>451</v>
      </c>
      <c r="M58" s="18" t="s">
        <v>451</v>
      </c>
      <c r="N58" s="18">
        <f t="shared" si="0"/>
        <v>2779.3010209009858</v>
      </c>
      <c r="O58" s="18" t="s">
        <v>451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s="16" customFormat="1" ht="16" x14ac:dyDescent="0.2">
      <c r="A59" s="18">
        <v>1252</v>
      </c>
      <c r="B59" s="18" t="s">
        <v>468</v>
      </c>
      <c r="C59" s="18" t="s">
        <v>756</v>
      </c>
      <c r="D59" s="18" t="s">
        <v>757</v>
      </c>
      <c r="E59" s="18" t="s">
        <v>470</v>
      </c>
      <c r="F59" s="18" t="s">
        <v>680</v>
      </c>
      <c r="G59" s="18" t="s">
        <v>758</v>
      </c>
      <c r="H59" s="19">
        <v>43628</v>
      </c>
      <c r="I59" s="18">
        <v>5</v>
      </c>
      <c r="J59" s="18">
        <v>70</v>
      </c>
      <c r="K59" s="18">
        <v>45.342637927965399</v>
      </c>
      <c r="L59" s="18" t="s">
        <v>451</v>
      </c>
      <c r="M59" s="18" t="s">
        <v>451</v>
      </c>
      <c r="N59" s="18">
        <f t="shared" si="0"/>
        <v>3238.7598519975286</v>
      </c>
      <c r="O59" s="18" t="s">
        <v>451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s="16" customFormat="1" ht="16" x14ac:dyDescent="0.2">
      <c r="A60" s="18">
        <v>1259</v>
      </c>
      <c r="B60" s="18" t="s">
        <v>468</v>
      </c>
      <c r="C60" s="18" t="s">
        <v>756</v>
      </c>
      <c r="D60" s="18" t="s">
        <v>757</v>
      </c>
      <c r="E60" s="18" t="s">
        <v>470</v>
      </c>
      <c r="F60" s="18" t="s">
        <v>680</v>
      </c>
      <c r="G60" s="18" t="s">
        <v>758</v>
      </c>
      <c r="H60" s="19">
        <v>43628</v>
      </c>
      <c r="I60" s="18">
        <v>5</v>
      </c>
      <c r="J60" s="18">
        <v>70</v>
      </c>
      <c r="K60" s="18">
        <v>49.597742782088702</v>
      </c>
      <c r="L60" s="18" t="s">
        <v>451</v>
      </c>
      <c r="M60" s="18" t="s">
        <v>451</v>
      </c>
      <c r="N60" s="18">
        <f t="shared" si="0"/>
        <v>3542.695913006336</v>
      </c>
      <c r="O60" s="18" t="s">
        <v>451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s="16" customFormat="1" ht="16" x14ac:dyDescent="0.2">
      <c r="A61" s="18">
        <v>1225</v>
      </c>
      <c r="B61" s="18" t="s">
        <v>468</v>
      </c>
      <c r="C61" s="18" t="s">
        <v>756</v>
      </c>
      <c r="D61" s="18" t="s">
        <v>757</v>
      </c>
      <c r="E61" s="18" t="s">
        <v>470</v>
      </c>
      <c r="F61" s="18" t="s">
        <v>680</v>
      </c>
      <c r="G61" s="18" t="s">
        <v>759</v>
      </c>
      <c r="H61" s="19">
        <v>43628</v>
      </c>
      <c r="I61" s="18">
        <v>5</v>
      </c>
      <c r="J61" s="18">
        <v>70</v>
      </c>
      <c r="K61" s="18">
        <v>41.253864250470698</v>
      </c>
      <c r="L61" s="18" t="s">
        <v>451</v>
      </c>
      <c r="M61" s="18" t="s">
        <v>451</v>
      </c>
      <c r="N61" s="18">
        <f t="shared" si="0"/>
        <v>2946.7045893193358</v>
      </c>
      <c r="O61" s="18" t="s">
        <v>451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s="16" customFormat="1" ht="16" x14ac:dyDescent="0.2">
      <c r="A62" s="18">
        <v>1232</v>
      </c>
      <c r="B62" s="18" t="s">
        <v>468</v>
      </c>
      <c r="C62" s="18" t="s">
        <v>756</v>
      </c>
      <c r="D62" s="18" t="s">
        <v>757</v>
      </c>
      <c r="E62" s="18" t="s">
        <v>470</v>
      </c>
      <c r="F62" s="18" t="s">
        <v>680</v>
      </c>
      <c r="G62" s="18" t="s">
        <v>759</v>
      </c>
      <c r="H62" s="19">
        <v>43628</v>
      </c>
      <c r="I62" s="18">
        <v>5</v>
      </c>
      <c r="J62" s="18">
        <v>70</v>
      </c>
      <c r="K62" s="18">
        <v>35.656892966434299</v>
      </c>
      <c r="L62" s="18" t="s">
        <v>451</v>
      </c>
      <c r="M62" s="18" t="s">
        <v>451</v>
      </c>
      <c r="N62" s="18">
        <f t="shared" si="0"/>
        <v>2546.9209261738788</v>
      </c>
      <c r="O62" s="18" t="s">
        <v>451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s="16" customFormat="1" ht="16" x14ac:dyDescent="0.2">
      <c r="A63" s="18">
        <v>1239</v>
      </c>
      <c r="B63" s="18" t="s">
        <v>468</v>
      </c>
      <c r="C63" s="18" t="s">
        <v>756</v>
      </c>
      <c r="D63" s="18" t="s">
        <v>757</v>
      </c>
      <c r="E63" s="18" t="s">
        <v>470</v>
      </c>
      <c r="F63" s="18" t="s">
        <v>680</v>
      </c>
      <c r="G63" s="18" t="s">
        <v>759</v>
      </c>
      <c r="H63" s="19">
        <v>43628</v>
      </c>
      <c r="I63" s="18">
        <v>5</v>
      </c>
      <c r="J63" s="18">
        <v>70</v>
      </c>
      <c r="K63" s="18">
        <v>31.749194752181001</v>
      </c>
      <c r="L63" s="18" t="s">
        <v>451</v>
      </c>
      <c r="M63" s="18" t="s">
        <v>451</v>
      </c>
      <c r="N63" s="18">
        <f t="shared" si="0"/>
        <v>2267.7996251557861</v>
      </c>
      <c r="O63" s="18" t="s">
        <v>451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s="16" customFormat="1" ht="16" x14ac:dyDescent="0.2">
      <c r="A64" s="18">
        <v>1246</v>
      </c>
      <c r="B64" s="18" t="s">
        <v>468</v>
      </c>
      <c r="C64" s="18" t="s">
        <v>756</v>
      </c>
      <c r="D64" s="18" t="s">
        <v>757</v>
      </c>
      <c r="E64" s="18" t="s">
        <v>470</v>
      </c>
      <c r="F64" s="18" t="s">
        <v>680</v>
      </c>
      <c r="G64" s="18" t="s">
        <v>760</v>
      </c>
      <c r="H64" s="19">
        <v>43628</v>
      </c>
      <c r="I64" s="18">
        <v>5</v>
      </c>
      <c r="J64" s="18">
        <v>70</v>
      </c>
      <c r="K64" s="18">
        <v>32.657078218468797</v>
      </c>
      <c r="L64" s="18" t="s">
        <v>451</v>
      </c>
      <c r="M64" s="18" t="s">
        <v>451</v>
      </c>
      <c r="N64" s="18">
        <f t="shared" si="0"/>
        <v>2332.6484441763428</v>
      </c>
      <c r="O64" s="18" t="s">
        <v>451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s="16" customFormat="1" ht="16" x14ac:dyDescent="0.2">
      <c r="A65" s="18">
        <v>1253</v>
      </c>
      <c r="B65" s="18" t="s">
        <v>468</v>
      </c>
      <c r="C65" s="18" t="s">
        <v>756</v>
      </c>
      <c r="D65" s="18" t="s">
        <v>757</v>
      </c>
      <c r="E65" s="18" t="s">
        <v>470</v>
      </c>
      <c r="F65" s="18" t="s">
        <v>680</v>
      </c>
      <c r="G65" s="18" t="s">
        <v>760</v>
      </c>
      <c r="H65" s="19">
        <v>43628</v>
      </c>
      <c r="I65" s="18">
        <v>5</v>
      </c>
      <c r="J65" s="18">
        <v>70</v>
      </c>
      <c r="K65" s="18">
        <v>47.408362019614103</v>
      </c>
      <c r="L65" s="18" t="s">
        <v>451</v>
      </c>
      <c r="M65" s="18" t="s">
        <v>451</v>
      </c>
      <c r="N65" s="18">
        <f t="shared" si="0"/>
        <v>3386.3115728295793</v>
      </c>
      <c r="O65" s="18" t="s">
        <v>451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s="16" customFormat="1" ht="16" x14ac:dyDescent="0.2">
      <c r="A66" s="18">
        <v>1260</v>
      </c>
      <c r="B66" s="18" t="s">
        <v>468</v>
      </c>
      <c r="C66" s="18" t="s">
        <v>756</v>
      </c>
      <c r="D66" s="18" t="s">
        <v>757</v>
      </c>
      <c r="E66" s="18" t="s">
        <v>470</v>
      </c>
      <c r="F66" s="18" t="s">
        <v>680</v>
      </c>
      <c r="G66" s="18" t="s">
        <v>760</v>
      </c>
      <c r="H66" s="19">
        <v>43628</v>
      </c>
      <c r="I66" s="18">
        <v>5</v>
      </c>
      <c r="J66" s="18">
        <v>70</v>
      </c>
      <c r="K66" s="18">
        <v>51.285615050794704</v>
      </c>
      <c r="L66" s="18" t="s">
        <v>451</v>
      </c>
      <c r="M66" s="18" t="s">
        <v>451</v>
      </c>
      <c r="N66" s="18">
        <f t="shared" si="0"/>
        <v>3663.2582179139076</v>
      </c>
      <c r="O66" s="18" t="s">
        <v>451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s="16" customFormat="1" ht="16" x14ac:dyDescent="0.2">
      <c r="A67" s="16">
        <v>1226</v>
      </c>
      <c r="B67" s="16" t="s">
        <v>472</v>
      </c>
      <c r="C67" s="16" t="s">
        <v>761</v>
      </c>
      <c r="D67" s="16" t="s">
        <v>762</v>
      </c>
      <c r="E67" s="16" t="s">
        <v>474</v>
      </c>
      <c r="F67" s="16" t="s">
        <v>680</v>
      </c>
      <c r="G67" s="16" t="s">
        <v>763</v>
      </c>
      <c r="H67" s="17">
        <v>43628</v>
      </c>
      <c r="I67" s="16">
        <v>5</v>
      </c>
      <c r="J67" s="16">
        <v>70</v>
      </c>
      <c r="K67" s="16">
        <v>1.0680187346767001</v>
      </c>
      <c r="L67" s="16" t="s">
        <v>451</v>
      </c>
      <c r="M67" s="16" t="s">
        <v>451</v>
      </c>
      <c r="N67" s="16">
        <f t="shared" si="0"/>
        <v>76.287052476907149</v>
      </c>
      <c r="O67" s="16" t="s">
        <v>451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s="16" customFormat="1" ht="16" x14ac:dyDescent="0.2">
      <c r="A68" s="16">
        <v>1233</v>
      </c>
      <c r="B68" s="16" t="s">
        <v>472</v>
      </c>
      <c r="C68" s="16" t="s">
        <v>761</v>
      </c>
      <c r="D68" s="16" t="s">
        <v>762</v>
      </c>
      <c r="E68" s="16" t="s">
        <v>474</v>
      </c>
      <c r="F68" s="16" t="s">
        <v>680</v>
      </c>
      <c r="G68" s="16" t="s">
        <v>763</v>
      </c>
      <c r="H68" s="17">
        <v>43628</v>
      </c>
      <c r="I68" s="16">
        <v>5</v>
      </c>
      <c r="J68" s="16">
        <v>70</v>
      </c>
      <c r="K68" s="16">
        <v>0</v>
      </c>
      <c r="L68" s="16" t="s">
        <v>451</v>
      </c>
      <c r="M68" s="16" t="s">
        <v>451</v>
      </c>
      <c r="N68" s="16">
        <f t="shared" ref="N68:N131" si="1">K68*I68*(1000/J68)</f>
        <v>0</v>
      </c>
      <c r="O68" s="16" t="s">
        <v>451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s="16" customFormat="1" ht="16" x14ac:dyDescent="0.2">
      <c r="A69" s="16">
        <v>1240</v>
      </c>
      <c r="B69" s="16" t="s">
        <v>472</v>
      </c>
      <c r="C69" s="16" t="s">
        <v>761</v>
      </c>
      <c r="D69" s="16" t="s">
        <v>762</v>
      </c>
      <c r="E69" s="16" t="s">
        <v>474</v>
      </c>
      <c r="F69" s="16" t="s">
        <v>680</v>
      </c>
      <c r="G69" s="16" t="s">
        <v>763</v>
      </c>
      <c r="H69" s="17">
        <v>43628</v>
      </c>
      <c r="I69" s="16">
        <v>5</v>
      </c>
      <c r="J69" s="16">
        <v>70</v>
      </c>
      <c r="K69" s="16">
        <v>0</v>
      </c>
      <c r="L69" s="16" t="s">
        <v>451</v>
      </c>
      <c r="M69" s="16" t="s">
        <v>451</v>
      </c>
      <c r="N69" s="16">
        <f t="shared" si="1"/>
        <v>0</v>
      </c>
      <c r="O69" s="16" t="s">
        <v>451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s="16" customFormat="1" ht="16" x14ac:dyDescent="0.2">
      <c r="A70" s="16">
        <v>1247</v>
      </c>
      <c r="B70" s="16" t="s">
        <v>472</v>
      </c>
      <c r="C70" s="16" t="s">
        <v>761</v>
      </c>
      <c r="D70" s="16" t="s">
        <v>762</v>
      </c>
      <c r="E70" s="16" t="s">
        <v>474</v>
      </c>
      <c r="F70" s="16" t="s">
        <v>680</v>
      </c>
      <c r="G70" s="16" t="s">
        <v>764</v>
      </c>
      <c r="H70" s="17">
        <v>43628</v>
      </c>
      <c r="I70" s="16">
        <v>5</v>
      </c>
      <c r="J70" s="16">
        <v>70</v>
      </c>
      <c r="K70" s="16">
        <v>1.9257024153976201</v>
      </c>
      <c r="L70" s="16" t="s">
        <v>451</v>
      </c>
      <c r="M70" s="16" t="s">
        <v>451</v>
      </c>
      <c r="N70" s="16">
        <f t="shared" si="1"/>
        <v>137.55017252840145</v>
      </c>
      <c r="O70" s="16" t="s">
        <v>451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s="18" customFormat="1" ht="16" x14ac:dyDescent="0.2">
      <c r="A71" s="16">
        <v>1254</v>
      </c>
      <c r="B71" s="16" t="s">
        <v>472</v>
      </c>
      <c r="C71" s="16" t="s">
        <v>761</v>
      </c>
      <c r="D71" s="16" t="s">
        <v>762</v>
      </c>
      <c r="E71" s="16" t="s">
        <v>474</v>
      </c>
      <c r="F71" s="16" t="s">
        <v>680</v>
      </c>
      <c r="G71" s="16" t="s">
        <v>764</v>
      </c>
      <c r="H71" s="17">
        <v>43628</v>
      </c>
      <c r="I71" s="16">
        <v>5</v>
      </c>
      <c r="J71" s="16">
        <v>70</v>
      </c>
      <c r="K71" s="16">
        <v>2.08744005703721</v>
      </c>
      <c r="L71" s="16" t="s">
        <v>451</v>
      </c>
      <c r="M71" s="16" t="s">
        <v>451</v>
      </c>
      <c r="N71" s="16">
        <f t="shared" si="1"/>
        <v>149.10286121694358</v>
      </c>
      <c r="O71" s="16" t="s">
        <v>451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s="18" customFormat="1" ht="16" x14ac:dyDescent="0.2">
      <c r="A72" s="16">
        <v>1261</v>
      </c>
      <c r="B72" s="16" t="s">
        <v>472</v>
      </c>
      <c r="C72" s="16" t="s">
        <v>761</v>
      </c>
      <c r="D72" s="16" t="s">
        <v>762</v>
      </c>
      <c r="E72" s="16" t="s">
        <v>474</v>
      </c>
      <c r="F72" s="16" t="s">
        <v>680</v>
      </c>
      <c r="G72" s="16" t="s">
        <v>764</v>
      </c>
      <c r="H72" s="17">
        <v>43628</v>
      </c>
      <c r="I72" s="16">
        <v>5</v>
      </c>
      <c r="J72" s="16">
        <v>70</v>
      </c>
      <c r="K72" s="16">
        <v>0</v>
      </c>
      <c r="L72" s="16" t="s">
        <v>451</v>
      </c>
      <c r="M72" s="16" t="s">
        <v>451</v>
      </c>
      <c r="N72" s="16">
        <f t="shared" si="1"/>
        <v>0</v>
      </c>
      <c r="O72" s="16" t="s">
        <v>451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s="18" customFormat="1" ht="16" x14ac:dyDescent="0.2">
      <c r="A73" s="16">
        <v>1227</v>
      </c>
      <c r="B73" s="16" t="s">
        <v>472</v>
      </c>
      <c r="C73" s="16" t="s">
        <v>761</v>
      </c>
      <c r="D73" s="16" t="s">
        <v>762</v>
      </c>
      <c r="E73" s="16" t="s">
        <v>474</v>
      </c>
      <c r="F73" s="16" t="s">
        <v>680</v>
      </c>
      <c r="G73" s="16" t="s">
        <v>765</v>
      </c>
      <c r="H73" s="17">
        <v>43628</v>
      </c>
      <c r="I73" s="16">
        <v>5</v>
      </c>
      <c r="J73" s="16">
        <v>70</v>
      </c>
      <c r="K73" s="16">
        <v>0</v>
      </c>
      <c r="L73" s="16" t="s">
        <v>451</v>
      </c>
      <c r="M73" s="16" t="s">
        <v>451</v>
      </c>
      <c r="N73" s="16">
        <f t="shared" si="1"/>
        <v>0</v>
      </c>
      <c r="O73" s="16" t="s">
        <v>451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s="18" customFormat="1" ht="16" x14ac:dyDescent="0.2">
      <c r="A74" s="16">
        <v>1234</v>
      </c>
      <c r="B74" s="16" t="s">
        <v>472</v>
      </c>
      <c r="C74" s="16" t="s">
        <v>761</v>
      </c>
      <c r="D74" s="16" t="s">
        <v>762</v>
      </c>
      <c r="E74" s="16" t="s">
        <v>474</v>
      </c>
      <c r="F74" s="16" t="s">
        <v>680</v>
      </c>
      <c r="G74" s="16" t="s">
        <v>765</v>
      </c>
      <c r="H74" s="17">
        <v>43628</v>
      </c>
      <c r="I74" s="16">
        <v>5</v>
      </c>
      <c r="J74" s="16">
        <v>70</v>
      </c>
      <c r="K74" s="16">
        <v>0</v>
      </c>
      <c r="L74" s="16" t="s">
        <v>451</v>
      </c>
      <c r="M74" s="16" t="s">
        <v>451</v>
      </c>
      <c r="N74" s="16">
        <f t="shared" si="1"/>
        <v>0</v>
      </c>
      <c r="O74" s="16" t="s">
        <v>451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s="18" customFormat="1" ht="16" x14ac:dyDescent="0.2">
      <c r="A75" s="16">
        <v>1241</v>
      </c>
      <c r="B75" s="16" t="s">
        <v>472</v>
      </c>
      <c r="C75" s="16" t="s">
        <v>761</v>
      </c>
      <c r="D75" s="16" t="s">
        <v>762</v>
      </c>
      <c r="E75" s="16" t="s">
        <v>474</v>
      </c>
      <c r="F75" s="16" t="s">
        <v>680</v>
      </c>
      <c r="G75" s="16" t="s">
        <v>765</v>
      </c>
      <c r="H75" s="17">
        <v>43628</v>
      </c>
      <c r="I75" s="16">
        <v>5</v>
      </c>
      <c r="J75" s="16">
        <v>70</v>
      </c>
      <c r="K75" s="16">
        <v>3.5899166956739399</v>
      </c>
      <c r="L75" s="16" t="s">
        <v>451</v>
      </c>
      <c r="M75" s="16" t="s">
        <v>451</v>
      </c>
      <c r="N75" s="16">
        <f t="shared" si="1"/>
        <v>256.42262111956717</v>
      </c>
      <c r="O75" s="16" t="s">
        <v>451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s="18" customFormat="1" ht="16" x14ac:dyDescent="0.2">
      <c r="A76" s="18">
        <v>1248</v>
      </c>
      <c r="B76" s="18" t="s">
        <v>476</v>
      </c>
      <c r="C76" s="18" t="s">
        <v>761</v>
      </c>
      <c r="D76" s="18" t="s">
        <v>766</v>
      </c>
      <c r="E76" s="18" t="s">
        <v>474</v>
      </c>
      <c r="F76" s="18" t="s">
        <v>680</v>
      </c>
      <c r="G76" s="18" t="s">
        <v>767</v>
      </c>
      <c r="H76" s="19">
        <v>43628</v>
      </c>
      <c r="I76" s="18">
        <v>5</v>
      </c>
      <c r="J76" s="18">
        <v>50</v>
      </c>
      <c r="K76" s="18">
        <v>0</v>
      </c>
      <c r="L76" s="18" t="s">
        <v>490</v>
      </c>
      <c r="M76" s="18" t="s">
        <v>8</v>
      </c>
      <c r="N76" s="18">
        <f t="shared" si="1"/>
        <v>0</v>
      </c>
      <c r="O76" s="20" t="s">
        <v>451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s="18" customFormat="1" ht="16" x14ac:dyDescent="0.2">
      <c r="A77" s="18">
        <v>1255</v>
      </c>
      <c r="B77" s="18" t="s">
        <v>476</v>
      </c>
      <c r="C77" s="18" t="s">
        <v>761</v>
      </c>
      <c r="D77" s="18" t="s">
        <v>766</v>
      </c>
      <c r="E77" s="18" t="s">
        <v>474</v>
      </c>
      <c r="F77" s="18" t="s">
        <v>680</v>
      </c>
      <c r="G77" s="18" t="s">
        <v>767</v>
      </c>
      <c r="H77" s="19">
        <v>43628</v>
      </c>
      <c r="I77" s="18">
        <v>5</v>
      </c>
      <c r="J77" s="18">
        <v>50</v>
      </c>
      <c r="K77" s="18">
        <v>1.17360435721377</v>
      </c>
      <c r="L77" s="18" t="s">
        <v>490</v>
      </c>
      <c r="M77" s="18" t="s">
        <v>8</v>
      </c>
      <c r="N77" s="18">
        <f t="shared" si="1"/>
        <v>117.360435721377</v>
      </c>
      <c r="O77" s="20" t="s">
        <v>451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s="18" customFormat="1" ht="16" x14ac:dyDescent="0.2">
      <c r="A78" s="18">
        <v>1262</v>
      </c>
      <c r="B78" s="18" t="s">
        <v>476</v>
      </c>
      <c r="C78" s="18" t="s">
        <v>761</v>
      </c>
      <c r="D78" s="18" t="s">
        <v>766</v>
      </c>
      <c r="E78" s="18" t="s">
        <v>474</v>
      </c>
      <c r="F78" s="18" t="s">
        <v>680</v>
      </c>
      <c r="G78" s="18" t="s">
        <v>767</v>
      </c>
      <c r="H78" s="19">
        <v>43628</v>
      </c>
      <c r="I78" s="18">
        <v>5</v>
      </c>
      <c r="J78" s="18">
        <v>50</v>
      </c>
      <c r="K78" s="18">
        <v>0</v>
      </c>
      <c r="L78" s="18" t="s">
        <v>490</v>
      </c>
      <c r="M78" s="18" t="s">
        <v>8</v>
      </c>
      <c r="N78" s="18">
        <f t="shared" si="1"/>
        <v>0</v>
      </c>
      <c r="O78" s="20" t="s">
        <v>451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s="18" customFormat="1" ht="16" x14ac:dyDescent="0.2">
      <c r="A79" s="18">
        <v>1228</v>
      </c>
      <c r="B79" s="18" t="s">
        <v>476</v>
      </c>
      <c r="C79" s="18" t="s">
        <v>761</v>
      </c>
      <c r="D79" s="18" t="s">
        <v>766</v>
      </c>
      <c r="E79" s="18" t="s">
        <v>474</v>
      </c>
      <c r="F79" s="18" t="s">
        <v>680</v>
      </c>
      <c r="G79" s="18" t="s">
        <v>768</v>
      </c>
      <c r="H79" s="19">
        <v>43628</v>
      </c>
      <c r="I79" s="18">
        <v>5</v>
      </c>
      <c r="J79" s="18">
        <v>50</v>
      </c>
      <c r="K79" s="18">
        <v>4.7814092139302202</v>
      </c>
      <c r="L79" s="18" t="s">
        <v>490</v>
      </c>
      <c r="M79" s="18" t="s">
        <v>8</v>
      </c>
      <c r="N79" s="18">
        <f t="shared" si="1"/>
        <v>478.14092139302204</v>
      </c>
      <c r="O79" s="20" t="s">
        <v>451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s="18" customFormat="1" ht="16" x14ac:dyDescent="0.2">
      <c r="A80" s="18">
        <v>1235</v>
      </c>
      <c r="B80" s="18" t="s">
        <v>476</v>
      </c>
      <c r="C80" s="18" t="s">
        <v>761</v>
      </c>
      <c r="D80" s="18" t="s">
        <v>766</v>
      </c>
      <c r="E80" s="18" t="s">
        <v>474</v>
      </c>
      <c r="F80" s="18" t="s">
        <v>680</v>
      </c>
      <c r="G80" s="18" t="s">
        <v>768</v>
      </c>
      <c r="H80" s="19">
        <v>43628</v>
      </c>
      <c r="I80" s="18">
        <v>5</v>
      </c>
      <c r="J80" s="18">
        <v>50</v>
      </c>
      <c r="K80" s="18">
        <v>2.93471693177078</v>
      </c>
      <c r="L80" s="18" t="s">
        <v>490</v>
      </c>
      <c r="M80" s="18" t="s">
        <v>8</v>
      </c>
      <c r="N80" s="18">
        <f t="shared" si="1"/>
        <v>293.47169317707801</v>
      </c>
      <c r="O80" s="20" t="s">
        <v>451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s="18" customFormat="1" ht="16" x14ac:dyDescent="0.2">
      <c r="A81" s="18">
        <v>1242</v>
      </c>
      <c r="B81" s="18" t="s">
        <v>476</v>
      </c>
      <c r="C81" s="18" t="s">
        <v>761</v>
      </c>
      <c r="D81" s="18" t="s">
        <v>766</v>
      </c>
      <c r="E81" s="18" t="s">
        <v>474</v>
      </c>
      <c r="F81" s="18" t="s">
        <v>680</v>
      </c>
      <c r="G81" s="18" t="s">
        <v>768</v>
      </c>
      <c r="H81" s="19">
        <v>43628</v>
      </c>
      <c r="I81" s="18">
        <v>5</v>
      </c>
      <c r="J81" s="18">
        <v>50</v>
      </c>
      <c r="K81" s="18">
        <v>0.164166357355614</v>
      </c>
      <c r="L81" s="18" t="s">
        <v>490</v>
      </c>
      <c r="M81" s="18" t="s">
        <v>8</v>
      </c>
      <c r="N81" s="18">
        <f t="shared" si="1"/>
        <v>16.4166357355614</v>
      </c>
      <c r="O81" s="20" t="s">
        <v>451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s="18" customFormat="1" ht="16" x14ac:dyDescent="0.2">
      <c r="A82" s="18">
        <v>1249</v>
      </c>
      <c r="B82" s="18" t="s">
        <v>476</v>
      </c>
      <c r="C82" s="18" t="s">
        <v>761</v>
      </c>
      <c r="D82" s="18" t="s">
        <v>766</v>
      </c>
      <c r="E82" s="18" t="s">
        <v>474</v>
      </c>
      <c r="F82" s="18" t="s">
        <v>680</v>
      </c>
      <c r="G82" s="18" t="s">
        <v>769</v>
      </c>
      <c r="H82" s="19">
        <v>43628</v>
      </c>
      <c r="I82" s="18">
        <v>5</v>
      </c>
      <c r="J82" s="18">
        <v>50</v>
      </c>
      <c r="K82" s="18">
        <v>0</v>
      </c>
      <c r="L82" s="18" t="s">
        <v>490</v>
      </c>
      <c r="M82" s="18" t="s">
        <v>8</v>
      </c>
      <c r="N82" s="18">
        <f t="shared" si="1"/>
        <v>0</v>
      </c>
      <c r="O82" s="20" t="s">
        <v>451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s="18" customFormat="1" ht="16" x14ac:dyDescent="0.2">
      <c r="A83" s="18">
        <v>1256</v>
      </c>
      <c r="B83" s="18" t="s">
        <v>476</v>
      </c>
      <c r="C83" s="18" t="s">
        <v>761</v>
      </c>
      <c r="D83" s="18" t="s">
        <v>766</v>
      </c>
      <c r="E83" s="18" t="s">
        <v>474</v>
      </c>
      <c r="F83" s="18" t="s">
        <v>680</v>
      </c>
      <c r="G83" s="18" t="s">
        <v>769</v>
      </c>
      <c r="H83" s="19">
        <v>43628</v>
      </c>
      <c r="I83" s="18">
        <v>5</v>
      </c>
      <c r="J83" s="18">
        <v>50</v>
      </c>
      <c r="K83" s="18">
        <v>0</v>
      </c>
      <c r="L83" s="18" t="s">
        <v>490</v>
      </c>
      <c r="M83" s="18" t="s">
        <v>8</v>
      </c>
      <c r="N83" s="18">
        <f t="shared" si="1"/>
        <v>0</v>
      </c>
      <c r="O83" s="20" t="s">
        <v>451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s="18" customFormat="1" ht="16" x14ac:dyDescent="0.2">
      <c r="A84" s="18">
        <v>1263</v>
      </c>
      <c r="B84" s="18" t="s">
        <v>476</v>
      </c>
      <c r="C84" s="18" t="s">
        <v>761</v>
      </c>
      <c r="D84" s="18" t="s">
        <v>766</v>
      </c>
      <c r="E84" s="18" t="s">
        <v>474</v>
      </c>
      <c r="F84" s="18" t="s">
        <v>680</v>
      </c>
      <c r="G84" s="18" t="s">
        <v>769</v>
      </c>
      <c r="H84" s="19">
        <v>43628</v>
      </c>
      <c r="I84" s="18">
        <v>5</v>
      </c>
      <c r="J84" s="18">
        <v>50</v>
      </c>
      <c r="K84" s="18">
        <v>0</v>
      </c>
      <c r="L84" s="18" t="s">
        <v>490</v>
      </c>
      <c r="M84" s="18" t="s">
        <v>8</v>
      </c>
      <c r="N84" s="18">
        <f t="shared" si="1"/>
        <v>0</v>
      </c>
      <c r="O84" s="20" t="s">
        <v>451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s="18" customFormat="1" ht="16" x14ac:dyDescent="0.2">
      <c r="A85" s="16">
        <v>1264</v>
      </c>
      <c r="B85" s="16" t="s">
        <v>478</v>
      </c>
      <c r="C85" s="16" t="s">
        <v>770</v>
      </c>
      <c r="D85" s="16" t="s">
        <v>771</v>
      </c>
      <c r="E85" s="16" t="s">
        <v>480</v>
      </c>
      <c r="F85" s="16" t="s">
        <v>680</v>
      </c>
      <c r="G85" s="16" t="s">
        <v>772</v>
      </c>
      <c r="H85" s="17">
        <v>43628</v>
      </c>
      <c r="I85" s="16">
        <v>5</v>
      </c>
      <c r="J85" s="16">
        <v>60</v>
      </c>
      <c r="K85" s="16">
        <v>0</v>
      </c>
      <c r="L85" s="16" t="s">
        <v>451</v>
      </c>
      <c r="M85" s="16" t="s">
        <v>490</v>
      </c>
      <c r="N85" s="16">
        <f t="shared" si="1"/>
        <v>0</v>
      </c>
      <c r="O85" s="16" t="s">
        <v>451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s="18" customFormat="1" ht="16" x14ac:dyDescent="0.2">
      <c r="A86" s="16">
        <v>1271</v>
      </c>
      <c r="B86" s="16" t="s">
        <v>478</v>
      </c>
      <c r="C86" s="16" t="s">
        <v>770</v>
      </c>
      <c r="D86" s="16" t="s">
        <v>771</v>
      </c>
      <c r="E86" s="16" t="s">
        <v>480</v>
      </c>
      <c r="F86" s="16" t="s">
        <v>680</v>
      </c>
      <c r="G86" s="16" t="s">
        <v>772</v>
      </c>
      <c r="H86" s="17">
        <v>43628</v>
      </c>
      <c r="I86" s="16">
        <v>5</v>
      </c>
      <c r="J86" s="16">
        <v>60</v>
      </c>
      <c r="K86" s="16">
        <v>0</v>
      </c>
      <c r="L86" s="16" t="s">
        <v>451</v>
      </c>
      <c r="M86" s="16" t="s">
        <v>490</v>
      </c>
      <c r="N86" s="16">
        <f t="shared" si="1"/>
        <v>0</v>
      </c>
      <c r="O86" s="16" t="s">
        <v>451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s="18" customFormat="1" ht="16" x14ac:dyDescent="0.2">
      <c r="A87" s="16">
        <v>1278</v>
      </c>
      <c r="B87" s="16" t="s">
        <v>478</v>
      </c>
      <c r="C87" s="16" t="s">
        <v>770</v>
      </c>
      <c r="D87" s="16" t="s">
        <v>771</v>
      </c>
      <c r="E87" s="16" t="s">
        <v>480</v>
      </c>
      <c r="F87" s="16" t="s">
        <v>680</v>
      </c>
      <c r="G87" s="16" t="s">
        <v>772</v>
      </c>
      <c r="H87" s="17">
        <v>43628</v>
      </c>
      <c r="I87" s="16">
        <v>5</v>
      </c>
      <c r="J87" s="16">
        <v>60</v>
      </c>
      <c r="K87" s="16">
        <v>0</v>
      </c>
      <c r="L87" s="16" t="s">
        <v>451</v>
      </c>
      <c r="M87" s="16" t="s">
        <v>490</v>
      </c>
      <c r="N87" s="16">
        <f t="shared" si="1"/>
        <v>0</v>
      </c>
      <c r="O87" s="16" t="s">
        <v>451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s="18" customFormat="1" ht="16" x14ac:dyDescent="0.2">
      <c r="A88" s="16">
        <v>1285</v>
      </c>
      <c r="B88" s="16" t="s">
        <v>478</v>
      </c>
      <c r="C88" s="16" t="s">
        <v>770</v>
      </c>
      <c r="D88" s="16" t="s">
        <v>771</v>
      </c>
      <c r="E88" s="16" t="s">
        <v>480</v>
      </c>
      <c r="F88" s="16" t="s">
        <v>680</v>
      </c>
      <c r="G88" s="16" t="s">
        <v>773</v>
      </c>
      <c r="H88" s="17">
        <v>43628</v>
      </c>
      <c r="I88" s="16">
        <v>5</v>
      </c>
      <c r="J88" s="16">
        <v>60</v>
      </c>
      <c r="K88" s="16">
        <v>0</v>
      </c>
      <c r="L88" s="16" t="s">
        <v>451</v>
      </c>
      <c r="M88" s="16" t="s">
        <v>490</v>
      </c>
      <c r="N88" s="16">
        <f t="shared" si="1"/>
        <v>0</v>
      </c>
      <c r="O88" s="16" t="s">
        <v>451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s="16" customFormat="1" ht="16" x14ac:dyDescent="0.2">
      <c r="A89" s="16">
        <v>1290</v>
      </c>
      <c r="B89" s="16" t="s">
        <v>478</v>
      </c>
      <c r="C89" s="16" t="s">
        <v>770</v>
      </c>
      <c r="D89" s="16" t="s">
        <v>771</v>
      </c>
      <c r="E89" s="16" t="s">
        <v>480</v>
      </c>
      <c r="F89" s="16" t="s">
        <v>680</v>
      </c>
      <c r="G89" s="16" t="s">
        <v>773</v>
      </c>
      <c r="H89" s="17">
        <v>43628</v>
      </c>
      <c r="I89" s="16">
        <v>5</v>
      </c>
      <c r="J89" s="16">
        <v>60</v>
      </c>
      <c r="K89" s="16">
        <v>0</v>
      </c>
      <c r="L89" s="16" t="s">
        <v>451</v>
      </c>
      <c r="M89" s="16" t="s">
        <v>490</v>
      </c>
      <c r="N89" s="16">
        <f t="shared" si="1"/>
        <v>0</v>
      </c>
      <c r="O89" s="16" t="s">
        <v>451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s="16" customFormat="1" ht="16" x14ac:dyDescent="0.2">
      <c r="A90" s="16">
        <v>1295</v>
      </c>
      <c r="B90" s="16" t="s">
        <v>478</v>
      </c>
      <c r="C90" s="16" t="s">
        <v>770</v>
      </c>
      <c r="D90" s="16" t="s">
        <v>771</v>
      </c>
      <c r="E90" s="16" t="s">
        <v>480</v>
      </c>
      <c r="F90" s="16" t="s">
        <v>680</v>
      </c>
      <c r="G90" s="16" t="s">
        <v>773</v>
      </c>
      <c r="H90" s="17">
        <v>43628</v>
      </c>
      <c r="I90" s="16">
        <v>5</v>
      </c>
      <c r="J90" s="16">
        <v>60</v>
      </c>
      <c r="K90" s="16">
        <v>0</v>
      </c>
      <c r="L90" s="16" t="s">
        <v>451</v>
      </c>
      <c r="M90" s="16" t="s">
        <v>490</v>
      </c>
      <c r="N90" s="16">
        <f t="shared" si="1"/>
        <v>0</v>
      </c>
      <c r="O90" s="16" t="s">
        <v>451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s="16" customFormat="1" ht="16" x14ac:dyDescent="0.2">
      <c r="A91" s="16">
        <v>1265</v>
      </c>
      <c r="B91" s="16" t="s">
        <v>478</v>
      </c>
      <c r="C91" s="16" t="s">
        <v>770</v>
      </c>
      <c r="D91" s="16" t="s">
        <v>771</v>
      </c>
      <c r="E91" s="16" t="s">
        <v>480</v>
      </c>
      <c r="F91" s="16" t="s">
        <v>680</v>
      </c>
      <c r="G91" s="16" t="s">
        <v>774</v>
      </c>
      <c r="H91" s="17">
        <v>43628</v>
      </c>
      <c r="I91" s="16">
        <v>5</v>
      </c>
      <c r="J91" s="16">
        <v>60</v>
      </c>
      <c r="K91" s="16">
        <v>0</v>
      </c>
      <c r="L91" s="16" t="s">
        <v>451</v>
      </c>
      <c r="M91" s="16" t="s">
        <v>490</v>
      </c>
      <c r="N91" s="16">
        <f t="shared" si="1"/>
        <v>0</v>
      </c>
      <c r="O91" s="16" t="s">
        <v>451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s="16" customFormat="1" ht="16" x14ac:dyDescent="0.2">
      <c r="A92" s="16">
        <v>1272</v>
      </c>
      <c r="B92" s="16" t="s">
        <v>478</v>
      </c>
      <c r="C92" s="16" t="s">
        <v>770</v>
      </c>
      <c r="D92" s="16" t="s">
        <v>771</v>
      </c>
      <c r="E92" s="16" t="s">
        <v>480</v>
      </c>
      <c r="F92" s="16" t="s">
        <v>680</v>
      </c>
      <c r="G92" s="16" t="s">
        <v>774</v>
      </c>
      <c r="H92" s="17">
        <v>43628</v>
      </c>
      <c r="I92" s="16">
        <v>5</v>
      </c>
      <c r="J92" s="16">
        <v>60</v>
      </c>
      <c r="K92" s="16">
        <v>0</v>
      </c>
      <c r="L92" s="16" t="s">
        <v>451</v>
      </c>
      <c r="M92" s="16" t="s">
        <v>490</v>
      </c>
      <c r="N92" s="16">
        <f t="shared" si="1"/>
        <v>0</v>
      </c>
      <c r="O92" s="16" t="s">
        <v>451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s="16" customFormat="1" ht="16" x14ac:dyDescent="0.2">
      <c r="A93" s="16">
        <v>1279</v>
      </c>
      <c r="B93" s="16" t="s">
        <v>478</v>
      </c>
      <c r="C93" s="16" t="s">
        <v>770</v>
      </c>
      <c r="D93" s="16" t="s">
        <v>771</v>
      </c>
      <c r="E93" s="16" t="s">
        <v>480</v>
      </c>
      <c r="F93" s="16" t="s">
        <v>680</v>
      </c>
      <c r="G93" s="16" t="s">
        <v>774</v>
      </c>
      <c r="H93" s="17">
        <v>43628</v>
      </c>
      <c r="I93" s="16">
        <v>5</v>
      </c>
      <c r="J93" s="16">
        <v>60</v>
      </c>
      <c r="K93" s="16">
        <v>0</v>
      </c>
      <c r="L93" s="16" t="s">
        <v>451</v>
      </c>
      <c r="M93" s="16" t="s">
        <v>490</v>
      </c>
      <c r="N93" s="16">
        <f t="shared" si="1"/>
        <v>0</v>
      </c>
      <c r="O93" s="16" t="s">
        <v>451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s="16" customFormat="1" ht="16" x14ac:dyDescent="0.2">
      <c r="A94" s="18">
        <v>1266</v>
      </c>
      <c r="B94" s="18" t="s">
        <v>482</v>
      </c>
      <c r="C94" s="18" t="s">
        <v>775</v>
      </c>
      <c r="D94" s="18" t="s">
        <v>776</v>
      </c>
      <c r="E94" s="18" t="s">
        <v>484</v>
      </c>
      <c r="F94" s="18" t="s">
        <v>680</v>
      </c>
      <c r="G94" s="18" t="s">
        <v>777</v>
      </c>
      <c r="H94" s="19">
        <v>43629</v>
      </c>
      <c r="I94" s="18">
        <v>5</v>
      </c>
      <c r="J94" s="18">
        <v>120</v>
      </c>
      <c r="K94" s="18">
        <v>0</v>
      </c>
      <c r="L94" s="18" t="s">
        <v>451</v>
      </c>
      <c r="M94" s="18" t="s">
        <v>490</v>
      </c>
      <c r="N94" s="18">
        <f t="shared" si="1"/>
        <v>0</v>
      </c>
      <c r="O94" s="18" t="s">
        <v>451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s="16" customFormat="1" ht="16" x14ac:dyDescent="0.2">
      <c r="A95" s="18">
        <v>1273</v>
      </c>
      <c r="B95" s="18" t="s">
        <v>482</v>
      </c>
      <c r="C95" s="18" t="s">
        <v>775</v>
      </c>
      <c r="D95" s="18" t="s">
        <v>776</v>
      </c>
      <c r="E95" s="18" t="s">
        <v>484</v>
      </c>
      <c r="F95" s="18" t="s">
        <v>680</v>
      </c>
      <c r="G95" s="18" t="s">
        <v>777</v>
      </c>
      <c r="H95" s="19">
        <v>43629</v>
      </c>
      <c r="I95" s="18">
        <v>5</v>
      </c>
      <c r="J95" s="18">
        <v>120</v>
      </c>
      <c r="K95" s="18">
        <v>0.62230172722599897</v>
      </c>
      <c r="L95" s="18" t="s">
        <v>451</v>
      </c>
      <c r="M95" s="18" t="s">
        <v>490</v>
      </c>
      <c r="N95" s="18">
        <f t="shared" si="1"/>
        <v>25.929238634416624</v>
      </c>
      <c r="O95" s="18" t="s">
        <v>451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s="16" customFormat="1" ht="16" x14ac:dyDescent="0.2">
      <c r="A96" s="18">
        <v>1280</v>
      </c>
      <c r="B96" s="18" t="s">
        <v>482</v>
      </c>
      <c r="C96" s="18" t="s">
        <v>775</v>
      </c>
      <c r="D96" s="18" t="s">
        <v>776</v>
      </c>
      <c r="E96" s="18" t="s">
        <v>484</v>
      </c>
      <c r="F96" s="18" t="s">
        <v>680</v>
      </c>
      <c r="G96" s="18" t="s">
        <v>777</v>
      </c>
      <c r="H96" s="19">
        <v>43629</v>
      </c>
      <c r="I96" s="18">
        <v>5</v>
      </c>
      <c r="J96" s="18">
        <v>120</v>
      </c>
      <c r="K96" s="18">
        <v>0</v>
      </c>
      <c r="L96" s="18" t="s">
        <v>451</v>
      </c>
      <c r="M96" s="18" t="s">
        <v>490</v>
      </c>
      <c r="N96" s="18">
        <f t="shared" si="1"/>
        <v>0</v>
      </c>
      <c r="O96" s="18" t="s">
        <v>451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s="16" customFormat="1" ht="16" x14ac:dyDescent="0.2">
      <c r="A97" s="18">
        <v>1286</v>
      </c>
      <c r="B97" s="18" t="s">
        <v>482</v>
      </c>
      <c r="C97" s="18" t="s">
        <v>775</v>
      </c>
      <c r="D97" s="18" t="s">
        <v>776</v>
      </c>
      <c r="E97" s="18" t="s">
        <v>484</v>
      </c>
      <c r="F97" s="18" t="s">
        <v>680</v>
      </c>
      <c r="G97" s="18" t="s">
        <v>778</v>
      </c>
      <c r="H97" s="19">
        <v>43629</v>
      </c>
      <c r="I97" s="18">
        <v>5</v>
      </c>
      <c r="J97" s="18">
        <v>120</v>
      </c>
      <c r="K97" s="18">
        <v>2.7793707226750199</v>
      </c>
      <c r="L97" s="18" t="s">
        <v>451</v>
      </c>
      <c r="M97" s="18" t="s">
        <v>490</v>
      </c>
      <c r="N97" s="18">
        <f t="shared" si="1"/>
        <v>115.80711344479251</v>
      </c>
      <c r="O97" s="18" t="s">
        <v>451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s="18" customFormat="1" ht="16" x14ac:dyDescent="0.2">
      <c r="A98" s="18">
        <v>1291</v>
      </c>
      <c r="B98" s="18" t="s">
        <v>482</v>
      </c>
      <c r="C98" s="18" t="s">
        <v>775</v>
      </c>
      <c r="D98" s="18" t="s">
        <v>776</v>
      </c>
      <c r="E98" s="18" t="s">
        <v>484</v>
      </c>
      <c r="F98" s="18" t="s">
        <v>680</v>
      </c>
      <c r="G98" s="18" t="s">
        <v>778</v>
      </c>
      <c r="H98" s="19">
        <v>43629</v>
      </c>
      <c r="I98" s="18">
        <v>5</v>
      </c>
      <c r="J98" s="18">
        <v>120</v>
      </c>
      <c r="K98" s="18">
        <v>2.7402321916198602</v>
      </c>
      <c r="L98" s="18" t="s">
        <v>451</v>
      </c>
      <c r="M98" s="18" t="s">
        <v>490</v>
      </c>
      <c r="N98" s="18">
        <f t="shared" si="1"/>
        <v>114.17634131749418</v>
      </c>
      <c r="O98" s="18" t="s">
        <v>451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s="18" customFormat="1" ht="16" x14ac:dyDescent="0.2">
      <c r="A99" s="18">
        <v>1296</v>
      </c>
      <c r="B99" s="18" t="s">
        <v>482</v>
      </c>
      <c r="C99" s="18" t="s">
        <v>775</v>
      </c>
      <c r="D99" s="18" t="s">
        <v>776</v>
      </c>
      <c r="E99" s="18" t="s">
        <v>484</v>
      </c>
      <c r="F99" s="18" t="s">
        <v>680</v>
      </c>
      <c r="G99" s="18" t="s">
        <v>778</v>
      </c>
      <c r="H99" s="19">
        <v>43629</v>
      </c>
      <c r="I99" s="18">
        <v>5</v>
      </c>
      <c r="J99" s="18">
        <v>120</v>
      </c>
      <c r="K99" s="18">
        <v>5.6043709880059902</v>
      </c>
      <c r="L99" s="18" t="s">
        <v>451</v>
      </c>
      <c r="M99" s="18" t="s">
        <v>490</v>
      </c>
      <c r="N99" s="18">
        <f t="shared" si="1"/>
        <v>233.51545783358293</v>
      </c>
      <c r="O99" s="18" t="s">
        <v>451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s="18" customFormat="1" ht="16" x14ac:dyDescent="0.2">
      <c r="A100" s="18">
        <v>1267</v>
      </c>
      <c r="B100" s="18" t="s">
        <v>482</v>
      </c>
      <c r="C100" s="18" t="s">
        <v>775</v>
      </c>
      <c r="D100" s="18" t="s">
        <v>776</v>
      </c>
      <c r="E100" s="18" t="s">
        <v>484</v>
      </c>
      <c r="F100" s="18" t="s">
        <v>680</v>
      </c>
      <c r="G100" s="18" t="s">
        <v>779</v>
      </c>
      <c r="H100" s="19">
        <v>43629</v>
      </c>
      <c r="I100" s="18">
        <v>5</v>
      </c>
      <c r="J100" s="18">
        <v>120</v>
      </c>
      <c r="K100" s="18">
        <v>3.5723196883383799</v>
      </c>
      <c r="L100" s="18" t="s">
        <v>451</v>
      </c>
      <c r="M100" s="18" t="s">
        <v>490</v>
      </c>
      <c r="N100" s="18">
        <f t="shared" si="1"/>
        <v>148.84665368076585</v>
      </c>
      <c r="O100" s="18" t="s">
        <v>451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s="18" customFormat="1" ht="16" x14ac:dyDescent="0.2">
      <c r="A101" s="18">
        <v>1274</v>
      </c>
      <c r="B101" s="18" t="s">
        <v>482</v>
      </c>
      <c r="C101" s="18" t="s">
        <v>775</v>
      </c>
      <c r="D101" s="18" t="s">
        <v>776</v>
      </c>
      <c r="E101" s="18" t="s">
        <v>484</v>
      </c>
      <c r="F101" s="18" t="s">
        <v>680</v>
      </c>
      <c r="G101" s="18" t="s">
        <v>779</v>
      </c>
      <c r="H101" s="19">
        <v>43629</v>
      </c>
      <c r="I101" s="18">
        <v>5</v>
      </c>
      <c r="J101" s="18">
        <v>120</v>
      </c>
      <c r="K101" s="18">
        <v>0.716574971148079</v>
      </c>
      <c r="L101" s="18" t="s">
        <v>451</v>
      </c>
      <c r="M101" s="18" t="s">
        <v>490</v>
      </c>
      <c r="N101" s="18">
        <f t="shared" si="1"/>
        <v>29.857290464503293</v>
      </c>
      <c r="O101" s="18" t="s">
        <v>451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s="18" customFormat="1" ht="16" x14ac:dyDescent="0.2">
      <c r="A102" s="18">
        <v>1281</v>
      </c>
      <c r="B102" s="18" t="s">
        <v>482</v>
      </c>
      <c r="C102" s="18" t="s">
        <v>775</v>
      </c>
      <c r="D102" s="18" t="s">
        <v>776</v>
      </c>
      <c r="E102" s="18" t="s">
        <v>484</v>
      </c>
      <c r="F102" s="18" t="s">
        <v>680</v>
      </c>
      <c r="G102" s="18" t="s">
        <v>779</v>
      </c>
      <c r="H102" s="19">
        <v>43629</v>
      </c>
      <c r="I102" s="18">
        <v>5</v>
      </c>
      <c r="J102" s="18">
        <v>120</v>
      </c>
      <c r="K102" s="18">
        <v>1.5337405388351499</v>
      </c>
      <c r="L102" s="18" t="s">
        <v>451</v>
      </c>
      <c r="M102" s="18" t="s">
        <v>490</v>
      </c>
      <c r="N102" s="18">
        <f t="shared" si="1"/>
        <v>63.905855784797915</v>
      </c>
      <c r="O102" s="18" t="s">
        <v>451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s="18" customFormat="1" ht="16" x14ac:dyDescent="0.2">
      <c r="A103" s="16">
        <v>1268</v>
      </c>
      <c r="B103" s="16" t="s">
        <v>486</v>
      </c>
      <c r="C103" s="16" t="s">
        <v>780</v>
      </c>
      <c r="D103" s="16" t="s">
        <v>781</v>
      </c>
      <c r="E103" s="16" t="s">
        <v>488</v>
      </c>
      <c r="F103" s="16" t="s">
        <v>680</v>
      </c>
      <c r="G103" s="16" t="s">
        <v>782</v>
      </c>
      <c r="H103" s="17">
        <v>43629</v>
      </c>
      <c r="I103" s="16">
        <v>5</v>
      </c>
      <c r="J103" s="16">
        <v>210</v>
      </c>
      <c r="K103" s="16">
        <v>0</v>
      </c>
      <c r="L103" s="16" t="s">
        <v>451</v>
      </c>
      <c r="M103" s="16" t="s">
        <v>490</v>
      </c>
      <c r="N103" s="16">
        <f t="shared" si="1"/>
        <v>0</v>
      </c>
      <c r="O103" s="22" t="s">
        <v>451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s="18" customFormat="1" ht="16" x14ac:dyDescent="0.2">
      <c r="A104" s="16">
        <v>1275</v>
      </c>
      <c r="B104" s="16" t="s">
        <v>486</v>
      </c>
      <c r="C104" s="16" t="s">
        <v>780</v>
      </c>
      <c r="D104" s="16" t="s">
        <v>781</v>
      </c>
      <c r="E104" s="16" t="s">
        <v>488</v>
      </c>
      <c r="F104" s="16" t="s">
        <v>680</v>
      </c>
      <c r="G104" s="16" t="s">
        <v>782</v>
      </c>
      <c r="H104" s="17">
        <v>43629</v>
      </c>
      <c r="I104" s="16">
        <v>5</v>
      </c>
      <c r="J104" s="16">
        <v>210</v>
      </c>
      <c r="K104" s="16">
        <v>0</v>
      </c>
      <c r="L104" s="16" t="s">
        <v>451</v>
      </c>
      <c r="M104" s="16" t="s">
        <v>490</v>
      </c>
      <c r="N104" s="16">
        <f t="shared" si="1"/>
        <v>0</v>
      </c>
      <c r="O104" s="22" t="s">
        <v>451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s="18" customFormat="1" ht="16" x14ac:dyDescent="0.2">
      <c r="A105" s="16">
        <v>1282</v>
      </c>
      <c r="B105" s="16" t="s">
        <v>486</v>
      </c>
      <c r="C105" s="16" t="s">
        <v>780</v>
      </c>
      <c r="D105" s="16" t="s">
        <v>781</v>
      </c>
      <c r="E105" s="16" t="s">
        <v>488</v>
      </c>
      <c r="F105" s="16" t="s">
        <v>680</v>
      </c>
      <c r="G105" s="16" t="s">
        <v>782</v>
      </c>
      <c r="H105" s="17">
        <v>43629</v>
      </c>
      <c r="I105" s="16">
        <v>5</v>
      </c>
      <c r="J105" s="16">
        <v>210</v>
      </c>
      <c r="K105" s="16">
        <v>0</v>
      </c>
      <c r="L105" s="16" t="s">
        <v>451</v>
      </c>
      <c r="M105" s="16" t="s">
        <v>490</v>
      </c>
      <c r="N105" s="16">
        <f t="shared" si="1"/>
        <v>0</v>
      </c>
      <c r="O105" s="22" t="s">
        <v>451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s="18" customFormat="1" ht="16" x14ac:dyDescent="0.2">
      <c r="A106" s="16">
        <v>1287</v>
      </c>
      <c r="B106" s="16" t="s">
        <v>486</v>
      </c>
      <c r="C106" s="16" t="s">
        <v>780</v>
      </c>
      <c r="D106" s="16" t="s">
        <v>781</v>
      </c>
      <c r="E106" s="16" t="s">
        <v>488</v>
      </c>
      <c r="F106" s="16" t="s">
        <v>680</v>
      </c>
      <c r="G106" s="16" t="s">
        <v>783</v>
      </c>
      <c r="H106" s="17">
        <v>43629</v>
      </c>
      <c r="I106" s="16">
        <v>5</v>
      </c>
      <c r="J106" s="16">
        <v>210</v>
      </c>
      <c r="K106" s="16">
        <v>0</v>
      </c>
      <c r="L106" s="16" t="s">
        <v>451</v>
      </c>
      <c r="M106" s="16" t="s">
        <v>490</v>
      </c>
      <c r="N106" s="16">
        <f t="shared" si="1"/>
        <v>0</v>
      </c>
      <c r="O106" s="22" t="s">
        <v>451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s="18" customFormat="1" ht="16" x14ac:dyDescent="0.2">
      <c r="A107" s="16">
        <v>1292</v>
      </c>
      <c r="B107" s="16" t="s">
        <v>486</v>
      </c>
      <c r="C107" s="16" t="s">
        <v>780</v>
      </c>
      <c r="D107" s="16" t="s">
        <v>781</v>
      </c>
      <c r="E107" s="16" t="s">
        <v>488</v>
      </c>
      <c r="F107" s="16" t="s">
        <v>680</v>
      </c>
      <c r="G107" s="16" t="s">
        <v>783</v>
      </c>
      <c r="H107" s="17">
        <v>43629</v>
      </c>
      <c r="I107" s="16">
        <v>5</v>
      </c>
      <c r="J107" s="16">
        <v>210</v>
      </c>
      <c r="K107" s="16">
        <v>0</v>
      </c>
      <c r="L107" s="16" t="s">
        <v>451</v>
      </c>
      <c r="M107" s="16" t="s">
        <v>490</v>
      </c>
      <c r="N107" s="16">
        <f t="shared" si="1"/>
        <v>0</v>
      </c>
      <c r="O107" s="22" t="s">
        <v>451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s="18" customFormat="1" ht="16" x14ac:dyDescent="0.2">
      <c r="A108" s="16">
        <v>1297</v>
      </c>
      <c r="B108" s="16" t="s">
        <v>486</v>
      </c>
      <c r="C108" s="16" t="s">
        <v>780</v>
      </c>
      <c r="D108" s="16" t="s">
        <v>781</v>
      </c>
      <c r="E108" s="16" t="s">
        <v>488</v>
      </c>
      <c r="F108" s="16" t="s">
        <v>680</v>
      </c>
      <c r="G108" s="16" t="s">
        <v>783</v>
      </c>
      <c r="H108" s="17">
        <v>43629</v>
      </c>
      <c r="I108" s="16">
        <v>5</v>
      </c>
      <c r="J108" s="16">
        <v>210</v>
      </c>
      <c r="K108" s="16">
        <v>0</v>
      </c>
      <c r="L108" s="16" t="s">
        <v>451</v>
      </c>
      <c r="M108" s="16" t="s">
        <v>490</v>
      </c>
      <c r="N108" s="16">
        <f t="shared" si="1"/>
        <v>0</v>
      </c>
      <c r="O108" s="22" t="s">
        <v>451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s="18" customFormat="1" ht="16" x14ac:dyDescent="0.2">
      <c r="A109" s="16">
        <v>1269</v>
      </c>
      <c r="B109" s="16" t="s">
        <v>486</v>
      </c>
      <c r="C109" s="16" t="s">
        <v>780</v>
      </c>
      <c r="D109" s="16" t="s">
        <v>781</v>
      </c>
      <c r="E109" s="16" t="s">
        <v>488</v>
      </c>
      <c r="F109" s="16" t="s">
        <v>680</v>
      </c>
      <c r="G109" s="16" t="s">
        <v>784</v>
      </c>
      <c r="H109" s="17">
        <v>43629</v>
      </c>
      <c r="I109" s="16">
        <v>5</v>
      </c>
      <c r="J109" s="16">
        <v>210</v>
      </c>
      <c r="K109" s="16">
        <v>0</v>
      </c>
      <c r="L109" s="16" t="s">
        <v>451</v>
      </c>
      <c r="M109" s="16" t="s">
        <v>490</v>
      </c>
      <c r="N109" s="16">
        <f t="shared" si="1"/>
        <v>0</v>
      </c>
      <c r="O109" s="22" t="s">
        <v>451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s="18" customFormat="1" ht="16" x14ac:dyDescent="0.2">
      <c r="A110" s="16">
        <v>1276</v>
      </c>
      <c r="B110" s="16" t="s">
        <v>486</v>
      </c>
      <c r="C110" s="16" t="s">
        <v>780</v>
      </c>
      <c r="D110" s="16" t="s">
        <v>781</v>
      </c>
      <c r="E110" s="16" t="s">
        <v>488</v>
      </c>
      <c r="F110" s="16" t="s">
        <v>680</v>
      </c>
      <c r="G110" s="16" t="s">
        <v>784</v>
      </c>
      <c r="H110" s="17">
        <v>43629</v>
      </c>
      <c r="I110" s="16">
        <v>5</v>
      </c>
      <c r="J110" s="16">
        <v>210</v>
      </c>
      <c r="K110" s="16">
        <v>0</v>
      </c>
      <c r="L110" s="16" t="s">
        <v>451</v>
      </c>
      <c r="M110" s="16" t="s">
        <v>490</v>
      </c>
      <c r="N110" s="16">
        <f t="shared" si="1"/>
        <v>0</v>
      </c>
      <c r="O110" s="22" t="s">
        <v>451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s="18" customFormat="1" ht="16" x14ac:dyDescent="0.2">
      <c r="A111" s="16">
        <v>1283</v>
      </c>
      <c r="B111" s="16" t="s">
        <v>486</v>
      </c>
      <c r="C111" s="16" t="s">
        <v>780</v>
      </c>
      <c r="D111" s="16" t="s">
        <v>781</v>
      </c>
      <c r="E111" s="16" t="s">
        <v>488</v>
      </c>
      <c r="F111" s="16" t="s">
        <v>680</v>
      </c>
      <c r="G111" s="16" t="s">
        <v>784</v>
      </c>
      <c r="H111" s="17">
        <v>43629</v>
      </c>
      <c r="I111" s="16">
        <v>5</v>
      </c>
      <c r="J111" s="16">
        <v>210</v>
      </c>
      <c r="K111" s="16">
        <v>0</v>
      </c>
      <c r="L111" s="16" t="s">
        <v>451</v>
      </c>
      <c r="M111" s="16" t="s">
        <v>490</v>
      </c>
      <c r="N111" s="16">
        <f t="shared" si="1"/>
        <v>0</v>
      </c>
      <c r="O111" s="22" t="s">
        <v>451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s="18" customFormat="1" ht="16" x14ac:dyDescent="0.2">
      <c r="A112" s="16">
        <v>1288</v>
      </c>
      <c r="B112" s="16" t="s">
        <v>486</v>
      </c>
      <c r="C112" s="16" t="s">
        <v>780</v>
      </c>
      <c r="D112" s="16" t="s">
        <v>781</v>
      </c>
      <c r="E112" s="16" t="s">
        <v>488</v>
      </c>
      <c r="F112" s="16" t="s">
        <v>680</v>
      </c>
      <c r="G112" s="16" t="s">
        <v>785</v>
      </c>
      <c r="H112" s="17">
        <v>43629</v>
      </c>
      <c r="I112" s="16">
        <v>5</v>
      </c>
      <c r="J112" s="16">
        <v>210</v>
      </c>
      <c r="K112" s="16">
        <v>0</v>
      </c>
      <c r="L112" s="16" t="s">
        <v>451</v>
      </c>
      <c r="M112" s="16" t="s">
        <v>490</v>
      </c>
      <c r="N112" s="16">
        <f t="shared" si="1"/>
        <v>0</v>
      </c>
      <c r="O112" s="16" t="s">
        <v>786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s="18" customFormat="1" ht="16" x14ac:dyDescent="0.2">
      <c r="A113" s="16">
        <v>1293</v>
      </c>
      <c r="B113" s="16" t="s">
        <v>486</v>
      </c>
      <c r="C113" s="16" t="s">
        <v>780</v>
      </c>
      <c r="D113" s="16" t="s">
        <v>781</v>
      </c>
      <c r="E113" s="16" t="s">
        <v>488</v>
      </c>
      <c r="F113" s="16" t="s">
        <v>680</v>
      </c>
      <c r="G113" s="16" t="s">
        <v>785</v>
      </c>
      <c r="H113" s="17">
        <v>43629</v>
      </c>
      <c r="I113" s="16">
        <v>5</v>
      </c>
      <c r="J113" s="16">
        <v>210</v>
      </c>
      <c r="K113" s="16">
        <v>0</v>
      </c>
      <c r="L113" s="16" t="s">
        <v>451</v>
      </c>
      <c r="M113" s="16" t="s">
        <v>490</v>
      </c>
      <c r="N113" s="16">
        <f t="shared" si="1"/>
        <v>0</v>
      </c>
      <c r="O113" s="16" t="s">
        <v>786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s="18" customFormat="1" ht="16" x14ac:dyDescent="0.2">
      <c r="A114" s="16">
        <v>1298</v>
      </c>
      <c r="B114" s="16" t="s">
        <v>486</v>
      </c>
      <c r="C114" s="16" t="s">
        <v>780</v>
      </c>
      <c r="D114" s="16" t="s">
        <v>781</v>
      </c>
      <c r="E114" s="16" t="s">
        <v>488</v>
      </c>
      <c r="F114" s="16" t="s">
        <v>680</v>
      </c>
      <c r="G114" s="16" t="s">
        <v>785</v>
      </c>
      <c r="H114" s="17">
        <v>43629</v>
      </c>
      <c r="I114" s="16">
        <v>5</v>
      </c>
      <c r="J114" s="16">
        <v>210</v>
      </c>
      <c r="K114" s="16">
        <v>0</v>
      </c>
      <c r="L114" s="16" t="s">
        <v>451</v>
      </c>
      <c r="M114" s="16" t="s">
        <v>490</v>
      </c>
      <c r="N114" s="16">
        <f t="shared" si="1"/>
        <v>0</v>
      </c>
      <c r="O114" s="16" t="s">
        <v>786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s="18" customFormat="1" ht="16" x14ac:dyDescent="0.2">
      <c r="A115" s="18">
        <v>1270</v>
      </c>
      <c r="B115" s="18" t="s">
        <v>491</v>
      </c>
      <c r="C115" s="18" t="s">
        <v>787</v>
      </c>
      <c r="D115" s="18" t="s">
        <v>788</v>
      </c>
      <c r="E115" s="18" t="s">
        <v>493</v>
      </c>
      <c r="F115" s="18" t="s">
        <v>680</v>
      </c>
      <c r="G115" s="18" t="s">
        <v>789</v>
      </c>
      <c r="H115" s="19">
        <v>43629</v>
      </c>
      <c r="I115" s="18">
        <v>5</v>
      </c>
      <c r="J115" s="18">
        <v>200</v>
      </c>
      <c r="K115" s="18">
        <v>63.7454189897568</v>
      </c>
      <c r="L115" s="18" t="s">
        <v>451</v>
      </c>
      <c r="M115" s="18" t="s">
        <v>451</v>
      </c>
      <c r="N115" s="18">
        <f t="shared" si="1"/>
        <v>1593.63547474392</v>
      </c>
      <c r="O115" s="20" t="s">
        <v>451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s="18" customFormat="1" ht="16" x14ac:dyDescent="0.2">
      <c r="A116" s="18">
        <v>1277</v>
      </c>
      <c r="B116" s="18" t="s">
        <v>491</v>
      </c>
      <c r="C116" s="18" t="s">
        <v>787</v>
      </c>
      <c r="D116" s="18" t="s">
        <v>788</v>
      </c>
      <c r="E116" s="18" t="s">
        <v>493</v>
      </c>
      <c r="F116" s="18" t="s">
        <v>680</v>
      </c>
      <c r="G116" s="18" t="s">
        <v>789</v>
      </c>
      <c r="H116" s="19">
        <v>43629</v>
      </c>
      <c r="I116" s="18">
        <v>5</v>
      </c>
      <c r="J116" s="18">
        <v>200</v>
      </c>
      <c r="K116" s="18">
        <v>56.406519320365298</v>
      </c>
      <c r="L116" s="18" t="s">
        <v>451</v>
      </c>
      <c r="M116" s="18" t="s">
        <v>451</v>
      </c>
      <c r="N116" s="18">
        <f t="shared" si="1"/>
        <v>1410.1629830091324</v>
      </c>
      <c r="O116" s="20" t="s">
        <v>451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s="18" customFormat="1" ht="16" x14ac:dyDescent="0.2">
      <c r="A117" s="18">
        <v>1284</v>
      </c>
      <c r="B117" s="18" t="s">
        <v>491</v>
      </c>
      <c r="C117" s="18" t="s">
        <v>787</v>
      </c>
      <c r="D117" s="18" t="s">
        <v>788</v>
      </c>
      <c r="E117" s="18" t="s">
        <v>493</v>
      </c>
      <c r="F117" s="18" t="s">
        <v>680</v>
      </c>
      <c r="G117" s="18" t="s">
        <v>789</v>
      </c>
      <c r="H117" s="19">
        <v>43629</v>
      </c>
      <c r="I117" s="18">
        <v>5</v>
      </c>
      <c r="J117" s="18">
        <v>200</v>
      </c>
      <c r="K117" s="18">
        <v>72.519811660090795</v>
      </c>
      <c r="L117" s="18" t="s">
        <v>451</v>
      </c>
      <c r="M117" s="18" t="s">
        <v>451</v>
      </c>
      <c r="N117" s="18">
        <f t="shared" si="1"/>
        <v>1812.99529150227</v>
      </c>
      <c r="O117" s="20" t="s">
        <v>451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s="18" customFormat="1" ht="16" x14ac:dyDescent="0.2">
      <c r="A118" s="18">
        <v>1289</v>
      </c>
      <c r="B118" s="18" t="s">
        <v>491</v>
      </c>
      <c r="C118" s="18" t="s">
        <v>787</v>
      </c>
      <c r="D118" s="18" t="s">
        <v>788</v>
      </c>
      <c r="E118" s="18" t="s">
        <v>493</v>
      </c>
      <c r="F118" s="18" t="s">
        <v>680</v>
      </c>
      <c r="G118" s="18" t="s">
        <v>790</v>
      </c>
      <c r="H118" s="19">
        <v>43629</v>
      </c>
      <c r="I118" s="18">
        <v>5</v>
      </c>
      <c r="J118" s="18">
        <v>200</v>
      </c>
      <c r="K118" s="18">
        <v>2.3420227692843198</v>
      </c>
      <c r="L118" s="18" t="s">
        <v>451</v>
      </c>
      <c r="M118" s="18" t="s">
        <v>451</v>
      </c>
      <c r="N118" s="18">
        <f t="shared" si="1"/>
        <v>58.550569232107996</v>
      </c>
      <c r="O118" s="20" t="s">
        <v>451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s="16" customFormat="1" ht="16" x14ac:dyDescent="0.2">
      <c r="A119" s="18">
        <v>1294</v>
      </c>
      <c r="B119" s="18" t="s">
        <v>491</v>
      </c>
      <c r="C119" s="18" t="s">
        <v>787</v>
      </c>
      <c r="D119" s="18" t="s">
        <v>788</v>
      </c>
      <c r="E119" s="18" t="s">
        <v>493</v>
      </c>
      <c r="F119" s="18" t="s">
        <v>680</v>
      </c>
      <c r="G119" s="18" t="s">
        <v>790</v>
      </c>
      <c r="H119" s="19">
        <v>43629</v>
      </c>
      <c r="I119" s="18">
        <v>5</v>
      </c>
      <c r="J119" s="18">
        <v>200</v>
      </c>
      <c r="K119" s="18">
        <v>7.4694444205766102</v>
      </c>
      <c r="L119" s="18" t="s">
        <v>451</v>
      </c>
      <c r="M119" s="18" t="s">
        <v>451</v>
      </c>
      <c r="N119" s="18">
        <f t="shared" si="1"/>
        <v>186.73611051441526</v>
      </c>
      <c r="O119" s="20" t="s">
        <v>451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s="16" customFormat="1" ht="16" x14ac:dyDescent="0.2">
      <c r="A120" s="18">
        <v>1299</v>
      </c>
      <c r="B120" s="18" t="s">
        <v>491</v>
      </c>
      <c r="C120" s="18" t="s">
        <v>787</v>
      </c>
      <c r="D120" s="18" t="s">
        <v>788</v>
      </c>
      <c r="E120" s="18" t="s">
        <v>493</v>
      </c>
      <c r="F120" s="18" t="s">
        <v>680</v>
      </c>
      <c r="G120" s="18" t="s">
        <v>790</v>
      </c>
      <c r="H120" s="19">
        <v>43629</v>
      </c>
      <c r="I120" s="18">
        <v>5</v>
      </c>
      <c r="J120" s="18">
        <v>200</v>
      </c>
      <c r="K120" s="18">
        <v>15.1919825389959</v>
      </c>
      <c r="L120" s="18" t="s">
        <v>451</v>
      </c>
      <c r="M120" s="18" t="s">
        <v>451</v>
      </c>
      <c r="N120" s="18">
        <f t="shared" si="1"/>
        <v>379.79956347489747</v>
      </c>
      <c r="O120" s="20" t="s">
        <v>451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s="16" customFormat="1" ht="16" x14ac:dyDescent="0.2">
      <c r="A121" s="18">
        <v>670</v>
      </c>
      <c r="B121" s="18" t="s">
        <v>491</v>
      </c>
      <c r="C121" s="18" t="s">
        <v>787</v>
      </c>
      <c r="D121" s="18" t="s">
        <v>788</v>
      </c>
      <c r="E121" s="18" t="s">
        <v>493</v>
      </c>
      <c r="F121" s="18" t="s">
        <v>680</v>
      </c>
      <c r="G121" s="18" t="s">
        <v>791</v>
      </c>
      <c r="H121" s="19">
        <v>43629</v>
      </c>
      <c r="I121" s="18">
        <v>5</v>
      </c>
      <c r="J121" s="18">
        <v>200</v>
      </c>
      <c r="K121" s="18">
        <v>47.110798149439603</v>
      </c>
      <c r="L121" s="18" t="s">
        <v>451</v>
      </c>
      <c r="M121" s="18" t="s">
        <v>451</v>
      </c>
      <c r="N121" s="18">
        <f t="shared" si="1"/>
        <v>1177.7699537359902</v>
      </c>
      <c r="O121" s="20" t="s">
        <v>451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s="16" customFormat="1" ht="16" x14ac:dyDescent="0.2">
      <c r="A122" s="18">
        <v>677</v>
      </c>
      <c r="B122" s="18" t="s">
        <v>491</v>
      </c>
      <c r="C122" s="18" t="s">
        <v>787</v>
      </c>
      <c r="D122" s="18" t="s">
        <v>788</v>
      </c>
      <c r="E122" s="18" t="s">
        <v>493</v>
      </c>
      <c r="F122" s="18" t="s">
        <v>680</v>
      </c>
      <c r="G122" s="18" t="s">
        <v>791</v>
      </c>
      <c r="H122" s="19">
        <v>43629</v>
      </c>
      <c r="I122" s="18">
        <v>5</v>
      </c>
      <c r="J122" s="18">
        <v>200</v>
      </c>
      <c r="K122" s="18">
        <v>64.745848207517895</v>
      </c>
      <c r="L122" s="18" t="s">
        <v>451</v>
      </c>
      <c r="M122" s="18" t="s">
        <v>451</v>
      </c>
      <c r="N122" s="18">
        <f t="shared" si="1"/>
        <v>1618.6462051879473</v>
      </c>
      <c r="O122" s="20" t="s">
        <v>451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s="16" customFormat="1" ht="16" x14ac:dyDescent="0.2">
      <c r="A123" s="18">
        <v>684</v>
      </c>
      <c r="B123" s="18" t="s">
        <v>491</v>
      </c>
      <c r="C123" s="18" t="s">
        <v>787</v>
      </c>
      <c r="D123" s="18" t="s">
        <v>788</v>
      </c>
      <c r="E123" s="18" t="s">
        <v>493</v>
      </c>
      <c r="F123" s="18" t="s">
        <v>680</v>
      </c>
      <c r="G123" s="18" t="s">
        <v>791</v>
      </c>
      <c r="H123" s="19">
        <v>43629</v>
      </c>
      <c r="I123" s="18">
        <v>5</v>
      </c>
      <c r="J123" s="18">
        <v>200</v>
      </c>
      <c r="K123" s="18">
        <v>53.964917211060502</v>
      </c>
      <c r="L123" s="18" t="s">
        <v>451</v>
      </c>
      <c r="M123" s="18" t="s">
        <v>451</v>
      </c>
      <c r="N123" s="18">
        <f t="shared" si="1"/>
        <v>1349.1229302765125</v>
      </c>
      <c r="O123" s="20" t="s">
        <v>451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s="16" customFormat="1" ht="16" x14ac:dyDescent="0.2">
      <c r="A124" s="18">
        <v>691</v>
      </c>
      <c r="B124" s="18" t="s">
        <v>491</v>
      </c>
      <c r="C124" s="18" t="s">
        <v>787</v>
      </c>
      <c r="D124" s="18" t="s">
        <v>788</v>
      </c>
      <c r="E124" s="18" t="s">
        <v>493</v>
      </c>
      <c r="F124" s="18" t="s">
        <v>680</v>
      </c>
      <c r="G124" s="18" t="s">
        <v>792</v>
      </c>
      <c r="H124" s="19">
        <v>43629</v>
      </c>
      <c r="I124" s="18">
        <v>5</v>
      </c>
      <c r="J124" s="18">
        <v>200</v>
      </c>
      <c r="K124" s="18">
        <v>34.403294575352199</v>
      </c>
      <c r="L124" s="18" t="s">
        <v>451</v>
      </c>
      <c r="M124" s="18" t="s">
        <v>451</v>
      </c>
      <c r="N124" s="18">
        <f t="shared" si="1"/>
        <v>860.08236438380493</v>
      </c>
      <c r="O124" s="20" t="s">
        <v>786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s="16" customFormat="1" ht="16" x14ac:dyDescent="0.2">
      <c r="A125" s="18">
        <v>697</v>
      </c>
      <c r="B125" s="18" t="s">
        <v>491</v>
      </c>
      <c r="C125" s="18" t="s">
        <v>787</v>
      </c>
      <c r="D125" s="18" t="s">
        <v>788</v>
      </c>
      <c r="E125" s="18" t="s">
        <v>493</v>
      </c>
      <c r="F125" s="18" t="s">
        <v>680</v>
      </c>
      <c r="G125" s="18" t="s">
        <v>792</v>
      </c>
      <c r="H125" s="19">
        <v>43629</v>
      </c>
      <c r="I125" s="18">
        <v>5</v>
      </c>
      <c r="J125" s="18">
        <v>200</v>
      </c>
      <c r="K125" s="18">
        <v>65.056741510759807</v>
      </c>
      <c r="L125" s="18" t="s">
        <v>451</v>
      </c>
      <c r="M125" s="18" t="s">
        <v>451</v>
      </c>
      <c r="N125" s="18">
        <f t="shared" si="1"/>
        <v>1626.4185377689953</v>
      </c>
      <c r="O125" s="20" t="s">
        <v>786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s="16" customFormat="1" ht="16" x14ac:dyDescent="0.2">
      <c r="A126" s="18">
        <v>703</v>
      </c>
      <c r="B126" s="18" t="s">
        <v>491</v>
      </c>
      <c r="C126" s="18" t="s">
        <v>787</v>
      </c>
      <c r="D126" s="18" t="s">
        <v>788</v>
      </c>
      <c r="E126" s="18" t="s">
        <v>493</v>
      </c>
      <c r="F126" s="18" t="s">
        <v>680</v>
      </c>
      <c r="G126" s="18" t="s">
        <v>792</v>
      </c>
      <c r="H126" s="19">
        <v>43629</v>
      </c>
      <c r="I126" s="18">
        <v>5</v>
      </c>
      <c r="J126" s="18">
        <v>200</v>
      </c>
      <c r="K126" s="18">
        <v>54.192060532326302</v>
      </c>
      <c r="L126" s="18" t="s">
        <v>451</v>
      </c>
      <c r="M126" s="18" t="s">
        <v>451</v>
      </c>
      <c r="N126" s="18">
        <f t="shared" si="1"/>
        <v>1354.8015133081574</v>
      </c>
      <c r="O126" s="20" t="s">
        <v>786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s="16" customFormat="1" ht="16" x14ac:dyDescent="0.2">
      <c r="A127" s="16">
        <v>671</v>
      </c>
      <c r="B127" s="16" t="s">
        <v>495</v>
      </c>
      <c r="C127" s="16" t="s">
        <v>793</v>
      </c>
      <c r="D127" s="16" t="s">
        <v>794</v>
      </c>
      <c r="E127" s="16" t="s">
        <v>497</v>
      </c>
      <c r="F127" s="16" t="s">
        <v>680</v>
      </c>
      <c r="G127" s="16" t="s">
        <v>795</v>
      </c>
      <c r="H127" s="17">
        <v>43629</v>
      </c>
      <c r="I127" s="16">
        <v>5</v>
      </c>
      <c r="J127" s="16">
        <v>250</v>
      </c>
      <c r="K127" s="16">
        <v>77.875564499409407</v>
      </c>
      <c r="L127" s="16" t="s">
        <v>451</v>
      </c>
      <c r="M127" s="16" t="s">
        <v>451</v>
      </c>
      <c r="N127" s="16">
        <f t="shared" si="1"/>
        <v>1557.5112899881881</v>
      </c>
      <c r="O127" s="24" t="s">
        <v>451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s="18" customFormat="1" ht="16" x14ac:dyDescent="0.2">
      <c r="A128" s="16">
        <v>678</v>
      </c>
      <c r="B128" s="16" t="s">
        <v>495</v>
      </c>
      <c r="C128" s="16" t="s">
        <v>793</v>
      </c>
      <c r="D128" s="16" t="s">
        <v>794</v>
      </c>
      <c r="E128" s="16" t="s">
        <v>497</v>
      </c>
      <c r="F128" s="16" t="s">
        <v>680</v>
      </c>
      <c r="G128" s="16" t="s">
        <v>795</v>
      </c>
      <c r="H128" s="17">
        <v>43629</v>
      </c>
      <c r="I128" s="16">
        <v>5</v>
      </c>
      <c r="J128" s="16">
        <v>250</v>
      </c>
      <c r="K128" s="16">
        <v>130.55119481481</v>
      </c>
      <c r="L128" s="16" t="s">
        <v>451</v>
      </c>
      <c r="M128" s="16" t="s">
        <v>451</v>
      </c>
      <c r="N128" s="16">
        <f t="shared" si="1"/>
        <v>2611.0238962962003</v>
      </c>
      <c r="O128" s="24" t="s">
        <v>451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  <row r="129" spans="1:92" s="18" customFormat="1" ht="16" x14ac:dyDescent="0.2">
      <c r="A129" s="16">
        <v>685</v>
      </c>
      <c r="B129" s="16" t="s">
        <v>495</v>
      </c>
      <c r="C129" s="16" t="s">
        <v>793</v>
      </c>
      <c r="D129" s="16" t="s">
        <v>794</v>
      </c>
      <c r="E129" s="16" t="s">
        <v>497</v>
      </c>
      <c r="F129" s="16" t="s">
        <v>680</v>
      </c>
      <c r="G129" s="16" t="s">
        <v>795</v>
      </c>
      <c r="H129" s="17">
        <v>43629</v>
      </c>
      <c r="I129" s="16">
        <v>5</v>
      </c>
      <c r="J129" s="16">
        <v>250</v>
      </c>
      <c r="K129" s="16">
        <v>114.53593940614699</v>
      </c>
      <c r="L129" s="16" t="s">
        <v>451</v>
      </c>
      <c r="M129" s="16" t="s">
        <v>451</v>
      </c>
      <c r="N129" s="16">
        <f t="shared" si="1"/>
        <v>2290.7187881229397</v>
      </c>
      <c r="O129" s="24" t="s">
        <v>451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1:92" s="18" customFormat="1" ht="16" x14ac:dyDescent="0.2">
      <c r="A130" s="16">
        <v>692</v>
      </c>
      <c r="B130" s="16" t="s">
        <v>495</v>
      </c>
      <c r="C130" s="16" t="s">
        <v>793</v>
      </c>
      <c r="D130" s="16" t="s">
        <v>794</v>
      </c>
      <c r="E130" s="16" t="s">
        <v>497</v>
      </c>
      <c r="F130" s="16" t="s">
        <v>680</v>
      </c>
      <c r="G130" s="16" t="s">
        <v>796</v>
      </c>
      <c r="H130" s="17">
        <v>43629</v>
      </c>
      <c r="I130" s="16">
        <v>5</v>
      </c>
      <c r="J130" s="16">
        <v>250</v>
      </c>
      <c r="K130" s="16">
        <v>4.4239485628419404</v>
      </c>
      <c r="L130" s="16" t="s">
        <v>451</v>
      </c>
      <c r="M130" s="16" t="s">
        <v>451</v>
      </c>
      <c r="N130" s="16">
        <f t="shared" si="1"/>
        <v>88.478971256838804</v>
      </c>
      <c r="O130" s="24" t="s">
        <v>451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1:92" s="18" customFormat="1" ht="16" x14ac:dyDescent="0.2">
      <c r="A131" s="16">
        <v>698</v>
      </c>
      <c r="B131" s="16" t="s">
        <v>495</v>
      </c>
      <c r="C131" s="16" t="s">
        <v>793</v>
      </c>
      <c r="D131" s="16" t="s">
        <v>794</v>
      </c>
      <c r="E131" s="16" t="s">
        <v>497</v>
      </c>
      <c r="F131" s="16" t="s">
        <v>680</v>
      </c>
      <c r="G131" s="16" t="s">
        <v>796</v>
      </c>
      <c r="H131" s="17">
        <v>43629</v>
      </c>
      <c r="I131" s="16">
        <v>5</v>
      </c>
      <c r="J131" s="16">
        <v>250</v>
      </c>
      <c r="K131" s="16">
        <v>9.5554611573122905</v>
      </c>
      <c r="L131" s="16" t="s">
        <v>451</v>
      </c>
      <c r="M131" s="16" t="s">
        <v>451</v>
      </c>
      <c r="N131" s="16">
        <f t="shared" si="1"/>
        <v>191.10922314624582</v>
      </c>
      <c r="O131" s="24" t="s">
        <v>451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  <row r="132" spans="1:92" s="18" customFormat="1" ht="16" x14ac:dyDescent="0.2">
      <c r="A132" s="16">
        <v>704</v>
      </c>
      <c r="B132" s="16" t="s">
        <v>495</v>
      </c>
      <c r="C132" s="16" t="s">
        <v>793</v>
      </c>
      <c r="D132" s="16" t="s">
        <v>794</v>
      </c>
      <c r="E132" s="16" t="s">
        <v>497</v>
      </c>
      <c r="F132" s="16" t="s">
        <v>680</v>
      </c>
      <c r="G132" s="16" t="s">
        <v>796</v>
      </c>
      <c r="H132" s="17">
        <v>43629</v>
      </c>
      <c r="I132" s="16">
        <v>5</v>
      </c>
      <c r="J132" s="16">
        <v>250</v>
      </c>
      <c r="K132" s="16">
        <v>2.4179167557464201</v>
      </c>
      <c r="L132" s="16" t="s">
        <v>451</v>
      </c>
      <c r="M132" s="16" t="s">
        <v>451</v>
      </c>
      <c r="N132" s="16">
        <f t="shared" ref="N132:N195" si="2">K132*I132*(1000/J132)</f>
        <v>48.358335114928401</v>
      </c>
      <c r="O132" s="24" t="s">
        <v>451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</row>
    <row r="133" spans="1:92" s="18" customFormat="1" ht="16" x14ac:dyDescent="0.2">
      <c r="A133" s="16">
        <v>672</v>
      </c>
      <c r="B133" s="16" t="s">
        <v>495</v>
      </c>
      <c r="C133" s="16" t="s">
        <v>793</v>
      </c>
      <c r="D133" s="16" t="s">
        <v>794</v>
      </c>
      <c r="E133" s="16" t="s">
        <v>497</v>
      </c>
      <c r="F133" s="16" t="s">
        <v>680</v>
      </c>
      <c r="G133" s="16" t="s">
        <v>797</v>
      </c>
      <c r="H133" s="17">
        <v>43629</v>
      </c>
      <c r="I133" s="16">
        <v>5</v>
      </c>
      <c r="J133" s="16">
        <v>250</v>
      </c>
      <c r="K133" s="16">
        <v>170.848923714808</v>
      </c>
      <c r="L133" s="16" t="s">
        <v>451</v>
      </c>
      <c r="M133" s="16" t="s">
        <v>451</v>
      </c>
      <c r="N133" s="16">
        <f t="shared" si="2"/>
        <v>3416.9784742961601</v>
      </c>
      <c r="O133" s="24" t="s">
        <v>451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</row>
    <row r="134" spans="1:92" s="18" customFormat="1" ht="16" x14ac:dyDescent="0.2">
      <c r="A134" s="16">
        <v>679</v>
      </c>
      <c r="B134" s="16" t="s">
        <v>495</v>
      </c>
      <c r="C134" s="16" t="s">
        <v>793</v>
      </c>
      <c r="D134" s="16" t="s">
        <v>794</v>
      </c>
      <c r="E134" s="16" t="s">
        <v>497</v>
      </c>
      <c r="F134" s="16" t="s">
        <v>680</v>
      </c>
      <c r="G134" s="16" t="s">
        <v>797</v>
      </c>
      <c r="H134" s="17">
        <v>43629</v>
      </c>
      <c r="I134" s="16">
        <v>5</v>
      </c>
      <c r="J134" s="16">
        <v>250</v>
      </c>
      <c r="K134" s="16">
        <v>218.80291757334001</v>
      </c>
      <c r="L134" s="16" t="s">
        <v>451</v>
      </c>
      <c r="M134" s="16" t="s">
        <v>451</v>
      </c>
      <c r="N134" s="16">
        <f t="shared" si="2"/>
        <v>4376.0583514668006</v>
      </c>
      <c r="O134" s="24" t="s">
        <v>451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</row>
    <row r="135" spans="1:92" s="18" customFormat="1" ht="16" x14ac:dyDescent="0.2">
      <c r="A135" s="16">
        <v>686</v>
      </c>
      <c r="B135" s="16" t="s">
        <v>495</v>
      </c>
      <c r="C135" s="16" t="s">
        <v>793</v>
      </c>
      <c r="D135" s="16" t="s">
        <v>794</v>
      </c>
      <c r="E135" s="16" t="s">
        <v>497</v>
      </c>
      <c r="F135" s="16" t="s">
        <v>680</v>
      </c>
      <c r="G135" s="16" t="s">
        <v>797</v>
      </c>
      <c r="H135" s="17">
        <v>43629</v>
      </c>
      <c r="I135" s="16">
        <v>5</v>
      </c>
      <c r="J135" s="16">
        <v>250</v>
      </c>
      <c r="K135" s="16">
        <v>171.89691425111801</v>
      </c>
      <c r="L135" s="16" t="s">
        <v>451</v>
      </c>
      <c r="M135" s="16" t="s">
        <v>451</v>
      </c>
      <c r="N135" s="16">
        <f t="shared" si="2"/>
        <v>3437.9382850223601</v>
      </c>
      <c r="O135" s="24" t="s">
        <v>451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</row>
    <row r="136" spans="1:92" s="18" customFormat="1" ht="16" x14ac:dyDescent="0.2">
      <c r="A136" s="18">
        <v>693</v>
      </c>
      <c r="B136" s="18" t="s">
        <v>499</v>
      </c>
      <c r="C136" s="18" t="s">
        <v>798</v>
      </c>
      <c r="D136" s="18" t="s">
        <v>799</v>
      </c>
      <c r="E136" s="18" t="s">
        <v>501</v>
      </c>
      <c r="F136" s="18" t="s">
        <v>680</v>
      </c>
      <c r="G136" s="18" t="s">
        <v>800</v>
      </c>
      <c r="H136" s="19">
        <v>43629</v>
      </c>
      <c r="I136" s="18">
        <v>5</v>
      </c>
      <c r="J136" s="18">
        <v>150</v>
      </c>
      <c r="K136" s="18">
        <v>0</v>
      </c>
      <c r="L136" s="18" t="s">
        <v>451</v>
      </c>
      <c r="M136" s="18" t="s">
        <v>490</v>
      </c>
      <c r="N136" s="18">
        <f t="shared" si="2"/>
        <v>0</v>
      </c>
      <c r="O136" s="20" t="s">
        <v>451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</row>
    <row r="137" spans="1:92" s="18" customFormat="1" ht="16" x14ac:dyDescent="0.2">
      <c r="A137" s="18">
        <v>699</v>
      </c>
      <c r="B137" s="18" t="s">
        <v>499</v>
      </c>
      <c r="C137" s="18" t="s">
        <v>798</v>
      </c>
      <c r="D137" s="18" t="s">
        <v>799</v>
      </c>
      <c r="E137" s="18" t="s">
        <v>501</v>
      </c>
      <c r="F137" s="18" t="s">
        <v>680</v>
      </c>
      <c r="G137" s="18" t="s">
        <v>800</v>
      </c>
      <c r="H137" s="19">
        <v>43629</v>
      </c>
      <c r="I137" s="18">
        <v>5</v>
      </c>
      <c r="J137" s="18">
        <v>150</v>
      </c>
      <c r="K137" s="18">
        <v>0</v>
      </c>
      <c r="L137" s="18" t="s">
        <v>451</v>
      </c>
      <c r="M137" s="18" t="s">
        <v>490</v>
      </c>
      <c r="N137" s="18">
        <f t="shared" si="2"/>
        <v>0</v>
      </c>
      <c r="O137" s="20" t="s">
        <v>451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</row>
    <row r="138" spans="1:92" s="18" customFormat="1" ht="16" x14ac:dyDescent="0.2">
      <c r="A138" s="18">
        <v>705</v>
      </c>
      <c r="B138" s="18" t="s">
        <v>499</v>
      </c>
      <c r="C138" s="18" t="s">
        <v>798</v>
      </c>
      <c r="D138" s="18" t="s">
        <v>799</v>
      </c>
      <c r="E138" s="18" t="s">
        <v>501</v>
      </c>
      <c r="F138" s="18" t="s">
        <v>680</v>
      </c>
      <c r="G138" s="18" t="s">
        <v>800</v>
      </c>
      <c r="H138" s="19">
        <v>43629</v>
      </c>
      <c r="I138" s="18">
        <v>5</v>
      </c>
      <c r="J138" s="18">
        <v>150</v>
      </c>
      <c r="K138" s="18">
        <v>0</v>
      </c>
      <c r="L138" s="18" t="s">
        <v>451</v>
      </c>
      <c r="M138" s="18" t="s">
        <v>490</v>
      </c>
      <c r="N138" s="18">
        <f t="shared" si="2"/>
        <v>0</v>
      </c>
      <c r="O138" s="20" t="s">
        <v>451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</row>
    <row r="139" spans="1:92" s="18" customFormat="1" ht="16" x14ac:dyDescent="0.2">
      <c r="A139" s="18">
        <v>712</v>
      </c>
      <c r="B139" s="18" t="s">
        <v>499</v>
      </c>
      <c r="C139" s="18" t="s">
        <v>798</v>
      </c>
      <c r="D139" s="18" t="s">
        <v>799</v>
      </c>
      <c r="E139" s="18" t="s">
        <v>501</v>
      </c>
      <c r="F139" s="18" t="s">
        <v>680</v>
      </c>
      <c r="G139" s="18" t="s">
        <v>801</v>
      </c>
      <c r="H139" s="19">
        <v>43629</v>
      </c>
      <c r="I139" s="18">
        <v>5</v>
      </c>
      <c r="J139" s="18">
        <v>150</v>
      </c>
      <c r="K139" s="18">
        <v>0</v>
      </c>
      <c r="L139" s="18" t="s">
        <v>451</v>
      </c>
      <c r="M139" s="18" t="s">
        <v>490</v>
      </c>
      <c r="N139" s="18">
        <f t="shared" si="2"/>
        <v>0</v>
      </c>
      <c r="O139" s="20" t="s">
        <v>451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</row>
    <row r="140" spans="1:92" s="18" customFormat="1" ht="16" x14ac:dyDescent="0.2">
      <c r="A140" s="18">
        <v>719</v>
      </c>
      <c r="B140" s="18" t="s">
        <v>499</v>
      </c>
      <c r="C140" s="18" t="s">
        <v>798</v>
      </c>
      <c r="D140" s="18" t="s">
        <v>799</v>
      </c>
      <c r="E140" s="18" t="s">
        <v>501</v>
      </c>
      <c r="F140" s="18" t="s">
        <v>680</v>
      </c>
      <c r="G140" s="18" t="s">
        <v>801</v>
      </c>
      <c r="H140" s="19">
        <v>43629</v>
      </c>
      <c r="I140" s="18">
        <v>5</v>
      </c>
      <c r="J140" s="18">
        <v>150</v>
      </c>
      <c r="K140" s="18">
        <v>0</v>
      </c>
      <c r="L140" s="18" t="s">
        <v>451</v>
      </c>
      <c r="M140" s="18" t="s">
        <v>490</v>
      </c>
      <c r="N140" s="18">
        <f t="shared" si="2"/>
        <v>0</v>
      </c>
      <c r="O140" s="20" t="s">
        <v>451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</row>
    <row r="141" spans="1:92" s="18" customFormat="1" ht="16" x14ac:dyDescent="0.2">
      <c r="A141" s="18">
        <v>726</v>
      </c>
      <c r="B141" s="18" t="s">
        <v>499</v>
      </c>
      <c r="C141" s="18" t="s">
        <v>798</v>
      </c>
      <c r="D141" s="18" t="s">
        <v>799</v>
      </c>
      <c r="E141" s="18" t="s">
        <v>501</v>
      </c>
      <c r="F141" s="18" t="s">
        <v>680</v>
      </c>
      <c r="G141" s="18" t="s">
        <v>801</v>
      </c>
      <c r="H141" s="19">
        <v>43629</v>
      </c>
      <c r="I141" s="18">
        <v>5</v>
      </c>
      <c r="J141" s="18">
        <v>150</v>
      </c>
      <c r="K141" s="18">
        <v>0</v>
      </c>
      <c r="L141" s="18" t="s">
        <v>451</v>
      </c>
      <c r="M141" s="18" t="s">
        <v>490</v>
      </c>
      <c r="N141" s="18">
        <f t="shared" si="2"/>
        <v>0</v>
      </c>
      <c r="O141" s="20" t="s">
        <v>451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</row>
    <row r="142" spans="1:92" s="18" customFormat="1" ht="16" x14ac:dyDescent="0.2">
      <c r="A142" s="18">
        <v>673</v>
      </c>
      <c r="B142" s="18" t="s">
        <v>499</v>
      </c>
      <c r="C142" s="18" t="s">
        <v>798</v>
      </c>
      <c r="D142" s="18" t="s">
        <v>799</v>
      </c>
      <c r="E142" s="18" t="s">
        <v>501</v>
      </c>
      <c r="F142" s="18" t="s">
        <v>680</v>
      </c>
      <c r="G142" s="18" t="s">
        <v>802</v>
      </c>
      <c r="H142" s="19">
        <v>43629</v>
      </c>
      <c r="I142" s="18">
        <v>5</v>
      </c>
      <c r="J142" s="18">
        <v>150</v>
      </c>
      <c r="K142" s="18">
        <v>0</v>
      </c>
      <c r="L142" s="18" t="s">
        <v>451</v>
      </c>
      <c r="M142" s="18" t="s">
        <v>490</v>
      </c>
      <c r="N142" s="18">
        <f t="shared" si="2"/>
        <v>0</v>
      </c>
      <c r="O142" s="20" t="s">
        <v>451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</row>
    <row r="143" spans="1:92" s="18" customFormat="1" ht="16" x14ac:dyDescent="0.2">
      <c r="A143" s="18">
        <v>680</v>
      </c>
      <c r="B143" s="18" t="s">
        <v>499</v>
      </c>
      <c r="C143" s="18" t="s">
        <v>798</v>
      </c>
      <c r="D143" s="18" t="s">
        <v>799</v>
      </c>
      <c r="E143" s="18" t="s">
        <v>501</v>
      </c>
      <c r="F143" s="18" t="s">
        <v>680</v>
      </c>
      <c r="G143" s="18" t="s">
        <v>802</v>
      </c>
      <c r="H143" s="19">
        <v>43629</v>
      </c>
      <c r="I143" s="18">
        <v>5</v>
      </c>
      <c r="J143" s="18">
        <v>150</v>
      </c>
      <c r="K143" s="18">
        <v>0</v>
      </c>
      <c r="L143" s="18" t="s">
        <v>451</v>
      </c>
      <c r="M143" s="18" t="s">
        <v>490</v>
      </c>
      <c r="N143" s="18">
        <f t="shared" si="2"/>
        <v>0</v>
      </c>
      <c r="O143" s="20" t="s">
        <v>451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</row>
    <row r="144" spans="1:92" s="18" customFormat="1" ht="16" x14ac:dyDescent="0.2">
      <c r="A144" s="18">
        <v>687</v>
      </c>
      <c r="B144" s="18" t="s">
        <v>499</v>
      </c>
      <c r="C144" s="18" t="s">
        <v>798</v>
      </c>
      <c r="D144" s="18" t="s">
        <v>799</v>
      </c>
      <c r="E144" s="18" t="s">
        <v>501</v>
      </c>
      <c r="F144" s="18" t="s">
        <v>680</v>
      </c>
      <c r="G144" s="18" t="s">
        <v>802</v>
      </c>
      <c r="H144" s="19">
        <v>43629</v>
      </c>
      <c r="I144" s="18">
        <v>5</v>
      </c>
      <c r="J144" s="18">
        <v>150</v>
      </c>
      <c r="K144" s="18">
        <v>0</v>
      </c>
      <c r="L144" s="18" t="s">
        <v>451</v>
      </c>
      <c r="M144" s="18" t="s">
        <v>490</v>
      </c>
      <c r="N144" s="18">
        <f t="shared" si="2"/>
        <v>0</v>
      </c>
      <c r="O144" s="20" t="s">
        <v>451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</row>
    <row r="145" spans="1:92" s="18" customFormat="1" ht="16" x14ac:dyDescent="0.2">
      <c r="A145" s="16">
        <v>694</v>
      </c>
      <c r="B145" s="16" t="s">
        <v>503</v>
      </c>
      <c r="C145" s="16" t="s">
        <v>803</v>
      </c>
      <c r="D145" s="16" t="s">
        <v>804</v>
      </c>
      <c r="E145" s="16" t="s">
        <v>505</v>
      </c>
      <c r="F145" s="16" t="s">
        <v>680</v>
      </c>
      <c r="G145" s="16" t="s">
        <v>805</v>
      </c>
      <c r="H145" s="17">
        <v>43629</v>
      </c>
      <c r="I145" s="16">
        <v>5</v>
      </c>
      <c r="J145" s="16">
        <v>210</v>
      </c>
      <c r="K145" s="16">
        <v>0</v>
      </c>
      <c r="L145" s="16" t="s">
        <v>451</v>
      </c>
      <c r="M145" s="16" t="s">
        <v>451</v>
      </c>
      <c r="N145" s="16">
        <f t="shared" si="2"/>
        <v>0</v>
      </c>
      <c r="O145" s="22" t="s">
        <v>451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</row>
    <row r="146" spans="1:92" s="16" customFormat="1" ht="16" x14ac:dyDescent="0.2">
      <c r="A146" s="16">
        <v>700</v>
      </c>
      <c r="B146" s="16" t="s">
        <v>503</v>
      </c>
      <c r="C146" s="16" t="s">
        <v>803</v>
      </c>
      <c r="D146" s="16" t="s">
        <v>804</v>
      </c>
      <c r="E146" s="16" t="s">
        <v>505</v>
      </c>
      <c r="F146" s="16" t="s">
        <v>680</v>
      </c>
      <c r="G146" s="16" t="s">
        <v>805</v>
      </c>
      <c r="H146" s="17">
        <v>43629</v>
      </c>
      <c r="I146" s="16">
        <v>5</v>
      </c>
      <c r="J146" s="16">
        <v>210</v>
      </c>
      <c r="K146" s="16">
        <v>0</v>
      </c>
      <c r="L146" s="16" t="s">
        <v>451</v>
      </c>
      <c r="M146" s="16" t="s">
        <v>451</v>
      </c>
      <c r="N146" s="16">
        <f t="shared" si="2"/>
        <v>0</v>
      </c>
      <c r="O146" s="22" t="s">
        <v>451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</row>
    <row r="147" spans="1:92" s="16" customFormat="1" ht="16" x14ac:dyDescent="0.2">
      <c r="A147" s="16">
        <v>706</v>
      </c>
      <c r="B147" s="16" t="s">
        <v>503</v>
      </c>
      <c r="C147" s="16" t="s">
        <v>803</v>
      </c>
      <c r="D147" s="16" t="s">
        <v>804</v>
      </c>
      <c r="E147" s="16" t="s">
        <v>505</v>
      </c>
      <c r="F147" s="16" t="s">
        <v>680</v>
      </c>
      <c r="G147" s="16" t="s">
        <v>805</v>
      </c>
      <c r="H147" s="17">
        <v>43629</v>
      </c>
      <c r="I147" s="16">
        <v>5</v>
      </c>
      <c r="J147" s="16">
        <v>210</v>
      </c>
      <c r="K147" s="16">
        <v>0</v>
      </c>
      <c r="L147" s="16" t="s">
        <v>451</v>
      </c>
      <c r="M147" s="16" t="s">
        <v>451</v>
      </c>
      <c r="N147" s="16">
        <f t="shared" si="2"/>
        <v>0</v>
      </c>
      <c r="O147" s="22" t="s">
        <v>451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</row>
    <row r="148" spans="1:92" s="16" customFormat="1" ht="16" x14ac:dyDescent="0.2">
      <c r="A148" s="16">
        <v>674</v>
      </c>
      <c r="B148" s="16" t="s">
        <v>503</v>
      </c>
      <c r="C148" s="16" t="s">
        <v>803</v>
      </c>
      <c r="D148" s="16" t="s">
        <v>804</v>
      </c>
      <c r="E148" s="16" t="s">
        <v>505</v>
      </c>
      <c r="F148" s="16" t="s">
        <v>680</v>
      </c>
      <c r="G148" s="16" t="s">
        <v>806</v>
      </c>
      <c r="H148" s="17">
        <v>43629</v>
      </c>
      <c r="I148" s="16">
        <v>5</v>
      </c>
      <c r="J148" s="16">
        <v>210</v>
      </c>
      <c r="K148" s="16">
        <v>0</v>
      </c>
      <c r="L148" s="16" t="s">
        <v>451</v>
      </c>
      <c r="M148" s="16" t="s">
        <v>451</v>
      </c>
      <c r="N148" s="16">
        <f t="shared" si="2"/>
        <v>0</v>
      </c>
      <c r="O148" s="22" t="s">
        <v>451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</row>
    <row r="149" spans="1:92" s="16" customFormat="1" ht="16" x14ac:dyDescent="0.2">
      <c r="A149" s="16">
        <v>681</v>
      </c>
      <c r="B149" s="16" t="s">
        <v>503</v>
      </c>
      <c r="C149" s="16" t="s">
        <v>803</v>
      </c>
      <c r="D149" s="16" t="s">
        <v>804</v>
      </c>
      <c r="E149" s="16" t="s">
        <v>505</v>
      </c>
      <c r="F149" s="16" t="s">
        <v>680</v>
      </c>
      <c r="G149" s="16" t="s">
        <v>806</v>
      </c>
      <c r="H149" s="17">
        <v>43629</v>
      </c>
      <c r="I149" s="16">
        <v>5</v>
      </c>
      <c r="J149" s="16">
        <v>210</v>
      </c>
      <c r="K149" s="16">
        <v>0</v>
      </c>
      <c r="L149" s="16" t="s">
        <v>451</v>
      </c>
      <c r="M149" s="16" t="s">
        <v>451</v>
      </c>
      <c r="N149" s="16">
        <f t="shared" si="2"/>
        <v>0</v>
      </c>
      <c r="O149" s="22" t="s">
        <v>451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</row>
    <row r="150" spans="1:92" s="16" customFormat="1" ht="16" x14ac:dyDescent="0.2">
      <c r="A150" s="16">
        <v>688</v>
      </c>
      <c r="B150" s="16" t="s">
        <v>503</v>
      </c>
      <c r="C150" s="16" t="s">
        <v>803</v>
      </c>
      <c r="D150" s="16" t="s">
        <v>804</v>
      </c>
      <c r="E150" s="16" t="s">
        <v>505</v>
      </c>
      <c r="F150" s="16" t="s">
        <v>680</v>
      </c>
      <c r="G150" s="16" t="s">
        <v>806</v>
      </c>
      <c r="H150" s="17">
        <v>43629</v>
      </c>
      <c r="I150" s="16">
        <v>5</v>
      </c>
      <c r="J150" s="16">
        <v>210</v>
      </c>
      <c r="K150" s="16">
        <v>0</v>
      </c>
      <c r="L150" s="16" t="s">
        <v>451</v>
      </c>
      <c r="M150" s="16" t="s">
        <v>451</v>
      </c>
      <c r="N150" s="16">
        <f t="shared" si="2"/>
        <v>0</v>
      </c>
      <c r="O150" s="22" t="s">
        <v>451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</row>
    <row r="151" spans="1:92" s="16" customFormat="1" ht="16" x14ac:dyDescent="0.2">
      <c r="A151" s="16">
        <v>695</v>
      </c>
      <c r="B151" s="16" t="s">
        <v>503</v>
      </c>
      <c r="C151" s="16" t="s">
        <v>803</v>
      </c>
      <c r="D151" s="16" t="s">
        <v>804</v>
      </c>
      <c r="E151" s="16" t="s">
        <v>505</v>
      </c>
      <c r="F151" s="16" t="s">
        <v>680</v>
      </c>
      <c r="G151" s="16" t="s">
        <v>807</v>
      </c>
      <c r="H151" s="17">
        <v>43629</v>
      </c>
      <c r="I151" s="16">
        <v>5</v>
      </c>
      <c r="J151" s="16">
        <v>210</v>
      </c>
      <c r="K151" s="16">
        <v>0</v>
      </c>
      <c r="L151" s="16" t="s">
        <v>451</v>
      </c>
      <c r="M151" s="16" t="s">
        <v>451</v>
      </c>
      <c r="N151" s="16">
        <f t="shared" si="2"/>
        <v>0</v>
      </c>
      <c r="O151" s="22" t="s">
        <v>451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</row>
    <row r="152" spans="1:92" s="16" customFormat="1" ht="16" x14ac:dyDescent="0.2">
      <c r="A152" s="16">
        <v>701</v>
      </c>
      <c r="B152" s="16" t="s">
        <v>503</v>
      </c>
      <c r="C152" s="16" t="s">
        <v>803</v>
      </c>
      <c r="D152" s="16" t="s">
        <v>804</v>
      </c>
      <c r="E152" s="16" t="s">
        <v>505</v>
      </c>
      <c r="F152" s="16" t="s">
        <v>680</v>
      </c>
      <c r="G152" s="16" t="s">
        <v>807</v>
      </c>
      <c r="H152" s="17">
        <v>43629</v>
      </c>
      <c r="I152" s="16">
        <v>5</v>
      </c>
      <c r="J152" s="16">
        <v>210</v>
      </c>
      <c r="K152" s="16">
        <v>0</v>
      </c>
      <c r="L152" s="16" t="s">
        <v>451</v>
      </c>
      <c r="M152" s="16" t="s">
        <v>451</v>
      </c>
      <c r="N152" s="16">
        <f t="shared" si="2"/>
        <v>0</v>
      </c>
      <c r="O152" s="22" t="s">
        <v>451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</row>
    <row r="153" spans="1:92" s="16" customFormat="1" ht="16" x14ac:dyDescent="0.2">
      <c r="A153" s="16">
        <v>707</v>
      </c>
      <c r="B153" s="16" t="s">
        <v>503</v>
      </c>
      <c r="C153" s="16" t="s">
        <v>803</v>
      </c>
      <c r="D153" s="16" t="s">
        <v>804</v>
      </c>
      <c r="E153" s="16" t="s">
        <v>505</v>
      </c>
      <c r="F153" s="16" t="s">
        <v>680</v>
      </c>
      <c r="G153" s="16" t="s">
        <v>807</v>
      </c>
      <c r="H153" s="17">
        <v>43629</v>
      </c>
      <c r="I153" s="16">
        <v>5</v>
      </c>
      <c r="J153" s="16">
        <v>210</v>
      </c>
      <c r="K153" s="16">
        <v>0</v>
      </c>
      <c r="L153" s="16" t="s">
        <v>451</v>
      </c>
      <c r="M153" s="16" t="s">
        <v>451</v>
      </c>
      <c r="N153" s="16">
        <f t="shared" si="2"/>
        <v>0</v>
      </c>
      <c r="O153" s="22" t="s">
        <v>451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2" s="16" customFormat="1" ht="16" x14ac:dyDescent="0.2">
      <c r="A154" s="16">
        <v>675</v>
      </c>
      <c r="B154" s="16" t="s">
        <v>503</v>
      </c>
      <c r="C154" s="16" t="s">
        <v>803</v>
      </c>
      <c r="D154" s="16" t="s">
        <v>804</v>
      </c>
      <c r="E154" s="16" t="s">
        <v>505</v>
      </c>
      <c r="F154" s="16" t="s">
        <v>680</v>
      </c>
      <c r="G154" s="16" t="s">
        <v>808</v>
      </c>
      <c r="H154" s="17">
        <v>43629</v>
      </c>
      <c r="I154" s="16">
        <v>5</v>
      </c>
      <c r="J154" s="16">
        <v>210</v>
      </c>
      <c r="K154" s="16">
        <v>0</v>
      </c>
      <c r="L154" s="16" t="s">
        <v>451</v>
      </c>
      <c r="M154" s="16" t="s">
        <v>451</v>
      </c>
      <c r="N154" s="16">
        <f t="shared" si="2"/>
        <v>0</v>
      </c>
      <c r="O154" s="22" t="s">
        <v>786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</row>
    <row r="155" spans="1:92" s="16" customFormat="1" ht="16" x14ac:dyDescent="0.2">
      <c r="A155" s="16">
        <v>682</v>
      </c>
      <c r="B155" s="16" t="s">
        <v>503</v>
      </c>
      <c r="C155" s="16" t="s">
        <v>803</v>
      </c>
      <c r="D155" s="16" t="s">
        <v>804</v>
      </c>
      <c r="E155" s="16" t="s">
        <v>505</v>
      </c>
      <c r="F155" s="16" t="s">
        <v>680</v>
      </c>
      <c r="G155" s="16" t="s">
        <v>808</v>
      </c>
      <c r="H155" s="17">
        <v>43629</v>
      </c>
      <c r="I155" s="16">
        <v>5</v>
      </c>
      <c r="J155" s="16">
        <v>210</v>
      </c>
      <c r="K155" s="16">
        <v>0</v>
      </c>
      <c r="L155" s="16" t="s">
        <v>451</v>
      </c>
      <c r="M155" s="16" t="s">
        <v>451</v>
      </c>
      <c r="N155" s="16">
        <f t="shared" si="2"/>
        <v>0</v>
      </c>
      <c r="O155" s="22" t="s">
        <v>786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</row>
    <row r="156" spans="1:92" s="16" customFormat="1" ht="16" x14ac:dyDescent="0.2">
      <c r="A156" s="16">
        <v>689</v>
      </c>
      <c r="B156" s="16" t="s">
        <v>503</v>
      </c>
      <c r="C156" s="16" t="s">
        <v>803</v>
      </c>
      <c r="D156" s="16" t="s">
        <v>804</v>
      </c>
      <c r="E156" s="16" t="s">
        <v>505</v>
      </c>
      <c r="F156" s="16" t="s">
        <v>680</v>
      </c>
      <c r="G156" s="16" t="s">
        <v>808</v>
      </c>
      <c r="H156" s="17">
        <v>43629</v>
      </c>
      <c r="I156" s="16">
        <v>5</v>
      </c>
      <c r="J156" s="16">
        <v>210</v>
      </c>
      <c r="K156" s="16">
        <v>0</v>
      </c>
      <c r="L156" s="16" t="s">
        <v>451</v>
      </c>
      <c r="M156" s="16" t="s">
        <v>451</v>
      </c>
      <c r="N156" s="16">
        <f t="shared" si="2"/>
        <v>0</v>
      </c>
      <c r="O156" s="22" t="s">
        <v>786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</row>
    <row r="157" spans="1:92" s="16" customFormat="1" ht="16" x14ac:dyDescent="0.2">
      <c r="A157" s="16">
        <v>696</v>
      </c>
      <c r="B157" s="16" t="s">
        <v>503</v>
      </c>
      <c r="C157" s="16" t="s">
        <v>803</v>
      </c>
      <c r="D157" s="16" t="s">
        <v>804</v>
      </c>
      <c r="E157" s="16" t="s">
        <v>505</v>
      </c>
      <c r="F157" s="16" t="s">
        <v>680</v>
      </c>
      <c r="G157" s="16" t="s">
        <v>809</v>
      </c>
      <c r="H157" s="17">
        <v>43629</v>
      </c>
      <c r="I157" s="16">
        <v>5</v>
      </c>
      <c r="J157" s="16">
        <v>210</v>
      </c>
      <c r="K157" s="16">
        <v>0</v>
      </c>
      <c r="L157" s="16" t="s">
        <v>451</v>
      </c>
      <c r="M157" s="16" t="s">
        <v>451</v>
      </c>
      <c r="N157" s="16">
        <f t="shared" si="2"/>
        <v>0</v>
      </c>
      <c r="O157" s="22" t="s">
        <v>786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</row>
    <row r="158" spans="1:92" s="16" customFormat="1" ht="16" x14ac:dyDescent="0.2">
      <c r="A158" s="16">
        <v>702</v>
      </c>
      <c r="B158" s="16" t="s">
        <v>503</v>
      </c>
      <c r="C158" s="16" t="s">
        <v>803</v>
      </c>
      <c r="D158" s="16" t="s">
        <v>804</v>
      </c>
      <c r="E158" s="16" t="s">
        <v>505</v>
      </c>
      <c r="F158" s="16" t="s">
        <v>680</v>
      </c>
      <c r="G158" s="16" t="s">
        <v>809</v>
      </c>
      <c r="H158" s="17">
        <v>43629</v>
      </c>
      <c r="I158" s="16">
        <v>5</v>
      </c>
      <c r="J158" s="16">
        <v>210</v>
      </c>
      <c r="K158" s="16">
        <v>0</v>
      </c>
      <c r="L158" s="16" t="s">
        <v>451</v>
      </c>
      <c r="M158" s="16" t="s">
        <v>451</v>
      </c>
      <c r="N158" s="16">
        <f t="shared" si="2"/>
        <v>0</v>
      </c>
      <c r="O158" s="22" t="s">
        <v>786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</row>
    <row r="159" spans="1:92" s="16" customFormat="1" ht="16" x14ac:dyDescent="0.2">
      <c r="A159" s="16">
        <v>708</v>
      </c>
      <c r="B159" s="16" t="s">
        <v>503</v>
      </c>
      <c r="C159" s="16" t="s">
        <v>803</v>
      </c>
      <c r="D159" s="16" t="s">
        <v>804</v>
      </c>
      <c r="E159" s="16" t="s">
        <v>505</v>
      </c>
      <c r="F159" s="16" t="s">
        <v>680</v>
      </c>
      <c r="G159" s="16" t="s">
        <v>809</v>
      </c>
      <c r="H159" s="17">
        <v>43629</v>
      </c>
      <c r="I159" s="16">
        <v>5</v>
      </c>
      <c r="J159" s="16">
        <v>210</v>
      </c>
      <c r="K159" s="16">
        <v>0</v>
      </c>
      <c r="L159" s="16" t="s">
        <v>451</v>
      </c>
      <c r="M159" s="16" t="s">
        <v>451</v>
      </c>
      <c r="N159" s="16">
        <f t="shared" si="2"/>
        <v>0</v>
      </c>
      <c r="O159" s="22" t="s">
        <v>786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</row>
    <row r="160" spans="1:92" s="16" customFormat="1" ht="16" x14ac:dyDescent="0.2">
      <c r="A160" s="16">
        <v>676</v>
      </c>
      <c r="B160" s="16" t="s">
        <v>503</v>
      </c>
      <c r="C160" s="16" t="s">
        <v>803</v>
      </c>
      <c r="D160" s="16" t="s">
        <v>804</v>
      </c>
      <c r="E160" s="16" t="s">
        <v>505</v>
      </c>
      <c r="F160" s="16" t="s">
        <v>680</v>
      </c>
      <c r="G160" s="16" t="s">
        <v>810</v>
      </c>
      <c r="H160" s="17">
        <v>43629</v>
      </c>
      <c r="I160" s="16">
        <v>5</v>
      </c>
      <c r="J160" s="16">
        <v>210</v>
      </c>
      <c r="K160" s="16">
        <v>0</v>
      </c>
      <c r="L160" s="16" t="s">
        <v>451</v>
      </c>
      <c r="M160" s="16" t="s">
        <v>451</v>
      </c>
      <c r="N160" s="16">
        <f t="shared" si="2"/>
        <v>0</v>
      </c>
      <c r="O160" s="22" t="s">
        <v>786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</row>
    <row r="161" spans="1:92" s="18" customFormat="1" ht="16" x14ac:dyDescent="0.2">
      <c r="A161" s="16">
        <v>683</v>
      </c>
      <c r="B161" s="16" t="s">
        <v>503</v>
      </c>
      <c r="C161" s="16" t="s">
        <v>803</v>
      </c>
      <c r="D161" s="16" t="s">
        <v>804</v>
      </c>
      <c r="E161" s="16" t="s">
        <v>505</v>
      </c>
      <c r="F161" s="16" t="s">
        <v>680</v>
      </c>
      <c r="G161" s="16" t="s">
        <v>810</v>
      </c>
      <c r="H161" s="17">
        <v>43629</v>
      </c>
      <c r="I161" s="16">
        <v>5</v>
      </c>
      <c r="J161" s="16">
        <v>210</v>
      </c>
      <c r="K161" s="16">
        <v>0</v>
      </c>
      <c r="L161" s="16" t="s">
        <v>451</v>
      </c>
      <c r="M161" s="16" t="s">
        <v>451</v>
      </c>
      <c r="N161" s="16">
        <f t="shared" si="2"/>
        <v>0</v>
      </c>
      <c r="O161" s="22" t="s">
        <v>786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</row>
    <row r="162" spans="1:92" s="18" customFormat="1" ht="16" x14ac:dyDescent="0.2">
      <c r="A162" s="16">
        <v>690</v>
      </c>
      <c r="B162" s="16" t="s">
        <v>503</v>
      </c>
      <c r="C162" s="16" t="s">
        <v>803</v>
      </c>
      <c r="D162" s="16" t="s">
        <v>804</v>
      </c>
      <c r="E162" s="16" t="s">
        <v>505</v>
      </c>
      <c r="F162" s="16" t="s">
        <v>680</v>
      </c>
      <c r="G162" s="16" t="s">
        <v>810</v>
      </c>
      <c r="H162" s="17">
        <v>43629</v>
      </c>
      <c r="I162" s="16">
        <v>5</v>
      </c>
      <c r="J162" s="16">
        <v>210</v>
      </c>
      <c r="K162" s="16">
        <v>0</v>
      </c>
      <c r="L162" s="16" t="s">
        <v>451</v>
      </c>
      <c r="M162" s="16" t="s">
        <v>451</v>
      </c>
      <c r="N162" s="16">
        <f t="shared" si="2"/>
        <v>0</v>
      </c>
      <c r="O162" s="22" t="s">
        <v>786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</row>
    <row r="163" spans="1:92" s="18" customFormat="1" ht="16" x14ac:dyDescent="0.2">
      <c r="A163" s="18">
        <v>709</v>
      </c>
      <c r="B163" s="18" t="s">
        <v>507</v>
      </c>
      <c r="C163" s="18" t="s">
        <v>803</v>
      </c>
      <c r="D163" s="18" t="s">
        <v>811</v>
      </c>
      <c r="E163" s="18" t="s">
        <v>505</v>
      </c>
      <c r="F163" s="18" t="s">
        <v>680</v>
      </c>
      <c r="G163" s="18" t="s">
        <v>812</v>
      </c>
      <c r="H163" s="19">
        <v>43633</v>
      </c>
      <c r="I163" s="18">
        <v>5</v>
      </c>
      <c r="J163" s="18">
        <v>210</v>
      </c>
      <c r="K163" s="18">
        <v>0</v>
      </c>
      <c r="L163" s="18" t="s">
        <v>490</v>
      </c>
      <c r="M163" s="18" t="s">
        <v>8</v>
      </c>
      <c r="N163" s="18">
        <f t="shared" si="2"/>
        <v>0</v>
      </c>
      <c r="O163" s="20" t="s">
        <v>451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</row>
    <row r="164" spans="1:92" s="18" customFormat="1" ht="16" x14ac:dyDescent="0.2">
      <c r="A164" s="18">
        <v>716</v>
      </c>
      <c r="B164" s="18" t="s">
        <v>507</v>
      </c>
      <c r="C164" s="18" t="s">
        <v>803</v>
      </c>
      <c r="D164" s="18" t="s">
        <v>811</v>
      </c>
      <c r="E164" s="18" t="s">
        <v>505</v>
      </c>
      <c r="F164" s="18" t="s">
        <v>680</v>
      </c>
      <c r="G164" s="18" t="s">
        <v>812</v>
      </c>
      <c r="H164" s="19">
        <v>43633</v>
      </c>
      <c r="I164" s="18">
        <v>5</v>
      </c>
      <c r="J164" s="18">
        <v>210</v>
      </c>
      <c r="K164" s="18">
        <v>0</v>
      </c>
      <c r="L164" s="18" t="s">
        <v>490</v>
      </c>
      <c r="M164" s="18" t="s">
        <v>8</v>
      </c>
      <c r="N164" s="18">
        <f t="shared" si="2"/>
        <v>0</v>
      </c>
      <c r="O164" s="20" t="s">
        <v>451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</row>
    <row r="165" spans="1:92" s="18" customFormat="1" ht="16" x14ac:dyDescent="0.2">
      <c r="A165" s="18">
        <v>723</v>
      </c>
      <c r="B165" s="18" t="s">
        <v>507</v>
      </c>
      <c r="C165" s="18" t="s">
        <v>803</v>
      </c>
      <c r="D165" s="18" t="s">
        <v>811</v>
      </c>
      <c r="E165" s="18" t="s">
        <v>505</v>
      </c>
      <c r="F165" s="18" t="s">
        <v>680</v>
      </c>
      <c r="G165" s="18" t="s">
        <v>812</v>
      </c>
      <c r="H165" s="19">
        <v>43633</v>
      </c>
      <c r="I165" s="18">
        <v>5</v>
      </c>
      <c r="J165" s="18">
        <v>210</v>
      </c>
      <c r="K165" s="18">
        <v>0</v>
      </c>
      <c r="L165" s="18" t="s">
        <v>490</v>
      </c>
      <c r="M165" s="18" t="s">
        <v>8</v>
      </c>
      <c r="N165" s="18">
        <f t="shared" si="2"/>
        <v>0</v>
      </c>
      <c r="O165" s="20" t="s">
        <v>451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</row>
    <row r="166" spans="1:92" s="18" customFormat="1" ht="16" x14ac:dyDescent="0.2">
      <c r="A166" s="18">
        <v>730</v>
      </c>
      <c r="B166" s="18" t="s">
        <v>507</v>
      </c>
      <c r="C166" s="18" t="s">
        <v>803</v>
      </c>
      <c r="D166" s="18" t="s">
        <v>811</v>
      </c>
      <c r="E166" s="18" t="s">
        <v>505</v>
      </c>
      <c r="F166" s="18" t="s">
        <v>680</v>
      </c>
      <c r="G166" s="18" t="s">
        <v>813</v>
      </c>
      <c r="H166" s="19">
        <v>43633</v>
      </c>
      <c r="I166" s="18">
        <v>5</v>
      </c>
      <c r="J166" s="18">
        <v>210</v>
      </c>
      <c r="K166" s="18">
        <v>0</v>
      </c>
      <c r="L166" s="18" t="s">
        <v>490</v>
      </c>
      <c r="M166" s="18" t="s">
        <v>8</v>
      </c>
      <c r="N166" s="18">
        <f t="shared" si="2"/>
        <v>0</v>
      </c>
      <c r="O166" s="20" t="s">
        <v>451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</row>
    <row r="167" spans="1:92" s="18" customFormat="1" ht="16" x14ac:dyDescent="0.2">
      <c r="A167" s="18">
        <v>737</v>
      </c>
      <c r="B167" s="18" t="s">
        <v>507</v>
      </c>
      <c r="C167" s="18" t="s">
        <v>803</v>
      </c>
      <c r="D167" s="18" t="s">
        <v>811</v>
      </c>
      <c r="E167" s="18" t="s">
        <v>505</v>
      </c>
      <c r="F167" s="18" t="s">
        <v>680</v>
      </c>
      <c r="G167" s="18" t="s">
        <v>813</v>
      </c>
      <c r="H167" s="19">
        <v>43633</v>
      </c>
      <c r="I167" s="18">
        <v>5</v>
      </c>
      <c r="J167" s="18">
        <v>210</v>
      </c>
      <c r="K167" s="18">
        <v>0</v>
      </c>
      <c r="L167" s="18" t="s">
        <v>490</v>
      </c>
      <c r="M167" s="18" t="s">
        <v>8</v>
      </c>
      <c r="N167" s="18">
        <f t="shared" si="2"/>
        <v>0</v>
      </c>
      <c r="O167" s="20" t="s">
        <v>451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</row>
    <row r="168" spans="1:92" s="18" customFormat="1" ht="16" x14ac:dyDescent="0.2">
      <c r="A168" s="18">
        <v>744</v>
      </c>
      <c r="B168" s="18" t="s">
        <v>507</v>
      </c>
      <c r="C168" s="18" t="s">
        <v>803</v>
      </c>
      <c r="D168" s="18" t="s">
        <v>811</v>
      </c>
      <c r="E168" s="18" t="s">
        <v>505</v>
      </c>
      <c r="F168" s="18" t="s">
        <v>680</v>
      </c>
      <c r="G168" s="18" t="s">
        <v>813</v>
      </c>
      <c r="H168" s="19">
        <v>43633</v>
      </c>
      <c r="I168" s="18">
        <v>5</v>
      </c>
      <c r="J168" s="18">
        <v>210</v>
      </c>
      <c r="K168" s="18">
        <v>0</v>
      </c>
      <c r="L168" s="18" t="s">
        <v>490</v>
      </c>
      <c r="M168" s="18" t="s">
        <v>8</v>
      </c>
      <c r="N168" s="18">
        <f t="shared" si="2"/>
        <v>0</v>
      </c>
      <c r="O168" s="20" t="s">
        <v>451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</row>
    <row r="169" spans="1:92" s="18" customFormat="1" ht="16" x14ac:dyDescent="0.2">
      <c r="A169" s="18">
        <v>710</v>
      </c>
      <c r="B169" s="18" t="s">
        <v>507</v>
      </c>
      <c r="C169" s="18" t="s">
        <v>803</v>
      </c>
      <c r="D169" s="18" t="s">
        <v>811</v>
      </c>
      <c r="E169" s="18" t="s">
        <v>505</v>
      </c>
      <c r="F169" s="18" t="s">
        <v>680</v>
      </c>
      <c r="G169" s="18" t="s">
        <v>814</v>
      </c>
      <c r="H169" s="19">
        <v>43633</v>
      </c>
      <c r="I169" s="18">
        <v>5</v>
      </c>
      <c r="J169" s="18">
        <v>210</v>
      </c>
      <c r="K169" s="18">
        <v>0</v>
      </c>
      <c r="L169" s="18" t="s">
        <v>490</v>
      </c>
      <c r="M169" s="18" t="s">
        <v>8</v>
      </c>
      <c r="N169" s="18">
        <f t="shared" si="2"/>
        <v>0</v>
      </c>
      <c r="O169" s="20" t="s">
        <v>451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</row>
    <row r="170" spans="1:92" s="18" customFormat="1" ht="16" x14ac:dyDescent="0.2">
      <c r="A170" s="18">
        <v>717</v>
      </c>
      <c r="B170" s="18" t="s">
        <v>507</v>
      </c>
      <c r="C170" s="18" t="s">
        <v>803</v>
      </c>
      <c r="D170" s="18" t="s">
        <v>811</v>
      </c>
      <c r="E170" s="18" t="s">
        <v>505</v>
      </c>
      <c r="F170" s="18" t="s">
        <v>680</v>
      </c>
      <c r="G170" s="18" t="s">
        <v>814</v>
      </c>
      <c r="H170" s="19">
        <v>43633</v>
      </c>
      <c r="I170" s="18">
        <v>5</v>
      </c>
      <c r="J170" s="18">
        <v>210</v>
      </c>
      <c r="K170" s="18">
        <v>0</v>
      </c>
      <c r="L170" s="18" t="s">
        <v>490</v>
      </c>
      <c r="M170" s="18" t="s">
        <v>8</v>
      </c>
      <c r="N170" s="18">
        <f t="shared" si="2"/>
        <v>0</v>
      </c>
      <c r="O170" s="20" t="s">
        <v>451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</row>
    <row r="171" spans="1:92" s="18" customFormat="1" ht="16" x14ac:dyDescent="0.2">
      <c r="A171" s="18">
        <v>724</v>
      </c>
      <c r="B171" s="18" t="s">
        <v>507</v>
      </c>
      <c r="C171" s="18" t="s">
        <v>803</v>
      </c>
      <c r="D171" s="18" t="s">
        <v>811</v>
      </c>
      <c r="E171" s="18" t="s">
        <v>505</v>
      </c>
      <c r="F171" s="18" t="s">
        <v>680</v>
      </c>
      <c r="G171" s="18" t="s">
        <v>814</v>
      </c>
      <c r="H171" s="19">
        <v>43633</v>
      </c>
      <c r="I171" s="18">
        <v>5</v>
      </c>
      <c r="J171" s="18">
        <v>210</v>
      </c>
      <c r="K171" s="18">
        <v>0</v>
      </c>
      <c r="L171" s="18" t="s">
        <v>490</v>
      </c>
      <c r="M171" s="18" t="s">
        <v>8</v>
      </c>
      <c r="N171" s="18">
        <f t="shared" si="2"/>
        <v>0</v>
      </c>
      <c r="O171" s="20" t="s">
        <v>451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</row>
    <row r="172" spans="1:92" s="18" customFormat="1" ht="16" x14ac:dyDescent="0.2">
      <c r="A172" s="18">
        <v>731</v>
      </c>
      <c r="B172" s="18" t="s">
        <v>507</v>
      </c>
      <c r="C172" s="18" t="s">
        <v>803</v>
      </c>
      <c r="D172" s="18" t="s">
        <v>811</v>
      </c>
      <c r="E172" s="18" t="s">
        <v>505</v>
      </c>
      <c r="F172" s="18" t="s">
        <v>680</v>
      </c>
      <c r="G172" s="18" t="s">
        <v>815</v>
      </c>
      <c r="H172" s="19">
        <v>43633</v>
      </c>
      <c r="I172" s="18">
        <v>5</v>
      </c>
      <c r="J172" s="18">
        <v>210</v>
      </c>
      <c r="K172" s="18">
        <v>0</v>
      </c>
      <c r="L172" s="18" t="s">
        <v>490</v>
      </c>
      <c r="M172" s="18" t="s">
        <v>8</v>
      </c>
      <c r="N172" s="18">
        <f t="shared" si="2"/>
        <v>0</v>
      </c>
      <c r="O172" s="20" t="s">
        <v>786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</row>
    <row r="173" spans="1:92" s="18" customFormat="1" ht="16" x14ac:dyDescent="0.2">
      <c r="A173" s="18">
        <v>738</v>
      </c>
      <c r="B173" s="18" t="s">
        <v>507</v>
      </c>
      <c r="C173" s="18" t="s">
        <v>803</v>
      </c>
      <c r="D173" s="18" t="s">
        <v>811</v>
      </c>
      <c r="E173" s="18" t="s">
        <v>505</v>
      </c>
      <c r="F173" s="18" t="s">
        <v>680</v>
      </c>
      <c r="G173" s="18" t="s">
        <v>815</v>
      </c>
      <c r="H173" s="19">
        <v>43633</v>
      </c>
      <c r="I173" s="18">
        <v>5</v>
      </c>
      <c r="J173" s="18">
        <v>210</v>
      </c>
      <c r="K173" s="18">
        <v>0</v>
      </c>
      <c r="L173" s="18" t="s">
        <v>490</v>
      </c>
      <c r="M173" s="18" t="s">
        <v>8</v>
      </c>
      <c r="N173" s="18">
        <f t="shared" si="2"/>
        <v>0</v>
      </c>
      <c r="O173" s="20" t="s">
        <v>786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</row>
    <row r="174" spans="1:92" s="18" customFormat="1" ht="16" x14ac:dyDescent="0.2">
      <c r="A174" s="18">
        <v>745</v>
      </c>
      <c r="B174" s="18" t="s">
        <v>507</v>
      </c>
      <c r="C174" s="18" t="s">
        <v>803</v>
      </c>
      <c r="D174" s="18" t="s">
        <v>811</v>
      </c>
      <c r="E174" s="18" t="s">
        <v>505</v>
      </c>
      <c r="F174" s="18" t="s">
        <v>680</v>
      </c>
      <c r="G174" s="18" t="s">
        <v>815</v>
      </c>
      <c r="H174" s="19">
        <v>43633</v>
      </c>
      <c r="I174" s="18">
        <v>5</v>
      </c>
      <c r="J174" s="18">
        <v>210</v>
      </c>
      <c r="K174" s="18">
        <v>0</v>
      </c>
      <c r="L174" s="18" t="s">
        <v>490</v>
      </c>
      <c r="M174" s="18" t="s">
        <v>8</v>
      </c>
      <c r="N174" s="18">
        <f t="shared" si="2"/>
        <v>0</v>
      </c>
      <c r="O174" s="20" t="s">
        <v>786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</row>
    <row r="175" spans="1:92" s="18" customFormat="1" ht="16" x14ac:dyDescent="0.2">
      <c r="A175" s="18">
        <v>711</v>
      </c>
      <c r="B175" s="18" t="s">
        <v>507</v>
      </c>
      <c r="C175" s="18" t="s">
        <v>803</v>
      </c>
      <c r="D175" s="18" t="s">
        <v>811</v>
      </c>
      <c r="E175" s="18" t="s">
        <v>505</v>
      </c>
      <c r="F175" s="18" t="s">
        <v>680</v>
      </c>
      <c r="G175" s="18" t="s">
        <v>816</v>
      </c>
      <c r="H175" s="19">
        <v>43633</v>
      </c>
      <c r="I175" s="18">
        <v>5</v>
      </c>
      <c r="J175" s="18">
        <v>210</v>
      </c>
      <c r="K175" s="18">
        <v>0</v>
      </c>
      <c r="L175" s="18" t="s">
        <v>490</v>
      </c>
      <c r="M175" s="18" t="s">
        <v>8</v>
      </c>
      <c r="N175" s="18">
        <f t="shared" si="2"/>
        <v>0</v>
      </c>
      <c r="O175" s="20" t="s">
        <v>786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</row>
    <row r="176" spans="1:92" s="16" customFormat="1" ht="16" x14ac:dyDescent="0.2">
      <c r="A176" s="18">
        <v>718</v>
      </c>
      <c r="B176" s="18" t="s">
        <v>507</v>
      </c>
      <c r="C176" s="18" t="s">
        <v>803</v>
      </c>
      <c r="D176" s="18" t="s">
        <v>811</v>
      </c>
      <c r="E176" s="18" t="s">
        <v>505</v>
      </c>
      <c r="F176" s="18" t="s">
        <v>680</v>
      </c>
      <c r="G176" s="18" t="s">
        <v>816</v>
      </c>
      <c r="H176" s="19">
        <v>43633</v>
      </c>
      <c r="I176" s="18">
        <v>5</v>
      </c>
      <c r="J176" s="18">
        <v>210</v>
      </c>
      <c r="K176" s="18">
        <v>0</v>
      </c>
      <c r="L176" s="18" t="s">
        <v>490</v>
      </c>
      <c r="M176" s="18" t="s">
        <v>8</v>
      </c>
      <c r="N176" s="18">
        <f t="shared" si="2"/>
        <v>0</v>
      </c>
      <c r="O176" s="20" t="s">
        <v>786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</row>
    <row r="177" spans="1:92" s="16" customFormat="1" ht="16" x14ac:dyDescent="0.2">
      <c r="A177" s="18">
        <v>725</v>
      </c>
      <c r="B177" s="18" t="s">
        <v>507</v>
      </c>
      <c r="C177" s="18" t="s">
        <v>803</v>
      </c>
      <c r="D177" s="18" t="s">
        <v>811</v>
      </c>
      <c r="E177" s="18" t="s">
        <v>505</v>
      </c>
      <c r="F177" s="18" t="s">
        <v>680</v>
      </c>
      <c r="G177" s="18" t="s">
        <v>816</v>
      </c>
      <c r="H177" s="19">
        <v>43633</v>
      </c>
      <c r="I177" s="18">
        <v>5</v>
      </c>
      <c r="J177" s="18">
        <v>210</v>
      </c>
      <c r="K177" s="18">
        <v>0</v>
      </c>
      <c r="L177" s="18" t="s">
        <v>490</v>
      </c>
      <c r="M177" s="18" t="s">
        <v>8</v>
      </c>
      <c r="N177" s="18">
        <f t="shared" si="2"/>
        <v>0</v>
      </c>
      <c r="O177" s="20" t="s">
        <v>786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</row>
    <row r="178" spans="1:92" s="16" customFormat="1" ht="16" x14ac:dyDescent="0.2">
      <c r="A178" s="18">
        <v>732</v>
      </c>
      <c r="B178" s="18" t="s">
        <v>507</v>
      </c>
      <c r="C178" s="18" t="s">
        <v>803</v>
      </c>
      <c r="D178" s="18" t="s">
        <v>811</v>
      </c>
      <c r="E178" s="18" t="s">
        <v>505</v>
      </c>
      <c r="F178" s="18" t="s">
        <v>680</v>
      </c>
      <c r="G178" s="18" t="s">
        <v>817</v>
      </c>
      <c r="H178" s="19">
        <v>43633</v>
      </c>
      <c r="I178" s="18">
        <v>5</v>
      </c>
      <c r="J178" s="18">
        <v>210</v>
      </c>
      <c r="K178" s="18">
        <v>0</v>
      </c>
      <c r="L178" s="18" t="s">
        <v>490</v>
      </c>
      <c r="M178" s="18" t="s">
        <v>8</v>
      </c>
      <c r="N178" s="18">
        <f t="shared" si="2"/>
        <v>0</v>
      </c>
      <c r="O178" s="20" t="s">
        <v>786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</row>
    <row r="179" spans="1:92" s="16" customFormat="1" ht="16" x14ac:dyDescent="0.2">
      <c r="A179" s="18">
        <v>739</v>
      </c>
      <c r="B179" s="18" t="s">
        <v>507</v>
      </c>
      <c r="C179" s="18" t="s">
        <v>803</v>
      </c>
      <c r="D179" s="18" t="s">
        <v>811</v>
      </c>
      <c r="E179" s="18" t="s">
        <v>505</v>
      </c>
      <c r="F179" s="18" t="s">
        <v>680</v>
      </c>
      <c r="G179" s="18" t="s">
        <v>817</v>
      </c>
      <c r="H179" s="19">
        <v>43633</v>
      </c>
      <c r="I179" s="18">
        <v>5</v>
      </c>
      <c r="J179" s="18">
        <v>210</v>
      </c>
      <c r="K179" s="18">
        <v>0</v>
      </c>
      <c r="L179" s="18" t="s">
        <v>490</v>
      </c>
      <c r="M179" s="18" t="s">
        <v>8</v>
      </c>
      <c r="N179" s="18">
        <f t="shared" si="2"/>
        <v>0</v>
      </c>
      <c r="O179" s="20" t="s">
        <v>786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</row>
    <row r="180" spans="1:92" s="16" customFormat="1" ht="16" x14ac:dyDescent="0.2">
      <c r="A180" s="18">
        <v>746</v>
      </c>
      <c r="B180" s="18" t="s">
        <v>507</v>
      </c>
      <c r="C180" s="18" t="s">
        <v>803</v>
      </c>
      <c r="D180" s="18" t="s">
        <v>811</v>
      </c>
      <c r="E180" s="18" t="s">
        <v>505</v>
      </c>
      <c r="F180" s="18" t="s">
        <v>680</v>
      </c>
      <c r="G180" s="18" t="s">
        <v>817</v>
      </c>
      <c r="H180" s="19">
        <v>43633</v>
      </c>
      <c r="I180" s="18">
        <v>5</v>
      </c>
      <c r="J180" s="18">
        <v>210</v>
      </c>
      <c r="K180" s="18">
        <v>0</v>
      </c>
      <c r="L180" s="18" t="s">
        <v>490</v>
      </c>
      <c r="M180" s="18" t="s">
        <v>8</v>
      </c>
      <c r="N180" s="18">
        <f t="shared" si="2"/>
        <v>0</v>
      </c>
      <c r="O180" s="20" t="s">
        <v>786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</row>
    <row r="181" spans="1:92" s="16" customFormat="1" ht="16" x14ac:dyDescent="0.2">
      <c r="A181" s="16">
        <v>733</v>
      </c>
      <c r="B181" s="16" t="s">
        <v>509</v>
      </c>
      <c r="C181" s="16" t="s">
        <v>818</v>
      </c>
      <c r="D181" s="16" t="s">
        <v>819</v>
      </c>
      <c r="E181" s="16" t="s">
        <v>511</v>
      </c>
      <c r="F181" s="16" t="s">
        <v>680</v>
      </c>
      <c r="G181" s="16" t="s">
        <v>820</v>
      </c>
      <c r="H181" s="17">
        <v>44328</v>
      </c>
      <c r="I181" s="16">
        <v>5</v>
      </c>
      <c r="J181" s="16">
        <v>150</v>
      </c>
      <c r="K181" s="16">
        <v>0</v>
      </c>
      <c r="L181" s="16" t="s">
        <v>490</v>
      </c>
      <c r="M181" s="16" t="s">
        <v>8</v>
      </c>
      <c r="N181" s="16">
        <f t="shared" si="2"/>
        <v>0</v>
      </c>
      <c r="O181" s="22" t="s">
        <v>451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</row>
    <row r="182" spans="1:92" s="16" customFormat="1" ht="16" x14ac:dyDescent="0.2">
      <c r="A182" s="16">
        <v>740</v>
      </c>
      <c r="B182" s="16" t="s">
        <v>509</v>
      </c>
      <c r="C182" s="16" t="s">
        <v>818</v>
      </c>
      <c r="D182" s="16" t="s">
        <v>819</v>
      </c>
      <c r="E182" s="16" t="s">
        <v>511</v>
      </c>
      <c r="F182" s="16" t="s">
        <v>680</v>
      </c>
      <c r="G182" s="16" t="s">
        <v>820</v>
      </c>
      <c r="H182" s="17">
        <v>44328</v>
      </c>
      <c r="I182" s="16">
        <v>5</v>
      </c>
      <c r="J182" s="16">
        <v>150</v>
      </c>
      <c r="K182" s="16">
        <v>0</v>
      </c>
      <c r="L182" s="16" t="s">
        <v>490</v>
      </c>
      <c r="M182" s="16" t="s">
        <v>8</v>
      </c>
      <c r="N182" s="16">
        <f t="shared" si="2"/>
        <v>0</v>
      </c>
      <c r="O182" s="22" t="s">
        <v>451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2" s="16" customFormat="1" ht="16" x14ac:dyDescent="0.2">
      <c r="A183" s="16">
        <v>747</v>
      </c>
      <c r="B183" s="16" t="s">
        <v>509</v>
      </c>
      <c r="C183" s="16" t="s">
        <v>818</v>
      </c>
      <c r="D183" s="16" t="s">
        <v>819</v>
      </c>
      <c r="E183" s="16" t="s">
        <v>511</v>
      </c>
      <c r="F183" s="16" t="s">
        <v>680</v>
      </c>
      <c r="G183" s="16" t="s">
        <v>820</v>
      </c>
      <c r="H183" s="17">
        <v>44328</v>
      </c>
      <c r="I183" s="16">
        <v>5</v>
      </c>
      <c r="J183" s="16">
        <v>150</v>
      </c>
      <c r="K183" s="16">
        <v>0</v>
      </c>
      <c r="L183" s="16" t="s">
        <v>490</v>
      </c>
      <c r="M183" s="16" t="s">
        <v>8</v>
      </c>
      <c r="N183" s="16">
        <f t="shared" si="2"/>
        <v>0</v>
      </c>
      <c r="O183" s="22" t="s">
        <v>451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2" s="16" customFormat="1" ht="16" x14ac:dyDescent="0.2">
      <c r="A184" s="16">
        <v>713</v>
      </c>
      <c r="B184" s="16" t="s">
        <v>509</v>
      </c>
      <c r="C184" s="16" t="s">
        <v>818</v>
      </c>
      <c r="D184" s="16" t="s">
        <v>819</v>
      </c>
      <c r="E184" s="16" t="s">
        <v>511</v>
      </c>
      <c r="F184" s="16" t="s">
        <v>680</v>
      </c>
      <c r="G184" s="16" t="s">
        <v>821</v>
      </c>
      <c r="H184" s="17">
        <v>44328</v>
      </c>
      <c r="I184" s="16">
        <v>5</v>
      </c>
      <c r="J184" s="16">
        <v>150</v>
      </c>
      <c r="K184" s="16">
        <v>0</v>
      </c>
      <c r="L184" s="16" t="s">
        <v>490</v>
      </c>
      <c r="M184" s="16" t="s">
        <v>8</v>
      </c>
      <c r="N184" s="16">
        <f t="shared" si="2"/>
        <v>0</v>
      </c>
      <c r="O184" s="22" t="s">
        <v>451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</row>
    <row r="185" spans="1:92" s="16" customFormat="1" ht="16" x14ac:dyDescent="0.2">
      <c r="A185" s="16">
        <v>720</v>
      </c>
      <c r="B185" s="16" t="s">
        <v>509</v>
      </c>
      <c r="C185" s="16" t="s">
        <v>818</v>
      </c>
      <c r="D185" s="16" t="s">
        <v>819</v>
      </c>
      <c r="E185" s="16" t="s">
        <v>511</v>
      </c>
      <c r="F185" s="16" t="s">
        <v>680</v>
      </c>
      <c r="G185" s="16" t="s">
        <v>821</v>
      </c>
      <c r="H185" s="17">
        <v>44328</v>
      </c>
      <c r="I185" s="16">
        <v>5</v>
      </c>
      <c r="J185" s="16">
        <v>150</v>
      </c>
      <c r="K185" s="16">
        <v>0</v>
      </c>
      <c r="L185" s="16" t="s">
        <v>490</v>
      </c>
      <c r="M185" s="16" t="s">
        <v>8</v>
      </c>
      <c r="N185" s="16">
        <f t="shared" si="2"/>
        <v>0</v>
      </c>
      <c r="O185" s="22" t="s">
        <v>451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</row>
    <row r="186" spans="1:92" s="16" customFormat="1" ht="16" x14ac:dyDescent="0.2">
      <c r="A186" s="16">
        <v>727</v>
      </c>
      <c r="B186" s="16" t="s">
        <v>509</v>
      </c>
      <c r="C186" s="16" t="s">
        <v>818</v>
      </c>
      <c r="D186" s="16" t="s">
        <v>819</v>
      </c>
      <c r="E186" s="16" t="s">
        <v>511</v>
      </c>
      <c r="F186" s="16" t="s">
        <v>680</v>
      </c>
      <c r="G186" s="16" t="s">
        <v>821</v>
      </c>
      <c r="H186" s="17">
        <v>44328</v>
      </c>
      <c r="I186" s="16">
        <v>5</v>
      </c>
      <c r="J186" s="16">
        <v>150</v>
      </c>
      <c r="K186" s="16">
        <v>0</v>
      </c>
      <c r="L186" s="16" t="s">
        <v>490</v>
      </c>
      <c r="M186" s="16" t="s">
        <v>8</v>
      </c>
      <c r="N186" s="16">
        <f t="shared" si="2"/>
        <v>0</v>
      </c>
      <c r="O186" s="22" t="s">
        <v>451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</row>
    <row r="187" spans="1:92" s="16" customFormat="1" ht="16" x14ac:dyDescent="0.2">
      <c r="A187" s="16">
        <v>734</v>
      </c>
      <c r="B187" s="16" t="s">
        <v>509</v>
      </c>
      <c r="C187" s="16" t="s">
        <v>818</v>
      </c>
      <c r="D187" s="16" t="s">
        <v>819</v>
      </c>
      <c r="E187" s="16" t="s">
        <v>511</v>
      </c>
      <c r="F187" s="16" t="s">
        <v>680</v>
      </c>
      <c r="G187" s="16" t="s">
        <v>822</v>
      </c>
      <c r="H187" s="17">
        <v>44328</v>
      </c>
      <c r="I187" s="16">
        <v>5</v>
      </c>
      <c r="J187" s="16">
        <v>150</v>
      </c>
      <c r="K187" s="16">
        <v>0</v>
      </c>
      <c r="L187" s="16" t="s">
        <v>490</v>
      </c>
      <c r="M187" s="16" t="s">
        <v>8</v>
      </c>
      <c r="N187" s="16">
        <f t="shared" si="2"/>
        <v>0</v>
      </c>
      <c r="O187" s="22" t="s">
        <v>451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</row>
    <row r="188" spans="1:92" s="16" customFormat="1" ht="16" x14ac:dyDescent="0.2">
      <c r="A188" s="16">
        <v>741</v>
      </c>
      <c r="B188" s="16" t="s">
        <v>509</v>
      </c>
      <c r="C188" s="16" t="s">
        <v>818</v>
      </c>
      <c r="D188" s="16" t="s">
        <v>819</v>
      </c>
      <c r="E188" s="16" t="s">
        <v>511</v>
      </c>
      <c r="F188" s="16" t="s">
        <v>680</v>
      </c>
      <c r="G188" s="16" t="s">
        <v>822</v>
      </c>
      <c r="H188" s="17">
        <v>44328</v>
      </c>
      <c r="I188" s="16">
        <v>5</v>
      </c>
      <c r="J188" s="16">
        <v>150</v>
      </c>
      <c r="K188" s="16">
        <v>0</v>
      </c>
      <c r="L188" s="16" t="s">
        <v>490</v>
      </c>
      <c r="M188" s="16" t="s">
        <v>8</v>
      </c>
      <c r="N188" s="16">
        <f t="shared" si="2"/>
        <v>0</v>
      </c>
      <c r="O188" s="22" t="s">
        <v>451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</row>
    <row r="189" spans="1:92" s="16" customFormat="1" ht="16" x14ac:dyDescent="0.2">
      <c r="A189" s="16">
        <v>748</v>
      </c>
      <c r="B189" s="16" t="s">
        <v>509</v>
      </c>
      <c r="C189" s="16" t="s">
        <v>818</v>
      </c>
      <c r="D189" s="16" t="s">
        <v>819</v>
      </c>
      <c r="E189" s="16" t="s">
        <v>511</v>
      </c>
      <c r="F189" s="16" t="s">
        <v>680</v>
      </c>
      <c r="G189" s="16" t="s">
        <v>822</v>
      </c>
      <c r="H189" s="17">
        <v>44328</v>
      </c>
      <c r="I189" s="16">
        <v>5</v>
      </c>
      <c r="J189" s="16">
        <v>150</v>
      </c>
      <c r="K189" s="16">
        <v>0</v>
      </c>
      <c r="L189" s="16" t="s">
        <v>490</v>
      </c>
      <c r="M189" s="16" t="s">
        <v>8</v>
      </c>
      <c r="N189" s="16">
        <f t="shared" si="2"/>
        <v>0</v>
      </c>
      <c r="O189" s="22" t="s">
        <v>451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</row>
    <row r="190" spans="1:92" s="16" customFormat="1" ht="16" x14ac:dyDescent="0.2">
      <c r="A190" s="18">
        <v>714</v>
      </c>
      <c r="B190" s="18" t="s">
        <v>514</v>
      </c>
      <c r="C190" s="18" t="s">
        <v>823</v>
      </c>
      <c r="D190" s="18" t="s">
        <v>824</v>
      </c>
      <c r="E190" s="18" t="s">
        <v>516</v>
      </c>
      <c r="F190" s="18" t="s">
        <v>680</v>
      </c>
      <c r="G190" s="18" t="s">
        <v>825</v>
      </c>
      <c r="H190" s="19">
        <v>44328</v>
      </c>
      <c r="I190" s="18">
        <v>5</v>
      </c>
      <c r="J190" s="18">
        <v>150</v>
      </c>
      <c r="K190" s="18">
        <v>6.6330898546494401</v>
      </c>
      <c r="L190" s="18" t="s">
        <v>490</v>
      </c>
      <c r="M190" s="18" t="s">
        <v>8</v>
      </c>
      <c r="N190" s="18">
        <f t="shared" si="2"/>
        <v>221.10299515498133</v>
      </c>
      <c r="O190" s="20" t="s">
        <v>451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</row>
    <row r="191" spans="1:92" s="16" customFormat="1" ht="16" x14ac:dyDescent="0.2">
      <c r="A191" s="18">
        <v>721</v>
      </c>
      <c r="B191" s="18" t="s">
        <v>514</v>
      </c>
      <c r="C191" s="18" t="s">
        <v>823</v>
      </c>
      <c r="D191" s="18" t="s">
        <v>824</v>
      </c>
      <c r="E191" s="18" t="s">
        <v>516</v>
      </c>
      <c r="F191" s="18" t="s">
        <v>680</v>
      </c>
      <c r="G191" s="18" t="s">
        <v>825</v>
      </c>
      <c r="H191" s="19">
        <v>44328</v>
      </c>
      <c r="I191" s="18">
        <v>5</v>
      </c>
      <c r="J191" s="18">
        <v>150</v>
      </c>
      <c r="K191" s="18">
        <v>3.0168575647073399</v>
      </c>
      <c r="L191" s="18" t="s">
        <v>490</v>
      </c>
      <c r="M191" s="18" t="s">
        <v>8</v>
      </c>
      <c r="N191" s="18">
        <f t="shared" si="2"/>
        <v>100.561918823578</v>
      </c>
      <c r="O191" s="20" t="s">
        <v>451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</row>
    <row r="192" spans="1:92" s="16" customFormat="1" ht="16" x14ac:dyDescent="0.2">
      <c r="A192" s="18">
        <v>728</v>
      </c>
      <c r="B192" s="18" t="s">
        <v>514</v>
      </c>
      <c r="C192" s="18" t="s">
        <v>823</v>
      </c>
      <c r="D192" s="18" t="s">
        <v>824</v>
      </c>
      <c r="E192" s="18" t="s">
        <v>516</v>
      </c>
      <c r="F192" s="18" t="s">
        <v>680</v>
      </c>
      <c r="G192" s="18" t="s">
        <v>825</v>
      </c>
      <c r="H192" s="19">
        <v>44328</v>
      </c>
      <c r="I192" s="18">
        <v>5</v>
      </c>
      <c r="J192" s="18">
        <v>150</v>
      </c>
      <c r="K192" s="18">
        <v>2.4082903633021999</v>
      </c>
      <c r="L192" s="18" t="s">
        <v>490</v>
      </c>
      <c r="M192" s="18" t="s">
        <v>8</v>
      </c>
      <c r="N192" s="18">
        <f t="shared" si="2"/>
        <v>80.276345443406669</v>
      </c>
      <c r="O192" s="20" t="s">
        <v>451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</row>
    <row r="193" spans="1:92" s="16" customFormat="1" ht="16" x14ac:dyDescent="0.2">
      <c r="A193" s="18">
        <v>735</v>
      </c>
      <c r="B193" s="18" t="s">
        <v>514</v>
      </c>
      <c r="C193" s="18" t="s">
        <v>823</v>
      </c>
      <c r="D193" s="18" t="s">
        <v>824</v>
      </c>
      <c r="E193" s="18" t="s">
        <v>516</v>
      </c>
      <c r="F193" s="18" t="s">
        <v>680</v>
      </c>
      <c r="G193" s="18" t="s">
        <v>826</v>
      </c>
      <c r="H193" s="19">
        <v>44328</v>
      </c>
      <c r="I193" s="18">
        <v>5</v>
      </c>
      <c r="J193" s="18">
        <v>150</v>
      </c>
      <c r="K193" s="18">
        <v>1.4352509200864201</v>
      </c>
      <c r="L193" s="18" t="s">
        <v>490</v>
      </c>
      <c r="M193" s="18" t="s">
        <v>8</v>
      </c>
      <c r="N193" s="18">
        <f t="shared" si="2"/>
        <v>47.841697336214004</v>
      </c>
      <c r="O193" s="20" t="s">
        <v>451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</row>
    <row r="194" spans="1:92" s="16" customFormat="1" ht="16" x14ac:dyDescent="0.2">
      <c r="A194" s="18">
        <v>742</v>
      </c>
      <c r="B194" s="18" t="s">
        <v>514</v>
      </c>
      <c r="C194" s="18" t="s">
        <v>823</v>
      </c>
      <c r="D194" s="18" t="s">
        <v>824</v>
      </c>
      <c r="E194" s="18" t="s">
        <v>516</v>
      </c>
      <c r="F194" s="18" t="s">
        <v>680</v>
      </c>
      <c r="G194" s="18" t="s">
        <v>826</v>
      </c>
      <c r="H194" s="19">
        <v>44328</v>
      </c>
      <c r="I194" s="18">
        <v>5</v>
      </c>
      <c r="J194" s="18">
        <v>150</v>
      </c>
      <c r="K194" s="18">
        <v>3.1751157626208499</v>
      </c>
      <c r="L194" s="18" t="s">
        <v>490</v>
      </c>
      <c r="M194" s="18" t="s">
        <v>8</v>
      </c>
      <c r="N194" s="18">
        <f t="shared" si="2"/>
        <v>105.83719208736167</v>
      </c>
      <c r="O194" s="20" t="s">
        <v>451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</row>
    <row r="195" spans="1:92" s="16" customFormat="1" ht="16" x14ac:dyDescent="0.2">
      <c r="A195" s="18">
        <v>749</v>
      </c>
      <c r="B195" s="18" t="s">
        <v>514</v>
      </c>
      <c r="C195" s="18" t="s">
        <v>823</v>
      </c>
      <c r="D195" s="18" t="s">
        <v>824</v>
      </c>
      <c r="E195" s="18" t="s">
        <v>516</v>
      </c>
      <c r="F195" s="18" t="s">
        <v>680</v>
      </c>
      <c r="G195" s="18" t="s">
        <v>826</v>
      </c>
      <c r="H195" s="19">
        <v>44328</v>
      </c>
      <c r="I195" s="18">
        <v>5</v>
      </c>
      <c r="J195" s="18">
        <v>150</v>
      </c>
      <c r="K195" s="18">
        <v>2.4950160768070302</v>
      </c>
      <c r="L195" s="18" t="s">
        <v>490</v>
      </c>
      <c r="M195" s="18" t="s">
        <v>8</v>
      </c>
      <c r="N195" s="18">
        <f t="shared" si="2"/>
        <v>83.167202560234344</v>
      </c>
      <c r="O195" s="20" t="s">
        <v>451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</row>
    <row r="196" spans="1:92" s="16" customFormat="1" ht="16" x14ac:dyDescent="0.2">
      <c r="A196" s="18">
        <v>715</v>
      </c>
      <c r="B196" s="18" t="s">
        <v>514</v>
      </c>
      <c r="C196" s="18" t="s">
        <v>823</v>
      </c>
      <c r="D196" s="18" t="s">
        <v>824</v>
      </c>
      <c r="E196" s="18" t="s">
        <v>516</v>
      </c>
      <c r="F196" s="18" t="s">
        <v>680</v>
      </c>
      <c r="G196" s="18" t="s">
        <v>827</v>
      </c>
      <c r="H196" s="19">
        <v>44328</v>
      </c>
      <c r="I196" s="18">
        <v>5</v>
      </c>
      <c r="J196" s="18">
        <v>150</v>
      </c>
      <c r="K196" s="18">
        <v>4.28536025641439</v>
      </c>
      <c r="L196" s="18" t="s">
        <v>490</v>
      </c>
      <c r="M196" s="18" t="s">
        <v>8</v>
      </c>
      <c r="N196" s="18">
        <f t="shared" ref="N196:N259" si="3">K196*I196*(1000/J196)</f>
        <v>142.84534188047968</v>
      </c>
      <c r="O196" s="20" t="s">
        <v>451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</row>
    <row r="197" spans="1:92" s="16" customFormat="1" ht="16" x14ac:dyDescent="0.2">
      <c r="A197" s="18">
        <v>722</v>
      </c>
      <c r="B197" s="18" t="s">
        <v>514</v>
      </c>
      <c r="C197" s="18" t="s">
        <v>823</v>
      </c>
      <c r="D197" s="18" t="s">
        <v>824</v>
      </c>
      <c r="E197" s="18" t="s">
        <v>516</v>
      </c>
      <c r="F197" s="18" t="s">
        <v>680</v>
      </c>
      <c r="G197" s="18" t="s">
        <v>827</v>
      </c>
      <c r="H197" s="19">
        <v>44328</v>
      </c>
      <c r="I197" s="18">
        <v>5</v>
      </c>
      <c r="J197" s="18">
        <v>150</v>
      </c>
      <c r="K197" s="18">
        <v>4.0534265127423801</v>
      </c>
      <c r="L197" s="18" t="s">
        <v>490</v>
      </c>
      <c r="M197" s="18" t="s">
        <v>8</v>
      </c>
      <c r="N197" s="18">
        <f t="shared" si="3"/>
        <v>135.11421709141268</v>
      </c>
      <c r="O197" s="20" t="s">
        <v>451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</row>
    <row r="198" spans="1:92" s="16" customFormat="1" ht="16" x14ac:dyDescent="0.2">
      <c r="A198" s="18">
        <v>729</v>
      </c>
      <c r="B198" s="18" t="s">
        <v>514</v>
      </c>
      <c r="C198" s="18" t="s">
        <v>823</v>
      </c>
      <c r="D198" s="18" t="s">
        <v>824</v>
      </c>
      <c r="E198" s="18" t="s">
        <v>516</v>
      </c>
      <c r="F198" s="18" t="s">
        <v>680</v>
      </c>
      <c r="G198" s="18" t="s">
        <v>827</v>
      </c>
      <c r="H198" s="19">
        <v>44328</v>
      </c>
      <c r="I198" s="18">
        <v>5</v>
      </c>
      <c r="J198" s="18">
        <v>150</v>
      </c>
      <c r="K198" s="18">
        <v>5.8869580147043701</v>
      </c>
      <c r="L198" s="18" t="s">
        <v>490</v>
      </c>
      <c r="M198" s="18" t="s">
        <v>8</v>
      </c>
      <c r="N198" s="18">
        <f t="shared" si="3"/>
        <v>196.23193382347901</v>
      </c>
      <c r="O198" s="20" t="s">
        <v>451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</row>
    <row r="199" spans="1:92" s="16" customFormat="1" ht="16" x14ac:dyDescent="0.2">
      <c r="A199" s="16">
        <v>736</v>
      </c>
      <c r="B199" s="16" t="s">
        <v>518</v>
      </c>
      <c r="C199" s="16" t="s">
        <v>828</v>
      </c>
      <c r="D199" s="16" t="s">
        <v>829</v>
      </c>
      <c r="E199" s="16" t="s">
        <v>520</v>
      </c>
      <c r="F199" s="16" t="s">
        <v>680</v>
      </c>
      <c r="G199" s="16" t="s">
        <v>830</v>
      </c>
      <c r="H199" s="17">
        <v>44328</v>
      </c>
      <c r="I199" s="16">
        <v>5</v>
      </c>
      <c r="J199" s="16">
        <v>150</v>
      </c>
      <c r="K199" s="16">
        <v>1.90253592992198</v>
      </c>
      <c r="L199" s="16" t="s">
        <v>490</v>
      </c>
      <c r="M199" s="16" t="s">
        <v>8</v>
      </c>
      <c r="N199" s="16">
        <f t="shared" si="3"/>
        <v>63.417864330732669</v>
      </c>
      <c r="O199" s="22" t="s">
        <v>451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</row>
    <row r="200" spans="1:92" s="16" customFormat="1" ht="16" x14ac:dyDescent="0.2">
      <c r="A200" s="16">
        <v>743</v>
      </c>
      <c r="B200" s="16" t="s">
        <v>518</v>
      </c>
      <c r="C200" s="16" t="s">
        <v>828</v>
      </c>
      <c r="D200" s="16" t="s">
        <v>829</v>
      </c>
      <c r="E200" s="16" t="s">
        <v>520</v>
      </c>
      <c r="F200" s="16" t="s">
        <v>680</v>
      </c>
      <c r="G200" s="16" t="s">
        <v>830</v>
      </c>
      <c r="H200" s="17">
        <v>44328</v>
      </c>
      <c r="I200" s="16">
        <v>5</v>
      </c>
      <c r="J200" s="16">
        <v>150</v>
      </c>
      <c r="K200" s="16">
        <v>0</v>
      </c>
      <c r="L200" s="16" t="s">
        <v>490</v>
      </c>
      <c r="M200" s="16" t="s">
        <v>8</v>
      </c>
      <c r="N200" s="16">
        <f t="shared" si="3"/>
        <v>0</v>
      </c>
      <c r="O200" s="22" t="s">
        <v>451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</row>
    <row r="201" spans="1:92" s="16" customFormat="1" ht="16" x14ac:dyDescent="0.2">
      <c r="A201" s="16">
        <v>750</v>
      </c>
      <c r="B201" s="16" t="s">
        <v>518</v>
      </c>
      <c r="C201" s="16" t="s">
        <v>828</v>
      </c>
      <c r="D201" s="16" t="s">
        <v>829</v>
      </c>
      <c r="E201" s="16" t="s">
        <v>520</v>
      </c>
      <c r="F201" s="16" t="s">
        <v>680</v>
      </c>
      <c r="G201" s="16" t="s">
        <v>830</v>
      </c>
      <c r="H201" s="17">
        <v>44328</v>
      </c>
      <c r="I201" s="16">
        <v>5</v>
      </c>
      <c r="J201" s="16">
        <v>150</v>
      </c>
      <c r="K201" s="16">
        <v>0</v>
      </c>
      <c r="L201" s="16" t="s">
        <v>490</v>
      </c>
      <c r="M201" s="16" t="s">
        <v>8</v>
      </c>
      <c r="N201" s="16">
        <f t="shared" si="3"/>
        <v>0</v>
      </c>
      <c r="O201" s="22" t="s">
        <v>451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</row>
    <row r="202" spans="1:92" s="16" customFormat="1" ht="16" x14ac:dyDescent="0.2">
      <c r="A202" s="16">
        <v>751</v>
      </c>
      <c r="B202" s="16" t="s">
        <v>518</v>
      </c>
      <c r="C202" s="16" t="s">
        <v>828</v>
      </c>
      <c r="D202" s="16" t="s">
        <v>829</v>
      </c>
      <c r="E202" s="16" t="s">
        <v>520</v>
      </c>
      <c r="F202" s="16" t="s">
        <v>680</v>
      </c>
      <c r="G202" s="16" t="s">
        <v>831</v>
      </c>
      <c r="H202" s="17">
        <v>44328</v>
      </c>
      <c r="I202" s="16">
        <v>5</v>
      </c>
      <c r="J202" s="16">
        <v>150</v>
      </c>
      <c r="K202" s="16">
        <v>0</v>
      </c>
      <c r="L202" s="16" t="s">
        <v>490</v>
      </c>
      <c r="M202" s="16" t="s">
        <v>8</v>
      </c>
      <c r="N202" s="16">
        <f t="shared" si="3"/>
        <v>0</v>
      </c>
      <c r="O202" s="22" t="s">
        <v>451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</row>
    <row r="203" spans="1:92" s="16" customFormat="1" ht="16" x14ac:dyDescent="0.2">
      <c r="A203" s="16">
        <v>757</v>
      </c>
      <c r="B203" s="16" t="s">
        <v>518</v>
      </c>
      <c r="C203" s="16" t="s">
        <v>828</v>
      </c>
      <c r="D203" s="16" t="s">
        <v>829</v>
      </c>
      <c r="E203" s="16" t="s">
        <v>520</v>
      </c>
      <c r="F203" s="16" t="s">
        <v>680</v>
      </c>
      <c r="G203" s="16" t="s">
        <v>831</v>
      </c>
      <c r="H203" s="17">
        <v>44328</v>
      </c>
      <c r="I203" s="16">
        <v>5</v>
      </c>
      <c r="J203" s="16">
        <v>150</v>
      </c>
      <c r="K203" s="16">
        <v>0</v>
      </c>
      <c r="L203" s="16" t="s">
        <v>490</v>
      </c>
      <c r="M203" s="16" t="s">
        <v>8</v>
      </c>
      <c r="N203" s="16">
        <f t="shared" si="3"/>
        <v>0</v>
      </c>
      <c r="O203" s="22" t="s">
        <v>451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</row>
    <row r="204" spans="1:92" s="16" customFormat="1" ht="16" x14ac:dyDescent="0.2">
      <c r="A204" s="16">
        <v>763</v>
      </c>
      <c r="B204" s="16" t="s">
        <v>518</v>
      </c>
      <c r="C204" s="16" t="s">
        <v>828</v>
      </c>
      <c r="D204" s="16" t="s">
        <v>829</v>
      </c>
      <c r="E204" s="16" t="s">
        <v>520</v>
      </c>
      <c r="F204" s="16" t="s">
        <v>680</v>
      </c>
      <c r="G204" s="16" t="s">
        <v>831</v>
      </c>
      <c r="H204" s="17">
        <v>44328</v>
      </c>
      <c r="I204" s="16">
        <v>5</v>
      </c>
      <c r="J204" s="16">
        <v>150</v>
      </c>
      <c r="K204" s="16">
        <v>0</v>
      </c>
      <c r="L204" s="16" t="s">
        <v>490</v>
      </c>
      <c r="M204" s="16" t="s">
        <v>8</v>
      </c>
      <c r="N204" s="16">
        <f t="shared" si="3"/>
        <v>0</v>
      </c>
      <c r="O204" s="22" t="s">
        <v>451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</row>
    <row r="205" spans="1:92" s="16" customFormat="1" ht="16" x14ac:dyDescent="0.2">
      <c r="A205" s="16">
        <v>769</v>
      </c>
      <c r="B205" s="16" t="s">
        <v>518</v>
      </c>
      <c r="C205" s="16" t="s">
        <v>828</v>
      </c>
      <c r="D205" s="16" t="s">
        <v>829</v>
      </c>
      <c r="E205" s="16" t="s">
        <v>520</v>
      </c>
      <c r="F205" s="16" t="s">
        <v>680</v>
      </c>
      <c r="G205" s="16" t="s">
        <v>832</v>
      </c>
      <c r="H205" s="17">
        <v>44328</v>
      </c>
      <c r="I205" s="16">
        <v>5</v>
      </c>
      <c r="J205" s="16">
        <v>150</v>
      </c>
      <c r="K205" s="16">
        <v>0</v>
      </c>
      <c r="L205" s="16" t="s">
        <v>490</v>
      </c>
      <c r="M205" s="16" t="s">
        <v>8</v>
      </c>
      <c r="N205" s="16">
        <f t="shared" si="3"/>
        <v>0</v>
      </c>
      <c r="O205" s="22" t="s">
        <v>451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</row>
    <row r="206" spans="1:92" s="18" customFormat="1" ht="16" x14ac:dyDescent="0.2">
      <c r="A206" s="16">
        <v>776</v>
      </c>
      <c r="B206" s="16" t="s">
        <v>518</v>
      </c>
      <c r="C206" s="16" t="s">
        <v>828</v>
      </c>
      <c r="D206" s="16" t="s">
        <v>829</v>
      </c>
      <c r="E206" s="16" t="s">
        <v>520</v>
      </c>
      <c r="F206" s="16" t="s">
        <v>680</v>
      </c>
      <c r="G206" s="16" t="s">
        <v>832</v>
      </c>
      <c r="H206" s="17">
        <v>44328</v>
      </c>
      <c r="I206" s="16">
        <v>5</v>
      </c>
      <c r="J206" s="16">
        <v>150</v>
      </c>
      <c r="K206" s="16">
        <v>0</v>
      </c>
      <c r="L206" s="16" t="s">
        <v>490</v>
      </c>
      <c r="M206" s="16" t="s">
        <v>8</v>
      </c>
      <c r="N206" s="16">
        <f t="shared" si="3"/>
        <v>0</v>
      </c>
      <c r="O206" s="22" t="s">
        <v>451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</row>
    <row r="207" spans="1:92" s="18" customFormat="1" ht="16" x14ac:dyDescent="0.2">
      <c r="A207" s="16">
        <v>783</v>
      </c>
      <c r="B207" s="16" t="s">
        <v>518</v>
      </c>
      <c r="C207" s="16" t="s">
        <v>828</v>
      </c>
      <c r="D207" s="16" t="s">
        <v>829</v>
      </c>
      <c r="E207" s="16" t="s">
        <v>520</v>
      </c>
      <c r="F207" s="16" t="s">
        <v>680</v>
      </c>
      <c r="G207" s="16" t="s">
        <v>832</v>
      </c>
      <c r="H207" s="17">
        <v>44328</v>
      </c>
      <c r="I207" s="16">
        <v>5</v>
      </c>
      <c r="J207" s="16">
        <v>150</v>
      </c>
      <c r="K207" s="16">
        <v>0.446900422881501</v>
      </c>
      <c r="L207" s="16" t="s">
        <v>490</v>
      </c>
      <c r="M207" s="16" t="s">
        <v>8</v>
      </c>
      <c r="N207" s="16">
        <f t="shared" si="3"/>
        <v>14.896680762716699</v>
      </c>
      <c r="O207" s="22" t="s">
        <v>451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</row>
    <row r="208" spans="1:92" s="18" customFormat="1" ht="16" x14ac:dyDescent="0.2">
      <c r="A208" s="18">
        <v>770</v>
      </c>
      <c r="B208" s="18" t="s">
        <v>522</v>
      </c>
      <c r="C208" s="18" t="s">
        <v>833</v>
      </c>
      <c r="D208" s="18" t="s">
        <v>834</v>
      </c>
      <c r="E208" s="18" t="s">
        <v>524</v>
      </c>
      <c r="F208" s="18" t="s">
        <v>680</v>
      </c>
      <c r="G208" s="18" t="s">
        <v>835</v>
      </c>
      <c r="H208" s="19">
        <v>44330</v>
      </c>
      <c r="I208" s="18">
        <v>5</v>
      </c>
      <c r="J208" s="18">
        <v>150</v>
      </c>
      <c r="K208" s="18">
        <v>0</v>
      </c>
      <c r="L208" s="18" t="s">
        <v>490</v>
      </c>
      <c r="M208" s="18" t="s">
        <v>8</v>
      </c>
      <c r="N208" s="18">
        <f t="shared" si="3"/>
        <v>0</v>
      </c>
      <c r="O208" s="20" t="s">
        <v>451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</row>
    <row r="209" spans="1:92" s="18" customFormat="1" ht="16" x14ac:dyDescent="0.2">
      <c r="A209" s="18">
        <v>777</v>
      </c>
      <c r="B209" s="18" t="s">
        <v>522</v>
      </c>
      <c r="C209" s="18" t="s">
        <v>833</v>
      </c>
      <c r="D209" s="18" t="s">
        <v>834</v>
      </c>
      <c r="E209" s="18" t="s">
        <v>524</v>
      </c>
      <c r="F209" s="18" t="s">
        <v>680</v>
      </c>
      <c r="G209" s="18" t="s">
        <v>835</v>
      </c>
      <c r="H209" s="19">
        <v>44330</v>
      </c>
      <c r="I209" s="18">
        <v>5</v>
      </c>
      <c r="J209" s="18">
        <v>150</v>
      </c>
      <c r="K209" s="18">
        <v>0</v>
      </c>
      <c r="L209" s="18" t="s">
        <v>490</v>
      </c>
      <c r="M209" s="18" t="s">
        <v>8</v>
      </c>
      <c r="N209" s="18">
        <f t="shared" si="3"/>
        <v>0</v>
      </c>
      <c r="O209" s="20" t="s">
        <v>451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</row>
    <row r="210" spans="1:92" s="18" customFormat="1" ht="16" x14ac:dyDescent="0.2">
      <c r="A210" s="18">
        <v>784</v>
      </c>
      <c r="B210" s="18" t="s">
        <v>522</v>
      </c>
      <c r="C210" s="18" t="s">
        <v>833</v>
      </c>
      <c r="D210" s="18" t="s">
        <v>834</v>
      </c>
      <c r="E210" s="18" t="s">
        <v>524</v>
      </c>
      <c r="F210" s="18" t="s">
        <v>680</v>
      </c>
      <c r="G210" s="18" t="s">
        <v>835</v>
      </c>
      <c r="H210" s="19">
        <v>44330</v>
      </c>
      <c r="I210" s="18">
        <v>5</v>
      </c>
      <c r="J210" s="18">
        <v>150</v>
      </c>
      <c r="K210" s="18">
        <v>0</v>
      </c>
      <c r="L210" s="18" t="s">
        <v>490</v>
      </c>
      <c r="M210" s="18" t="s">
        <v>8</v>
      </c>
      <c r="N210" s="18">
        <f t="shared" si="3"/>
        <v>0</v>
      </c>
      <c r="O210" s="20" t="s">
        <v>451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</row>
    <row r="211" spans="1:92" s="18" customFormat="1" ht="16" x14ac:dyDescent="0.2">
      <c r="A211" s="18">
        <v>752</v>
      </c>
      <c r="B211" s="18" t="s">
        <v>522</v>
      </c>
      <c r="C211" s="18" t="s">
        <v>833</v>
      </c>
      <c r="D211" s="18" t="s">
        <v>834</v>
      </c>
      <c r="E211" s="18" t="s">
        <v>524</v>
      </c>
      <c r="F211" s="18" t="s">
        <v>680</v>
      </c>
      <c r="G211" s="18" t="s">
        <v>836</v>
      </c>
      <c r="H211" s="19">
        <v>44330</v>
      </c>
      <c r="I211" s="18">
        <v>5</v>
      </c>
      <c r="J211" s="18">
        <v>150</v>
      </c>
      <c r="K211" s="18">
        <v>2.01883978626975</v>
      </c>
      <c r="L211" s="18" t="s">
        <v>490</v>
      </c>
      <c r="M211" s="18" t="s">
        <v>8</v>
      </c>
      <c r="N211" s="18">
        <f t="shared" si="3"/>
        <v>67.294659542325007</v>
      </c>
      <c r="O211" s="20" t="s">
        <v>451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</row>
    <row r="212" spans="1:92" s="18" customFormat="1" ht="16" x14ac:dyDescent="0.2">
      <c r="A212" s="18">
        <v>758</v>
      </c>
      <c r="B212" s="18" t="s">
        <v>522</v>
      </c>
      <c r="C212" s="18" t="s">
        <v>833</v>
      </c>
      <c r="D212" s="18" t="s">
        <v>834</v>
      </c>
      <c r="E212" s="18" t="s">
        <v>524</v>
      </c>
      <c r="F212" s="18" t="s">
        <v>680</v>
      </c>
      <c r="G212" s="18" t="s">
        <v>836</v>
      </c>
      <c r="H212" s="19">
        <v>44330</v>
      </c>
      <c r="I212" s="18">
        <v>5</v>
      </c>
      <c r="J212" s="18">
        <v>150</v>
      </c>
      <c r="K212" s="18">
        <v>0</v>
      </c>
      <c r="L212" s="18" t="s">
        <v>490</v>
      </c>
      <c r="M212" s="18" t="s">
        <v>8</v>
      </c>
      <c r="N212" s="18">
        <f t="shared" si="3"/>
        <v>0</v>
      </c>
      <c r="O212" s="20" t="s">
        <v>451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</row>
    <row r="213" spans="1:92" s="18" customFormat="1" ht="16" x14ac:dyDescent="0.2">
      <c r="A213" s="18">
        <v>764</v>
      </c>
      <c r="B213" s="18" t="s">
        <v>522</v>
      </c>
      <c r="C213" s="18" t="s">
        <v>833</v>
      </c>
      <c r="D213" s="18" t="s">
        <v>834</v>
      </c>
      <c r="E213" s="18" t="s">
        <v>524</v>
      </c>
      <c r="F213" s="18" t="s">
        <v>680</v>
      </c>
      <c r="G213" s="18" t="s">
        <v>836</v>
      </c>
      <c r="H213" s="19">
        <v>44330</v>
      </c>
      <c r="I213" s="18">
        <v>5</v>
      </c>
      <c r="J213" s="18">
        <v>150</v>
      </c>
      <c r="K213" s="18">
        <v>0</v>
      </c>
      <c r="L213" s="18" t="s">
        <v>490</v>
      </c>
      <c r="M213" s="18" t="s">
        <v>8</v>
      </c>
      <c r="N213" s="18">
        <f t="shared" si="3"/>
        <v>0</v>
      </c>
      <c r="O213" s="20" t="s">
        <v>451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</row>
    <row r="214" spans="1:92" s="18" customFormat="1" ht="16" x14ac:dyDescent="0.2">
      <c r="A214" s="18">
        <v>771</v>
      </c>
      <c r="B214" s="18" t="s">
        <v>522</v>
      </c>
      <c r="C214" s="18" t="s">
        <v>833</v>
      </c>
      <c r="D214" s="18" t="s">
        <v>834</v>
      </c>
      <c r="E214" s="18" t="s">
        <v>524</v>
      </c>
      <c r="F214" s="18" t="s">
        <v>680</v>
      </c>
      <c r="G214" s="18" t="s">
        <v>837</v>
      </c>
      <c r="H214" s="19">
        <v>44330</v>
      </c>
      <c r="I214" s="18">
        <v>5</v>
      </c>
      <c r="J214" s="18">
        <v>150</v>
      </c>
      <c r="K214" s="18">
        <v>1.7537010579489301</v>
      </c>
      <c r="L214" s="18" t="s">
        <v>490</v>
      </c>
      <c r="M214" s="18" t="s">
        <v>8</v>
      </c>
      <c r="N214" s="18">
        <f t="shared" si="3"/>
        <v>58.456701931631009</v>
      </c>
      <c r="O214" s="20" t="s">
        <v>451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</row>
    <row r="215" spans="1:92" s="16" customFormat="1" ht="16" x14ac:dyDescent="0.2">
      <c r="A215" s="18">
        <v>778</v>
      </c>
      <c r="B215" s="18" t="s">
        <v>522</v>
      </c>
      <c r="C215" s="18" t="s">
        <v>833</v>
      </c>
      <c r="D215" s="18" t="s">
        <v>834</v>
      </c>
      <c r="E215" s="18" t="s">
        <v>524</v>
      </c>
      <c r="F215" s="18" t="s">
        <v>680</v>
      </c>
      <c r="G215" s="18" t="s">
        <v>837</v>
      </c>
      <c r="H215" s="19">
        <v>44330</v>
      </c>
      <c r="I215" s="18">
        <v>5</v>
      </c>
      <c r="J215" s="18">
        <v>150</v>
      </c>
      <c r="K215" s="18">
        <v>0</v>
      </c>
      <c r="L215" s="18" t="s">
        <v>490</v>
      </c>
      <c r="M215" s="18" t="s">
        <v>8</v>
      </c>
      <c r="N215" s="18">
        <f t="shared" si="3"/>
        <v>0</v>
      </c>
      <c r="O215" s="20" t="s">
        <v>451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</row>
    <row r="216" spans="1:92" s="16" customFormat="1" ht="16" x14ac:dyDescent="0.2">
      <c r="A216" s="18">
        <v>785</v>
      </c>
      <c r="B216" s="18" t="s">
        <v>522</v>
      </c>
      <c r="C216" s="18" t="s">
        <v>833</v>
      </c>
      <c r="D216" s="18" t="s">
        <v>834</v>
      </c>
      <c r="E216" s="18" t="s">
        <v>524</v>
      </c>
      <c r="F216" s="18" t="s">
        <v>680</v>
      </c>
      <c r="G216" s="18" t="s">
        <v>837</v>
      </c>
      <c r="H216" s="19">
        <v>44330</v>
      </c>
      <c r="I216" s="18">
        <v>5</v>
      </c>
      <c r="J216" s="18">
        <v>150</v>
      </c>
      <c r="K216" s="18">
        <v>0</v>
      </c>
      <c r="L216" s="18" t="s">
        <v>490</v>
      </c>
      <c r="M216" s="18" t="s">
        <v>8</v>
      </c>
      <c r="N216" s="18">
        <f t="shared" si="3"/>
        <v>0</v>
      </c>
      <c r="O216" s="20" t="s">
        <v>451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</row>
    <row r="217" spans="1:92" s="16" customFormat="1" ht="16" x14ac:dyDescent="0.2">
      <c r="A217" s="16">
        <v>753</v>
      </c>
      <c r="B217" s="16" t="s">
        <v>526</v>
      </c>
      <c r="C217" s="16" t="s">
        <v>838</v>
      </c>
      <c r="D217" s="16" t="s">
        <v>839</v>
      </c>
      <c r="E217" s="16" t="s">
        <v>528</v>
      </c>
      <c r="F217" s="16" t="s">
        <v>680</v>
      </c>
      <c r="G217" s="16" t="s">
        <v>840</v>
      </c>
      <c r="H217" s="17">
        <v>44330</v>
      </c>
      <c r="I217" s="16">
        <v>5</v>
      </c>
      <c r="J217" s="16">
        <v>100</v>
      </c>
      <c r="K217" s="16">
        <v>0</v>
      </c>
      <c r="L217" s="16" t="s">
        <v>490</v>
      </c>
      <c r="M217" s="16" t="s">
        <v>8</v>
      </c>
      <c r="N217" s="16">
        <f t="shared" si="3"/>
        <v>0</v>
      </c>
      <c r="O217" s="22" t="s">
        <v>451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</row>
    <row r="218" spans="1:92" s="16" customFormat="1" ht="16" x14ac:dyDescent="0.2">
      <c r="A218" s="16">
        <v>759</v>
      </c>
      <c r="B218" s="16" t="s">
        <v>526</v>
      </c>
      <c r="C218" s="16" t="s">
        <v>838</v>
      </c>
      <c r="D218" s="16" t="s">
        <v>839</v>
      </c>
      <c r="E218" s="16" t="s">
        <v>528</v>
      </c>
      <c r="F218" s="16" t="s">
        <v>680</v>
      </c>
      <c r="G218" s="16" t="s">
        <v>840</v>
      </c>
      <c r="H218" s="17">
        <v>44330</v>
      </c>
      <c r="I218" s="16">
        <v>5</v>
      </c>
      <c r="J218" s="16">
        <v>100</v>
      </c>
      <c r="K218" s="16">
        <v>0</v>
      </c>
      <c r="L218" s="16" t="s">
        <v>490</v>
      </c>
      <c r="M218" s="16" t="s">
        <v>8</v>
      </c>
      <c r="N218" s="16">
        <f t="shared" si="3"/>
        <v>0</v>
      </c>
      <c r="O218" s="22" t="s">
        <v>451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</row>
    <row r="219" spans="1:92" s="16" customFormat="1" ht="16" x14ac:dyDescent="0.2">
      <c r="A219" s="16">
        <v>765</v>
      </c>
      <c r="B219" s="16" t="s">
        <v>526</v>
      </c>
      <c r="C219" s="16" t="s">
        <v>838</v>
      </c>
      <c r="D219" s="16" t="s">
        <v>839</v>
      </c>
      <c r="E219" s="16" t="s">
        <v>528</v>
      </c>
      <c r="F219" s="16" t="s">
        <v>680</v>
      </c>
      <c r="G219" s="16" t="s">
        <v>840</v>
      </c>
      <c r="H219" s="17">
        <v>44330</v>
      </c>
      <c r="I219" s="16">
        <v>5</v>
      </c>
      <c r="J219" s="16">
        <v>100</v>
      </c>
      <c r="K219" s="16">
        <v>2.2616945467201099</v>
      </c>
      <c r="L219" s="16" t="s">
        <v>490</v>
      </c>
      <c r="M219" s="16" t="s">
        <v>8</v>
      </c>
      <c r="N219" s="16">
        <f t="shared" si="3"/>
        <v>113.0847273360055</v>
      </c>
      <c r="O219" s="22" t="s">
        <v>451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</row>
    <row r="220" spans="1:92" s="16" customFormat="1" ht="16" x14ac:dyDescent="0.2">
      <c r="A220" s="16">
        <v>772</v>
      </c>
      <c r="B220" s="16" t="s">
        <v>526</v>
      </c>
      <c r="C220" s="16" t="s">
        <v>838</v>
      </c>
      <c r="D220" s="16" t="s">
        <v>839</v>
      </c>
      <c r="E220" s="16" t="s">
        <v>528</v>
      </c>
      <c r="F220" s="16" t="s">
        <v>680</v>
      </c>
      <c r="G220" s="16" t="s">
        <v>841</v>
      </c>
      <c r="H220" s="17">
        <v>44330</v>
      </c>
      <c r="I220" s="16">
        <v>5</v>
      </c>
      <c r="J220" s="16">
        <v>100</v>
      </c>
      <c r="K220" s="16">
        <v>0</v>
      </c>
      <c r="L220" s="16" t="s">
        <v>490</v>
      </c>
      <c r="M220" s="16" t="s">
        <v>8</v>
      </c>
      <c r="N220" s="16">
        <f t="shared" si="3"/>
        <v>0</v>
      </c>
      <c r="O220" s="22" t="s">
        <v>451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</row>
    <row r="221" spans="1:92" s="16" customFormat="1" ht="16" x14ac:dyDescent="0.2">
      <c r="A221" s="16">
        <v>779</v>
      </c>
      <c r="B221" s="16" t="s">
        <v>526</v>
      </c>
      <c r="C221" s="16" t="s">
        <v>838</v>
      </c>
      <c r="D221" s="16" t="s">
        <v>839</v>
      </c>
      <c r="E221" s="16" t="s">
        <v>528</v>
      </c>
      <c r="F221" s="16" t="s">
        <v>680</v>
      </c>
      <c r="G221" s="16" t="s">
        <v>841</v>
      </c>
      <c r="H221" s="17">
        <v>44330</v>
      </c>
      <c r="I221" s="16">
        <v>5</v>
      </c>
      <c r="J221" s="16">
        <v>100</v>
      </c>
      <c r="K221" s="16">
        <v>0</v>
      </c>
      <c r="L221" s="16" t="s">
        <v>490</v>
      </c>
      <c r="M221" s="16" t="s">
        <v>8</v>
      </c>
      <c r="N221" s="16">
        <f t="shared" si="3"/>
        <v>0</v>
      </c>
      <c r="O221" s="22" t="s">
        <v>451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</row>
    <row r="222" spans="1:92" s="16" customFormat="1" ht="16" x14ac:dyDescent="0.2">
      <c r="A222" s="16">
        <v>786</v>
      </c>
      <c r="B222" s="16" t="s">
        <v>526</v>
      </c>
      <c r="C222" s="16" t="s">
        <v>838</v>
      </c>
      <c r="D222" s="16" t="s">
        <v>839</v>
      </c>
      <c r="E222" s="16" t="s">
        <v>528</v>
      </c>
      <c r="F222" s="16" t="s">
        <v>680</v>
      </c>
      <c r="G222" s="16" t="s">
        <v>841</v>
      </c>
      <c r="H222" s="17">
        <v>44330</v>
      </c>
      <c r="I222" s="16">
        <v>5</v>
      </c>
      <c r="J222" s="16">
        <v>100</v>
      </c>
      <c r="K222" s="16">
        <v>0</v>
      </c>
      <c r="L222" s="16" t="s">
        <v>490</v>
      </c>
      <c r="M222" s="16" t="s">
        <v>8</v>
      </c>
      <c r="N222" s="16">
        <f t="shared" si="3"/>
        <v>0</v>
      </c>
      <c r="O222" s="22" t="s">
        <v>451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</row>
    <row r="223" spans="1:92" s="16" customFormat="1" ht="16" x14ac:dyDescent="0.2">
      <c r="A223" s="16">
        <v>754</v>
      </c>
      <c r="B223" s="16" t="s">
        <v>526</v>
      </c>
      <c r="C223" s="16" t="s">
        <v>838</v>
      </c>
      <c r="D223" s="16" t="s">
        <v>839</v>
      </c>
      <c r="E223" s="16" t="s">
        <v>528</v>
      </c>
      <c r="F223" s="16" t="s">
        <v>680</v>
      </c>
      <c r="G223" s="16" t="s">
        <v>842</v>
      </c>
      <c r="H223" s="17">
        <v>44330</v>
      </c>
      <c r="I223" s="16">
        <v>5</v>
      </c>
      <c r="J223" s="16">
        <v>100</v>
      </c>
      <c r="K223" s="16">
        <v>0</v>
      </c>
      <c r="L223" s="16" t="s">
        <v>490</v>
      </c>
      <c r="M223" s="16" t="s">
        <v>8</v>
      </c>
      <c r="N223" s="16">
        <f t="shared" si="3"/>
        <v>0</v>
      </c>
      <c r="O223" s="22" t="s">
        <v>451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</row>
    <row r="224" spans="1:92" s="18" customFormat="1" ht="16" x14ac:dyDescent="0.2">
      <c r="A224" s="16">
        <v>760</v>
      </c>
      <c r="B224" s="16" t="s">
        <v>526</v>
      </c>
      <c r="C224" s="16" t="s">
        <v>838</v>
      </c>
      <c r="D224" s="16" t="s">
        <v>839</v>
      </c>
      <c r="E224" s="16" t="s">
        <v>528</v>
      </c>
      <c r="F224" s="16" t="s">
        <v>680</v>
      </c>
      <c r="G224" s="16" t="s">
        <v>842</v>
      </c>
      <c r="H224" s="17">
        <v>44330</v>
      </c>
      <c r="I224" s="16">
        <v>5</v>
      </c>
      <c r="J224" s="16">
        <v>100</v>
      </c>
      <c r="K224" s="16">
        <v>0</v>
      </c>
      <c r="L224" s="16" t="s">
        <v>490</v>
      </c>
      <c r="M224" s="16" t="s">
        <v>8</v>
      </c>
      <c r="N224" s="16">
        <f t="shared" si="3"/>
        <v>0</v>
      </c>
      <c r="O224" s="22" t="s">
        <v>451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</row>
    <row r="225" spans="1:92" s="18" customFormat="1" ht="16" x14ac:dyDescent="0.2">
      <c r="A225" s="16">
        <v>766</v>
      </c>
      <c r="B225" s="16" t="s">
        <v>526</v>
      </c>
      <c r="C225" s="16" t="s">
        <v>838</v>
      </c>
      <c r="D225" s="16" t="s">
        <v>839</v>
      </c>
      <c r="E225" s="16" t="s">
        <v>528</v>
      </c>
      <c r="F225" s="16" t="s">
        <v>680</v>
      </c>
      <c r="G225" s="16" t="s">
        <v>842</v>
      </c>
      <c r="H225" s="17">
        <v>44330</v>
      </c>
      <c r="I225" s="16">
        <v>5</v>
      </c>
      <c r="J225" s="16">
        <v>100</v>
      </c>
      <c r="K225" s="16">
        <v>0</v>
      </c>
      <c r="L225" s="16" t="s">
        <v>490</v>
      </c>
      <c r="M225" s="16" t="s">
        <v>8</v>
      </c>
      <c r="N225" s="16">
        <f t="shared" si="3"/>
        <v>0</v>
      </c>
      <c r="O225" s="22" t="s">
        <v>451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</row>
    <row r="226" spans="1:92" s="18" customFormat="1" ht="16" x14ac:dyDescent="0.2">
      <c r="A226" s="18">
        <v>773</v>
      </c>
      <c r="B226" s="18" t="s">
        <v>530</v>
      </c>
      <c r="C226" s="18" t="s">
        <v>843</v>
      </c>
      <c r="D226" s="18" t="s">
        <v>844</v>
      </c>
      <c r="E226" s="18" t="s">
        <v>532</v>
      </c>
      <c r="F226" s="18" t="s">
        <v>680</v>
      </c>
      <c r="G226" s="18" t="s">
        <v>845</v>
      </c>
      <c r="H226" s="19">
        <v>44330</v>
      </c>
      <c r="I226" s="18">
        <v>5</v>
      </c>
      <c r="J226" s="18">
        <v>80</v>
      </c>
      <c r="K226" s="18">
        <v>0</v>
      </c>
      <c r="L226" s="18" t="s">
        <v>490</v>
      </c>
      <c r="M226" s="18" t="s">
        <v>8</v>
      </c>
      <c r="N226" s="18">
        <f t="shared" si="3"/>
        <v>0</v>
      </c>
      <c r="O226" s="20" t="s">
        <v>451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</row>
    <row r="227" spans="1:92" s="18" customFormat="1" ht="16" x14ac:dyDescent="0.2">
      <c r="A227" s="18">
        <v>780</v>
      </c>
      <c r="B227" s="18" t="s">
        <v>530</v>
      </c>
      <c r="C227" s="18" t="s">
        <v>843</v>
      </c>
      <c r="D227" s="18" t="s">
        <v>844</v>
      </c>
      <c r="E227" s="18" t="s">
        <v>532</v>
      </c>
      <c r="F227" s="18" t="s">
        <v>680</v>
      </c>
      <c r="G227" s="18" t="s">
        <v>845</v>
      </c>
      <c r="H227" s="19">
        <v>44330</v>
      </c>
      <c r="I227" s="18">
        <v>5</v>
      </c>
      <c r="J227" s="18">
        <v>80</v>
      </c>
      <c r="K227" s="18">
        <v>0.43078764839953099</v>
      </c>
      <c r="L227" s="18" t="s">
        <v>490</v>
      </c>
      <c r="M227" s="18" t="s">
        <v>8</v>
      </c>
      <c r="N227" s="18">
        <f t="shared" si="3"/>
        <v>26.924228024970688</v>
      </c>
      <c r="O227" s="20" t="s">
        <v>451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</row>
    <row r="228" spans="1:92" s="18" customFormat="1" ht="16" x14ac:dyDescent="0.2">
      <c r="A228" s="18">
        <v>787</v>
      </c>
      <c r="B228" s="18" t="s">
        <v>530</v>
      </c>
      <c r="C228" s="18" t="s">
        <v>843</v>
      </c>
      <c r="D228" s="18" t="s">
        <v>844</v>
      </c>
      <c r="E228" s="18" t="s">
        <v>532</v>
      </c>
      <c r="F228" s="18" t="s">
        <v>680</v>
      </c>
      <c r="G228" s="18" t="s">
        <v>845</v>
      </c>
      <c r="H228" s="19">
        <v>44330</v>
      </c>
      <c r="I228" s="18">
        <v>5</v>
      </c>
      <c r="J228" s="18">
        <v>80</v>
      </c>
      <c r="K228" s="18">
        <v>0</v>
      </c>
      <c r="L228" s="18" t="s">
        <v>490</v>
      </c>
      <c r="M228" s="18" t="s">
        <v>8</v>
      </c>
      <c r="N228" s="18">
        <f t="shared" si="3"/>
        <v>0</v>
      </c>
      <c r="O228" s="20" t="s">
        <v>451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</row>
    <row r="229" spans="1:92" s="18" customFormat="1" ht="16" x14ac:dyDescent="0.2">
      <c r="A229" s="18">
        <v>755</v>
      </c>
      <c r="B229" s="18" t="s">
        <v>530</v>
      </c>
      <c r="C229" s="18" t="s">
        <v>843</v>
      </c>
      <c r="D229" s="18" t="s">
        <v>844</v>
      </c>
      <c r="E229" s="18" t="s">
        <v>532</v>
      </c>
      <c r="F229" s="18" t="s">
        <v>680</v>
      </c>
      <c r="G229" s="18" t="s">
        <v>846</v>
      </c>
      <c r="H229" s="19">
        <v>44330</v>
      </c>
      <c r="I229" s="18">
        <v>5</v>
      </c>
      <c r="J229" s="18">
        <v>80</v>
      </c>
      <c r="K229" s="18">
        <v>0.38446177269494602</v>
      </c>
      <c r="L229" s="18" t="s">
        <v>490</v>
      </c>
      <c r="M229" s="18" t="s">
        <v>8</v>
      </c>
      <c r="N229" s="18">
        <f t="shared" si="3"/>
        <v>24.028860793434127</v>
      </c>
      <c r="O229" s="20" t="s">
        <v>451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</row>
    <row r="230" spans="1:92" s="18" customFormat="1" ht="16" x14ac:dyDescent="0.2">
      <c r="A230" s="18">
        <v>761</v>
      </c>
      <c r="B230" s="18" t="s">
        <v>530</v>
      </c>
      <c r="C230" s="18" t="s">
        <v>843</v>
      </c>
      <c r="D230" s="18" t="s">
        <v>844</v>
      </c>
      <c r="E230" s="18" t="s">
        <v>532</v>
      </c>
      <c r="F230" s="18" t="s">
        <v>680</v>
      </c>
      <c r="G230" s="18" t="s">
        <v>846</v>
      </c>
      <c r="H230" s="19">
        <v>44330</v>
      </c>
      <c r="I230" s="18">
        <v>5</v>
      </c>
      <c r="J230" s="18">
        <v>80</v>
      </c>
      <c r="K230" s="18">
        <v>0</v>
      </c>
      <c r="L230" s="18" t="s">
        <v>490</v>
      </c>
      <c r="M230" s="18" t="s">
        <v>8</v>
      </c>
      <c r="N230" s="18">
        <f t="shared" si="3"/>
        <v>0</v>
      </c>
      <c r="O230" s="20" t="s">
        <v>451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</row>
    <row r="231" spans="1:92" s="18" customFormat="1" ht="16" x14ac:dyDescent="0.2">
      <c r="A231" s="18">
        <v>767</v>
      </c>
      <c r="B231" s="18" t="s">
        <v>530</v>
      </c>
      <c r="C231" s="18" t="s">
        <v>843</v>
      </c>
      <c r="D231" s="18" t="s">
        <v>844</v>
      </c>
      <c r="E231" s="18" t="s">
        <v>532</v>
      </c>
      <c r="F231" s="18" t="s">
        <v>680</v>
      </c>
      <c r="G231" s="18" t="s">
        <v>846</v>
      </c>
      <c r="H231" s="19">
        <v>44330</v>
      </c>
      <c r="I231" s="18">
        <v>5</v>
      </c>
      <c r="J231" s="18">
        <v>80</v>
      </c>
      <c r="K231" s="18">
        <v>0</v>
      </c>
      <c r="L231" s="18" t="s">
        <v>490</v>
      </c>
      <c r="M231" s="18" t="s">
        <v>8</v>
      </c>
      <c r="N231" s="18">
        <f t="shared" si="3"/>
        <v>0</v>
      </c>
      <c r="O231" s="20" t="s">
        <v>451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</row>
    <row r="232" spans="1:92" s="18" customFormat="1" ht="16" x14ac:dyDescent="0.2">
      <c r="A232" s="18">
        <v>774</v>
      </c>
      <c r="B232" s="18" t="s">
        <v>530</v>
      </c>
      <c r="C232" s="18" t="s">
        <v>843</v>
      </c>
      <c r="D232" s="18" t="s">
        <v>844</v>
      </c>
      <c r="E232" s="18" t="s">
        <v>532</v>
      </c>
      <c r="F232" s="18" t="s">
        <v>680</v>
      </c>
      <c r="G232" s="18" t="s">
        <v>847</v>
      </c>
      <c r="H232" s="19">
        <v>44330</v>
      </c>
      <c r="I232" s="18">
        <v>5</v>
      </c>
      <c r="J232" s="18">
        <v>80</v>
      </c>
      <c r="K232" s="18">
        <v>0.41506268280212899</v>
      </c>
      <c r="L232" s="18" t="s">
        <v>490</v>
      </c>
      <c r="M232" s="18" t="s">
        <v>8</v>
      </c>
      <c r="N232" s="18">
        <f t="shared" si="3"/>
        <v>25.94141767513306</v>
      </c>
      <c r="O232" s="20" t="s">
        <v>451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</row>
    <row r="233" spans="1:92" s="16" customFormat="1" ht="16" x14ac:dyDescent="0.2">
      <c r="A233" s="18">
        <v>781</v>
      </c>
      <c r="B233" s="18" t="s">
        <v>530</v>
      </c>
      <c r="C233" s="18" t="s">
        <v>843</v>
      </c>
      <c r="D233" s="18" t="s">
        <v>844</v>
      </c>
      <c r="E233" s="18" t="s">
        <v>532</v>
      </c>
      <c r="F233" s="18" t="s">
        <v>680</v>
      </c>
      <c r="G233" s="18" t="s">
        <v>847</v>
      </c>
      <c r="H233" s="19">
        <v>44330</v>
      </c>
      <c r="I233" s="18">
        <v>5</v>
      </c>
      <c r="J233" s="18">
        <v>80</v>
      </c>
      <c r="K233" s="18">
        <v>0.62861829353339505</v>
      </c>
      <c r="L233" s="18" t="s">
        <v>490</v>
      </c>
      <c r="M233" s="18" t="s">
        <v>8</v>
      </c>
      <c r="N233" s="18">
        <f t="shared" si="3"/>
        <v>39.288643345837194</v>
      </c>
      <c r="O233" s="20" t="s">
        <v>451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</row>
    <row r="234" spans="1:92" s="16" customFormat="1" ht="16" x14ac:dyDescent="0.2">
      <c r="A234" s="18">
        <v>788</v>
      </c>
      <c r="B234" s="18" t="s">
        <v>530</v>
      </c>
      <c r="C234" s="18" t="s">
        <v>843</v>
      </c>
      <c r="D234" s="18" t="s">
        <v>844</v>
      </c>
      <c r="E234" s="18" t="s">
        <v>532</v>
      </c>
      <c r="F234" s="18" t="s">
        <v>680</v>
      </c>
      <c r="G234" s="18" t="s">
        <v>847</v>
      </c>
      <c r="H234" s="19">
        <v>44330</v>
      </c>
      <c r="I234" s="18">
        <v>5</v>
      </c>
      <c r="J234" s="18">
        <v>80</v>
      </c>
      <c r="K234" s="18">
        <v>1.0633588319268401</v>
      </c>
      <c r="L234" s="18" t="s">
        <v>490</v>
      </c>
      <c r="M234" s="18" t="s">
        <v>8</v>
      </c>
      <c r="N234" s="18">
        <f t="shared" si="3"/>
        <v>66.459926995427509</v>
      </c>
      <c r="O234" s="20" t="s">
        <v>451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</row>
    <row r="235" spans="1:92" s="16" customFormat="1" ht="16" x14ac:dyDescent="0.2">
      <c r="A235" s="16">
        <v>756</v>
      </c>
      <c r="B235" s="16" t="s">
        <v>534</v>
      </c>
      <c r="C235" s="16" t="s">
        <v>848</v>
      </c>
      <c r="D235" s="16" t="s">
        <v>849</v>
      </c>
      <c r="E235" s="16" t="s">
        <v>536</v>
      </c>
      <c r="F235" s="16" t="s">
        <v>680</v>
      </c>
      <c r="G235" s="16" t="s">
        <v>850</v>
      </c>
      <c r="H235" s="17">
        <v>44330</v>
      </c>
      <c r="I235" s="16">
        <v>5</v>
      </c>
      <c r="J235" s="16">
        <v>100</v>
      </c>
      <c r="K235" s="16">
        <v>0</v>
      </c>
      <c r="L235" s="16" t="s">
        <v>490</v>
      </c>
      <c r="M235" s="16" t="s">
        <v>8</v>
      </c>
      <c r="N235" s="16">
        <f t="shared" si="3"/>
        <v>0</v>
      </c>
      <c r="O235" s="22" t="s">
        <v>451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</row>
    <row r="236" spans="1:92" s="16" customFormat="1" ht="16" x14ac:dyDescent="0.2">
      <c r="A236" s="16">
        <v>762</v>
      </c>
      <c r="B236" s="16" t="s">
        <v>534</v>
      </c>
      <c r="C236" s="16" t="s">
        <v>848</v>
      </c>
      <c r="D236" s="16" t="s">
        <v>849</v>
      </c>
      <c r="E236" s="16" t="s">
        <v>536</v>
      </c>
      <c r="F236" s="16" t="s">
        <v>680</v>
      </c>
      <c r="G236" s="16" t="s">
        <v>850</v>
      </c>
      <c r="H236" s="17">
        <v>44330</v>
      </c>
      <c r="I236" s="16">
        <v>5</v>
      </c>
      <c r="J236" s="16">
        <v>100</v>
      </c>
      <c r="K236" s="16">
        <v>0</v>
      </c>
      <c r="L236" s="16" t="s">
        <v>490</v>
      </c>
      <c r="M236" s="16" t="s">
        <v>8</v>
      </c>
      <c r="N236" s="16">
        <f t="shared" si="3"/>
        <v>0</v>
      </c>
      <c r="O236" s="22" t="s">
        <v>451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</row>
    <row r="237" spans="1:92" s="16" customFormat="1" ht="16" x14ac:dyDescent="0.2">
      <c r="A237" s="16">
        <v>768</v>
      </c>
      <c r="B237" s="16" t="s">
        <v>534</v>
      </c>
      <c r="C237" s="16" t="s">
        <v>848</v>
      </c>
      <c r="D237" s="16" t="s">
        <v>849</v>
      </c>
      <c r="E237" s="16" t="s">
        <v>536</v>
      </c>
      <c r="F237" s="16" t="s">
        <v>680</v>
      </c>
      <c r="G237" s="16" t="s">
        <v>850</v>
      </c>
      <c r="H237" s="17">
        <v>44330</v>
      </c>
      <c r="I237" s="16">
        <v>5</v>
      </c>
      <c r="J237" s="16">
        <v>100</v>
      </c>
      <c r="K237" s="16">
        <v>2.0495510054663599</v>
      </c>
      <c r="L237" s="16" t="s">
        <v>490</v>
      </c>
      <c r="M237" s="16" t="s">
        <v>8</v>
      </c>
      <c r="N237" s="16">
        <f t="shared" si="3"/>
        <v>102.47755027331799</v>
      </c>
      <c r="O237" s="22" t="s">
        <v>451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</row>
    <row r="238" spans="1:92" s="16" customFormat="1" ht="16" x14ac:dyDescent="0.2">
      <c r="A238" s="16">
        <v>775</v>
      </c>
      <c r="B238" s="16" t="s">
        <v>534</v>
      </c>
      <c r="C238" s="16" t="s">
        <v>848</v>
      </c>
      <c r="D238" s="16" t="s">
        <v>849</v>
      </c>
      <c r="E238" s="16" t="s">
        <v>536</v>
      </c>
      <c r="F238" s="16" t="s">
        <v>680</v>
      </c>
      <c r="G238" s="16" t="s">
        <v>851</v>
      </c>
      <c r="H238" s="17">
        <v>44330</v>
      </c>
      <c r="I238" s="16">
        <v>5</v>
      </c>
      <c r="J238" s="16">
        <v>100</v>
      </c>
      <c r="K238" s="16">
        <v>0.37973206907968599</v>
      </c>
      <c r="L238" s="16" t="s">
        <v>490</v>
      </c>
      <c r="M238" s="16" t="s">
        <v>8</v>
      </c>
      <c r="N238" s="16">
        <f t="shared" si="3"/>
        <v>18.986603453984298</v>
      </c>
      <c r="O238" s="22" t="s">
        <v>451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</row>
    <row r="239" spans="1:92" s="16" customFormat="1" ht="16" x14ac:dyDescent="0.2">
      <c r="A239" s="16">
        <v>782</v>
      </c>
      <c r="B239" s="16" t="s">
        <v>534</v>
      </c>
      <c r="C239" s="16" t="s">
        <v>848</v>
      </c>
      <c r="D239" s="16" t="s">
        <v>849</v>
      </c>
      <c r="E239" s="16" t="s">
        <v>536</v>
      </c>
      <c r="F239" s="16" t="s">
        <v>680</v>
      </c>
      <c r="G239" s="16" t="s">
        <v>851</v>
      </c>
      <c r="H239" s="17">
        <v>44330</v>
      </c>
      <c r="I239" s="16">
        <v>5</v>
      </c>
      <c r="J239" s="16">
        <v>100</v>
      </c>
      <c r="K239" s="16">
        <v>0</v>
      </c>
      <c r="L239" s="16" t="s">
        <v>490</v>
      </c>
      <c r="M239" s="16" t="s">
        <v>8</v>
      </c>
      <c r="N239" s="16">
        <f t="shared" si="3"/>
        <v>0</v>
      </c>
      <c r="O239" s="22" t="s">
        <v>451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</row>
    <row r="240" spans="1:92" s="16" customFormat="1" ht="16" x14ac:dyDescent="0.2">
      <c r="A240" s="16">
        <v>789</v>
      </c>
      <c r="B240" s="16" t="s">
        <v>534</v>
      </c>
      <c r="C240" s="16" t="s">
        <v>848</v>
      </c>
      <c r="D240" s="16" t="s">
        <v>849</v>
      </c>
      <c r="E240" s="16" t="s">
        <v>536</v>
      </c>
      <c r="F240" s="16" t="s">
        <v>680</v>
      </c>
      <c r="G240" s="16" t="s">
        <v>851</v>
      </c>
      <c r="H240" s="17">
        <v>44330</v>
      </c>
      <c r="I240" s="16">
        <v>5</v>
      </c>
      <c r="J240" s="16">
        <v>100</v>
      </c>
      <c r="K240" s="16">
        <v>0</v>
      </c>
      <c r="L240" s="16" t="s">
        <v>490</v>
      </c>
      <c r="M240" s="16" t="s">
        <v>8</v>
      </c>
      <c r="N240" s="16">
        <f t="shared" si="3"/>
        <v>0</v>
      </c>
      <c r="O240" s="22" t="s">
        <v>451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</row>
    <row r="241" spans="1:92" s="16" customFormat="1" ht="16" x14ac:dyDescent="0.2">
      <c r="A241" s="16">
        <v>790</v>
      </c>
      <c r="B241" s="16" t="s">
        <v>534</v>
      </c>
      <c r="C241" s="16" t="s">
        <v>848</v>
      </c>
      <c r="D241" s="16" t="s">
        <v>849</v>
      </c>
      <c r="E241" s="16" t="s">
        <v>536</v>
      </c>
      <c r="F241" s="16" t="s">
        <v>680</v>
      </c>
      <c r="G241" s="16" t="s">
        <v>852</v>
      </c>
      <c r="H241" s="17">
        <v>44330</v>
      </c>
      <c r="I241" s="16">
        <v>5</v>
      </c>
      <c r="J241" s="16">
        <v>100</v>
      </c>
      <c r="K241" s="16">
        <v>0</v>
      </c>
      <c r="L241" s="16" t="s">
        <v>490</v>
      </c>
      <c r="M241" s="16" t="s">
        <v>8</v>
      </c>
      <c r="N241" s="16">
        <f t="shared" si="3"/>
        <v>0</v>
      </c>
      <c r="O241" s="22" t="s">
        <v>451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</row>
    <row r="242" spans="1:92" s="18" customFormat="1" ht="16" x14ac:dyDescent="0.2">
      <c r="A242" s="16">
        <v>796</v>
      </c>
      <c r="B242" s="16" t="s">
        <v>534</v>
      </c>
      <c r="C242" s="16" t="s">
        <v>848</v>
      </c>
      <c r="D242" s="16" t="s">
        <v>849</v>
      </c>
      <c r="E242" s="16" t="s">
        <v>536</v>
      </c>
      <c r="F242" s="16" t="s">
        <v>680</v>
      </c>
      <c r="G242" s="16" t="s">
        <v>852</v>
      </c>
      <c r="H242" s="17">
        <v>44330</v>
      </c>
      <c r="I242" s="16">
        <v>5</v>
      </c>
      <c r="J242" s="16">
        <v>100</v>
      </c>
      <c r="K242" s="16">
        <v>0</v>
      </c>
      <c r="L242" s="16" t="s">
        <v>490</v>
      </c>
      <c r="M242" s="16" t="s">
        <v>8</v>
      </c>
      <c r="N242" s="16">
        <f t="shared" si="3"/>
        <v>0</v>
      </c>
      <c r="O242" s="22" t="s">
        <v>451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</row>
    <row r="243" spans="1:92" s="18" customFormat="1" ht="16" x14ac:dyDescent="0.2">
      <c r="A243" s="16">
        <v>802</v>
      </c>
      <c r="B243" s="16" t="s">
        <v>534</v>
      </c>
      <c r="C243" s="16" t="s">
        <v>848</v>
      </c>
      <c r="D243" s="16" t="s">
        <v>849</v>
      </c>
      <c r="E243" s="16" t="s">
        <v>536</v>
      </c>
      <c r="F243" s="16" t="s">
        <v>680</v>
      </c>
      <c r="G243" s="16" t="s">
        <v>852</v>
      </c>
      <c r="H243" s="17">
        <v>44330</v>
      </c>
      <c r="I243" s="16">
        <v>5</v>
      </c>
      <c r="J243" s="16">
        <v>100</v>
      </c>
      <c r="K243" s="16">
        <v>0</v>
      </c>
      <c r="L243" s="16" t="s">
        <v>490</v>
      </c>
      <c r="M243" s="16" t="s">
        <v>8</v>
      </c>
      <c r="N243" s="16">
        <f t="shared" si="3"/>
        <v>0</v>
      </c>
      <c r="O243" s="22" t="s">
        <v>451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</row>
    <row r="244" spans="1:92" s="18" customFormat="1" ht="16" x14ac:dyDescent="0.2">
      <c r="A244" s="18">
        <v>808</v>
      </c>
      <c r="B244" s="18" t="s">
        <v>538</v>
      </c>
      <c r="C244" s="18" t="s">
        <v>853</v>
      </c>
      <c r="D244" s="18" t="s">
        <v>854</v>
      </c>
      <c r="E244" s="18" t="s">
        <v>540</v>
      </c>
      <c r="F244" s="18" t="s">
        <v>680</v>
      </c>
      <c r="G244" s="18" t="s">
        <v>855</v>
      </c>
      <c r="H244" s="19">
        <v>44330</v>
      </c>
      <c r="I244" s="18">
        <v>5</v>
      </c>
      <c r="J244" s="18">
        <v>100</v>
      </c>
      <c r="K244" s="18">
        <v>0</v>
      </c>
      <c r="L244" s="18" t="s">
        <v>490</v>
      </c>
      <c r="M244" s="18" t="s">
        <v>8</v>
      </c>
      <c r="N244" s="18">
        <f t="shared" si="3"/>
        <v>0</v>
      </c>
      <c r="O244" s="18" t="s">
        <v>746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</row>
    <row r="245" spans="1:92" s="18" customFormat="1" ht="16" x14ac:dyDescent="0.2">
      <c r="A245" s="18">
        <v>814</v>
      </c>
      <c r="B245" s="18" t="s">
        <v>538</v>
      </c>
      <c r="C245" s="18" t="s">
        <v>853</v>
      </c>
      <c r="D245" s="18" t="s">
        <v>854</v>
      </c>
      <c r="E245" s="18" t="s">
        <v>540</v>
      </c>
      <c r="F245" s="18" t="s">
        <v>680</v>
      </c>
      <c r="G245" s="18" t="s">
        <v>855</v>
      </c>
      <c r="H245" s="19">
        <v>44330</v>
      </c>
      <c r="I245" s="18">
        <v>5</v>
      </c>
      <c r="J245" s="18">
        <v>100</v>
      </c>
      <c r="K245" s="18">
        <v>0</v>
      </c>
      <c r="L245" s="18" t="s">
        <v>490</v>
      </c>
      <c r="M245" s="18" t="s">
        <v>8</v>
      </c>
      <c r="N245" s="18">
        <f t="shared" si="3"/>
        <v>0</v>
      </c>
      <c r="O245" s="18" t="s">
        <v>746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</row>
    <row r="246" spans="1:92" s="18" customFormat="1" ht="16" x14ac:dyDescent="0.2">
      <c r="A246" s="18">
        <v>820</v>
      </c>
      <c r="B246" s="18" t="s">
        <v>538</v>
      </c>
      <c r="C246" s="18" t="s">
        <v>853</v>
      </c>
      <c r="D246" s="18" t="s">
        <v>854</v>
      </c>
      <c r="E246" s="18" t="s">
        <v>540</v>
      </c>
      <c r="F246" s="18" t="s">
        <v>680</v>
      </c>
      <c r="G246" s="18" t="s">
        <v>855</v>
      </c>
      <c r="H246" s="19">
        <v>44330</v>
      </c>
      <c r="I246" s="18">
        <v>5</v>
      </c>
      <c r="J246" s="18">
        <v>100</v>
      </c>
      <c r="K246" s="18">
        <v>0</v>
      </c>
      <c r="L246" s="18" t="s">
        <v>490</v>
      </c>
      <c r="M246" s="18" t="s">
        <v>8</v>
      </c>
      <c r="N246" s="18">
        <f t="shared" si="3"/>
        <v>0</v>
      </c>
      <c r="O246" s="18" t="s">
        <v>746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</row>
    <row r="247" spans="1:92" s="18" customFormat="1" ht="16" x14ac:dyDescent="0.2">
      <c r="A247" s="18">
        <v>791</v>
      </c>
      <c r="B247" s="18" t="s">
        <v>538</v>
      </c>
      <c r="C247" s="18" t="s">
        <v>853</v>
      </c>
      <c r="D247" s="18" t="s">
        <v>854</v>
      </c>
      <c r="E247" s="18" t="s">
        <v>540</v>
      </c>
      <c r="F247" s="18" t="s">
        <v>680</v>
      </c>
      <c r="G247" s="18" t="s">
        <v>856</v>
      </c>
      <c r="H247" s="19">
        <v>44330</v>
      </c>
      <c r="I247" s="18">
        <v>5</v>
      </c>
      <c r="J247" s="18">
        <v>100</v>
      </c>
      <c r="K247" s="18">
        <v>0</v>
      </c>
      <c r="L247" s="18" t="s">
        <v>490</v>
      </c>
      <c r="M247" s="18" t="s">
        <v>8</v>
      </c>
      <c r="N247" s="18">
        <f t="shared" si="3"/>
        <v>0</v>
      </c>
      <c r="O247" s="18" t="s">
        <v>746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</row>
    <row r="248" spans="1:92" s="18" customFormat="1" ht="16" x14ac:dyDescent="0.2">
      <c r="A248" s="18">
        <v>797</v>
      </c>
      <c r="B248" s="18" t="s">
        <v>538</v>
      </c>
      <c r="C248" s="18" t="s">
        <v>853</v>
      </c>
      <c r="D248" s="18" t="s">
        <v>854</v>
      </c>
      <c r="E248" s="18" t="s">
        <v>540</v>
      </c>
      <c r="F248" s="18" t="s">
        <v>680</v>
      </c>
      <c r="G248" s="18" t="s">
        <v>856</v>
      </c>
      <c r="H248" s="19">
        <v>44330</v>
      </c>
      <c r="I248" s="18">
        <v>5</v>
      </c>
      <c r="J248" s="18">
        <v>100</v>
      </c>
      <c r="K248" s="18">
        <v>0</v>
      </c>
      <c r="L248" s="18" t="s">
        <v>490</v>
      </c>
      <c r="M248" s="18" t="s">
        <v>8</v>
      </c>
      <c r="N248" s="18">
        <f t="shared" si="3"/>
        <v>0</v>
      </c>
      <c r="O248" s="18" t="s">
        <v>746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</row>
    <row r="249" spans="1:92" s="18" customFormat="1" ht="16" x14ac:dyDescent="0.2">
      <c r="A249" s="18">
        <v>803</v>
      </c>
      <c r="B249" s="18" t="s">
        <v>538</v>
      </c>
      <c r="C249" s="18" t="s">
        <v>853</v>
      </c>
      <c r="D249" s="18" t="s">
        <v>854</v>
      </c>
      <c r="E249" s="18" t="s">
        <v>540</v>
      </c>
      <c r="F249" s="18" t="s">
        <v>680</v>
      </c>
      <c r="G249" s="18" t="s">
        <v>856</v>
      </c>
      <c r="H249" s="19">
        <v>44330</v>
      </c>
      <c r="I249" s="18">
        <v>5</v>
      </c>
      <c r="J249" s="18">
        <v>100</v>
      </c>
      <c r="K249" s="18">
        <v>0</v>
      </c>
      <c r="L249" s="18" t="s">
        <v>490</v>
      </c>
      <c r="M249" s="18" t="s">
        <v>8</v>
      </c>
      <c r="N249" s="18">
        <f t="shared" si="3"/>
        <v>0</v>
      </c>
      <c r="O249" s="18" t="s">
        <v>746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</row>
    <row r="250" spans="1:92" s="18" customFormat="1" ht="16" x14ac:dyDescent="0.2">
      <c r="A250" s="16">
        <v>809</v>
      </c>
      <c r="B250" s="16" t="s">
        <v>542</v>
      </c>
      <c r="C250" s="16" t="s">
        <v>857</v>
      </c>
      <c r="D250" s="16" t="s">
        <v>858</v>
      </c>
      <c r="E250" s="16" t="s">
        <v>544</v>
      </c>
      <c r="F250" s="16" t="s">
        <v>680</v>
      </c>
      <c r="G250" s="16" t="s">
        <v>859</v>
      </c>
      <c r="H250" s="17">
        <v>44330</v>
      </c>
      <c r="I250" s="16">
        <v>5</v>
      </c>
      <c r="J250" s="16">
        <v>150</v>
      </c>
      <c r="K250" s="16">
        <v>0</v>
      </c>
      <c r="L250" s="16" t="s">
        <v>490</v>
      </c>
      <c r="M250" s="16" t="s">
        <v>8</v>
      </c>
      <c r="N250" s="16">
        <f t="shared" si="3"/>
        <v>0</v>
      </c>
      <c r="O250" s="22" t="s">
        <v>451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</row>
    <row r="251" spans="1:92" s="16" customFormat="1" ht="16" x14ac:dyDescent="0.2">
      <c r="A251" s="16">
        <v>815</v>
      </c>
      <c r="B251" s="16" t="s">
        <v>542</v>
      </c>
      <c r="C251" s="16" t="s">
        <v>857</v>
      </c>
      <c r="D251" s="16" t="s">
        <v>858</v>
      </c>
      <c r="E251" s="16" t="s">
        <v>544</v>
      </c>
      <c r="F251" s="16" t="s">
        <v>680</v>
      </c>
      <c r="G251" s="16" t="s">
        <v>859</v>
      </c>
      <c r="H251" s="17">
        <v>44330</v>
      </c>
      <c r="I251" s="16">
        <v>5</v>
      </c>
      <c r="J251" s="16">
        <v>150</v>
      </c>
      <c r="K251" s="16">
        <v>0</v>
      </c>
      <c r="L251" s="16" t="s">
        <v>490</v>
      </c>
      <c r="M251" s="16" t="s">
        <v>8</v>
      </c>
      <c r="N251" s="16">
        <f t="shared" si="3"/>
        <v>0</v>
      </c>
      <c r="O251" s="22" t="s">
        <v>451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</row>
    <row r="252" spans="1:92" s="16" customFormat="1" ht="16" x14ac:dyDescent="0.2">
      <c r="A252" s="16">
        <v>821</v>
      </c>
      <c r="B252" s="16" t="s">
        <v>542</v>
      </c>
      <c r="C252" s="16" t="s">
        <v>857</v>
      </c>
      <c r="D252" s="16" t="s">
        <v>858</v>
      </c>
      <c r="E252" s="16" t="s">
        <v>544</v>
      </c>
      <c r="F252" s="16" t="s">
        <v>680</v>
      </c>
      <c r="G252" s="16" t="s">
        <v>859</v>
      </c>
      <c r="H252" s="17">
        <v>44330</v>
      </c>
      <c r="I252" s="16">
        <v>5</v>
      </c>
      <c r="J252" s="16">
        <v>150</v>
      </c>
      <c r="K252" s="16">
        <v>0</v>
      </c>
      <c r="L252" s="16" t="s">
        <v>490</v>
      </c>
      <c r="M252" s="16" t="s">
        <v>8</v>
      </c>
      <c r="N252" s="16">
        <f t="shared" si="3"/>
        <v>0</v>
      </c>
      <c r="O252" s="22" t="s">
        <v>451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</row>
    <row r="253" spans="1:92" s="16" customFormat="1" ht="16" x14ac:dyDescent="0.2">
      <c r="A253" s="16">
        <v>792</v>
      </c>
      <c r="B253" s="16" t="s">
        <v>542</v>
      </c>
      <c r="C253" s="16" t="s">
        <v>857</v>
      </c>
      <c r="D253" s="16" t="s">
        <v>858</v>
      </c>
      <c r="E253" s="16" t="s">
        <v>544</v>
      </c>
      <c r="F253" s="16" t="s">
        <v>680</v>
      </c>
      <c r="G253" s="16" t="s">
        <v>860</v>
      </c>
      <c r="H253" s="17">
        <v>44330</v>
      </c>
      <c r="I253" s="16">
        <v>5</v>
      </c>
      <c r="J253" s="16">
        <v>150</v>
      </c>
      <c r="K253" s="16">
        <v>0</v>
      </c>
      <c r="L253" s="16" t="s">
        <v>490</v>
      </c>
      <c r="M253" s="16" t="s">
        <v>8</v>
      </c>
      <c r="N253" s="16">
        <f t="shared" si="3"/>
        <v>0</v>
      </c>
      <c r="O253" s="22" t="s">
        <v>451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</row>
    <row r="254" spans="1:92" s="16" customFormat="1" ht="16" x14ac:dyDescent="0.2">
      <c r="A254" s="16">
        <v>798</v>
      </c>
      <c r="B254" s="16" t="s">
        <v>542</v>
      </c>
      <c r="C254" s="16" t="s">
        <v>857</v>
      </c>
      <c r="D254" s="16" t="s">
        <v>858</v>
      </c>
      <c r="E254" s="16" t="s">
        <v>544</v>
      </c>
      <c r="F254" s="16" t="s">
        <v>680</v>
      </c>
      <c r="G254" s="16" t="s">
        <v>860</v>
      </c>
      <c r="H254" s="17">
        <v>44330</v>
      </c>
      <c r="I254" s="16">
        <v>5</v>
      </c>
      <c r="J254" s="16">
        <v>150</v>
      </c>
      <c r="K254" s="16">
        <v>0</v>
      </c>
      <c r="L254" s="16" t="s">
        <v>490</v>
      </c>
      <c r="M254" s="16" t="s">
        <v>8</v>
      </c>
      <c r="N254" s="16">
        <f t="shared" si="3"/>
        <v>0</v>
      </c>
      <c r="O254" s="22" t="s">
        <v>451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</row>
    <row r="255" spans="1:92" s="16" customFormat="1" ht="16" x14ac:dyDescent="0.2">
      <c r="A255" s="16">
        <v>804</v>
      </c>
      <c r="B255" s="16" t="s">
        <v>542</v>
      </c>
      <c r="C255" s="16" t="s">
        <v>857</v>
      </c>
      <c r="D255" s="16" t="s">
        <v>858</v>
      </c>
      <c r="E255" s="16" t="s">
        <v>544</v>
      </c>
      <c r="F255" s="16" t="s">
        <v>680</v>
      </c>
      <c r="G255" s="16" t="s">
        <v>860</v>
      </c>
      <c r="H255" s="17">
        <v>44330</v>
      </c>
      <c r="I255" s="16">
        <v>5</v>
      </c>
      <c r="J255" s="16">
        <v>150</v>
      </c>
      <c r="K255" s="16">
        <v>0</v>
      </c>
      <c r="L255" s="16" t="s">
        <v>490</v>
      </c>
      <c r="M255" s="16" t="s">
        <v>8</v>
      </c>
      <c r="N255" s="16">
        <f t="shared" si="3"/>
        <v>0</v>
      </c>
      <c r="O255" s="22" t="s">
        <v>451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</row>
    <row r="256" spans="1:92" s="16" customFormat="1" ht="16" x14ac:dyDescent="0.2">
      <c r="A256" s="16">
        <v>810</v>
      </c>
      <c r="B256" s="16" t="s">
        <v>542</v>
      </c>
      <c r="C256" s="16" t="s">
        <v>857</v>
      </c>
      <c r="D256" s="16" t="s">
        <v>858</v>
      </c>
      <c r="E256" s="16" t="s">
        <v>544</v>
      </c>
      <c r="F256" s="16" t="s">
        <v>680</v>
      </c>
      <c r="G256" s="16" t="s">
        <v>861</v>
      </c>
      <c r="H256" s="17">
        <v>44330</v>
      </c>
      <c r="I256" s="16">
        <v>5</v>
      </c>
      <c r="J256" s="16">
        <v>150</v>
      </c>
      <c r="K256" s="16">
        <v>0</v>
      </c>
      <c r="L256" s="16" t="s">
        <v>490</v>
      </c>
      <c r="M256" s="16" t="s">
        <v>8</v>
      </c>
      <c r="N256" s="16">
        <f t="shared" si="3"/>
        <v>0</v>
      </c>
      <c r="O256" s="22" t="s">
        <v>451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</row>
    <row r="257" spans="1:92" s="16" customFormat="1" ht="16" x14ac:dyDescent="0.2">
      <c r="A257" s="16">
        <v>816</v>
      </c>
      <c r="B257" s="16" t="s">
        <v>542</v>
      </c>
      <c r="C257" s="16" t="s">
        <v>857</v>
      </c>
      <c r="D257" s="16" t="s">
        <v>858</v>
      </c>
      <c r="E257" s="16" t="s">
        <v>544</v>
      </c>
      <c r="F257" s="16" t="s">
        <v>680</v>
      </c>
      <c r="G257" s="16" t="s">
        <v>861</v>
      </c>
      <c r="H257" s="17">
        <v>44330</v>
      </c>
      <c r="I257" s="16">
        <v>5</v>
      </c>
      <c r="J257" s="16">
        <v>150</v>
      </c>
      <c r="K257" s="16">
        <v>0</v>
      </c>
      <c r="L257" s="16" t="s">
        <v>490</v>
      </c>
      <c r="M257" s="16" t="s">
        <v>8</v>
      </c>
      <c r="N257" s="16">
        <f t="shared" si="3"/>
        <v>0</v>
      </c>
      <c r="O257" s="22" t="s">
        <v>451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</row>
    <row r="258" spans="1:92" s="16" customFormat="1" ht="16" x14ac:dyDescent="0.2">
      <c r="A258" s="16">
        <v>822</v>
      </c>
      <c r="B258" s="16" t="s">
        <v>542</v>
      </c>
      <c r="C258" s="16" t="s">
        <v>857</v>
      </c>
      <c r="D258" s="16" t="s">
        <v>858</v>
      </c>
      <c r="E258" s="16" t="s">
        <v>544</v>
      </c>
      <c r="F258" s="16" t="s">
        <v>680</v>
      </c>
      <c r="G258" s="16" t="s">
        <v>861</v>
      </c>
      <c r="H258" s="17">
        <v>44330</v>
      </c>
      <c r="I258" s="16">
        <v>5</v>
      </c>
      <c r="J258" s="16">
        <v>150</v>
      </c>
      <c r="K258" s="16">
        <v>0</v>
      </c>
      <c r="L258" s="16" t="s">
        <v>490</v>
      </c>
      <c r="M258" s="16" t="s">
        <v>8</v>
      </c>
      <c r="N258" s="16">
        <f t="shared" si="3"/>
        <v>0</v>
      </c>
      <c r="O258" s="22" t="s">
        <v>451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</row>
    <row r="259" spans="1:92" s="16" customFormat="1" ht="16" x14ac:dyDescent="0.2">
      <c r="A259" s="18">
        <v>844</v>
      </c>
      <c r="B259" s="18" t="s">
        <v>546</v>
      </c>
      <c r="C259" s="18" t="s">
        <v>726</v>
      </c>
      <c r="D259" s="18" t="s">
        <v>862</v>
      </c>
      <c r="E259" s="18" t="s">
        <v>446</v>
      </c>
      <c r="F259" s="18" t="s">
        <v>680</v>
      </c>
      <c r="G259" s="18" t="s">
        <v>863</v>
      </c>
      <c r="H259" s="19">
        <v>44334</v>
      </c>
      <c r="I259" s="18">
        <v>5</v>
      </c>
      <c r="J259" s="18">
        <v>100</v>
      </c>
      <c r="K259" s="18">
        <v>2.0125994735653001</v>
      </c>
      <c r="L259" s="18" t="s">
        <v>490</v>
      </c>
      <c r="M259" s="18" t="s">
        <v>8</v>
      </c>
      <c r="N259" s="18">
        <f t="shared" si="3"/>
        <v>100.629973678265</v>
      </c>
      <c r="O259" s="20" t="s">
        <v>451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</row>
    <row r="260" spans="1:92" s="18" customFormat="1" ht="16" x14ac:dyDescent="0.2">
      <c r="A260" s="18">
        <v>851</v>
      </c>
      <c r="B260" s="18" t="s">
        <v>546</v>
      </c>
      <c r="C260" s="18" t="s">
        <v>726</v>
      </c>
      <c r="D260" s="18" t="s">
        <v>862</v>
      </c>
      <c r="E260" s="18" t="s">
        <v>446</v>
      </c>
      <c r="F260" s="18" t="s">
        <v>680</v>
      </c>
      <c r="G260" s="18" t="s">
        <v>863</v>
      </c>
      <c r="H260" s="19">
        <v>44334</v>
      </c>
      <c r="I260" s="18">
        <v>5</v>
      </c>
      <c r="J260" s="18">
        <v>100</v>
      </c>
      <c r="K260" s="18">
        <v>5.0222968948480498</v>
      </c>
      <c r="L260" s="18" t="s">
        <v>490</v>
      </c>
      <c r="M260" s="18" t="s">
        <v>8</v>
      </c>
      <c r="N260" s="18">
        <f t="shared" ref="N260:N323" si="4">K260*I260*(1000/J260)</f>
        <v>251.11484474240251</v>
      </c>
      <c r="O260" s="20" t="s">
        <v>451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</row>
    <row r="261" spans="1:92" s="18" customFormat="1" ht="16" x14ac:dyDescent="0.2">
      <c r="A261" s="18">
        <v>858</v>
      </c>
      <c r="B261" s="18" t="s">
        <v>546</v>
      </c>
      <c r="C261" s="18" t="s">
        <v>726</v>
      </c>
      <c r="D261" s="18" t="s">
        <v>862</v>
      </c>
      <c r="E261" s="18" t="s">
        <v>446</v>
      </c>
      <c r="F261" s="18" t="s">
        <v>680</v>
      </c>
      <c r="G261" s="18" t="s">
        <v>863</v>
      </c>
      <c r="H261" s="19">
        <v>44334</v>
      </c>
      <c r="I261" s="18">
        <v>5</v>
      </c>
      <c r="J261" s="18">
        <v>100</v>
      </c>
      <c r="K261" s="18">
        <v>2.2813028733727498</v>
      </c>
      <c r="L261" s="18" t="s">
        <v>490</v>
      </c>
      <c r="M261" s="18" t="s">
        <v>8</v>
      </c>
      <c r="N261" s="18">
        <f t="shared" si="4"/>
        <v>114.06514366863749</v>
      </c>
      <c r="O261" s="20" t="s">
        <v>451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</row>
    <row r="262" spans="1:92" s="18" customFormat="1" ht="16" x14ac:dyDescent="0.2">
      <c r="A262" s="18">
        <v>826</v>
      </c>
      <c r="B262" s="18" t="s">
        <v>546</v>
      </c>
      <c r="C262" s="18" t="s">
        <v>726</v>
      </c>
      <c r="D262" s="18" t="s">
        <v>862</v>
      </c>
      <c r="E262" s="18" t="s">
        <v>446</v>
      </c>
      <c r="F262" s="18" t="s">
        <v>680</v>
      </c>
      <c r="G262" s="18" t="s">
        <v>864</v>
      </c>
      <c r="H262" s="19">
        <v>44334</v>
      </c>
      <c r="I262" s="18">
        <v>5</v>
      </c>
      <c r="J262" s="18">
        <v>100</v>
      </c>
      <c r="K262" s="18">
        <v>12.3175384963476</v>
      </c>
      <c r="L262" s="18" t="s">
        <v>490</v>
      </c>
      <c r="M262" s="18" t="s">
        <v>8</v>
      </c>
      <c r="N262" s="18">
        <f t="shared" si="4"/>
        <v>615.87692481738009</v>
      </c>
      <c r="O262" s="20" t="s">
        <v>451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</row>
    <row r="263" spans="1:92" s="16" customFormat="1" ht="16" x14ac:dyDescent="0.2">
      <c r="A263" s="18">
        <v>832</v>
      </c>
      <c r="B263" s="18" t="s">
        <v>546</v>
      </c>
      <c r="C263" s="18" t="s">
        <v>726</v>
      </c>
      <c r="D263" s="18" t="s">
        <v>862</v>
      </c>
      <c r="E263" s="18" t="s">
        <v>446</v>
      </c>
      <c r="F263" s="18" t="s">
        <v>680</v>
      </c>
      <c r="G263" s="18" t="s">
        <v>864</v>
      </c>
      <c r="H263" s="19">
        <v>44334</v>
      </c>
      <c r="I263" s="18">
        <v>5</v>
      </c>
      <c r="J263" s="18">
        <v>100</v>
      </c>
      <c r="K263" s="18">
        <v>11.150994990052499</v>
      </c>
      <c r="L263" s="18" t="s">
        <v>490</v>
      </c>
      <c r="M263" s="18" t="s">
        <v>8</v>
      </c>
      <c r="N263" s="18">
        <f t="shared" si="4"/>
        <v>557.54974950262499</v>
      </c>
      <c r="O263" s="20" t="s">
        <v>451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</row>
    <row r="264" spans="1:92" s="16" customFormat="1" ht="16" x14ac:dyDescent="0.2">
      <c r="A264" s="18">
        <v>838</v>
      </c>
      <c r="B264" s="18" t="s">
        <v>546</v>
      </c>
      <c r="C264" s="18" t="s">
        <v>726</v>
      </c>
      <c r="D264" s="18" t="s">
        <v>862</v>
      </c>
      <c r="E264" s="18" t="s">
        <v>446</v>
      </c>
      <c r="F264" s="18" t="s">
        <v>680</v>
      </c>
      <c r="G264" s="18" t="s">
        <v>864</v>
      </c>
      <c r="H264" s="19">
        <v>44334</v>
      </c>
      <c r="I264" s="18">
        <v>5</v>
      </c>
      <c r="J264" s="18">
        <v>100</v>
      </c>
      <c r="K264" s="18">
        <v>12.158028648366001</v>
      </c>
      <c r="L264" s="18" t="s">
        <v>490</v>
      </c>
      <c r="M264" s="18" t="s">
        <v>8</v>
      </c>
      <c r="N264" s="18">
        <f t="shared" si="4"/>
        <v>607.90143241830003</v>
      </c>
      <c r="O264" s="20" t="s">
        <v>451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</row>
    <row r="265" spans="1:92" s="16" customFormat="1" ht="16" x14ac:dyDescent="0.2">
      <c r="A265" s="18">
        <v>845</v>
      </c>
      <c r="B265" s="18" t="s">
        <v>546</v>
      </c>
      <c r="C265" s="18" t="s">
        <v>726</v>
      </c>
      <c r="D265" s="18" t="s">
        <v>862</v>
      </c>
      <c r="E265" s="18" t="s">
        <v>446</v>
      </c>
      <c r="F265" s="18" t="s">
        <v>680</v>
      </c>
      <c r="G265" s="18" t="s">
        <v>865</v>
      </c>
      <c r="H265" s="19">
        <v>44334</v>
      </c>
      <c r="I265" s="18">
        <v>5</v>
      </c>
      <c r="J265" s="18">
        <v>100</v>
      </c>
      <c r="K265" s="18">
        <v>0</v>
      </c>
      <c r="L265" s="18" t="s">
        <v>490</v>
      </c>
      <c r="M265" s="18" t="s">
        <v>8</v>
      </c>
      <c r="N265" s="18">
        <f t="shared" si="4"/>
        <v>0</v>
      </c>
      <c r="O265" s="20" t="s">
        <v>451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</row>
    <row r="266" spans="1:92" s="16" customFormat="1" ht="16" x14ac:dyDescent="0.2">
      <c r="A266" s="18">
        <v>852</v>
      </c>
      <c r="B266" s="18" t="s">
        <v>546</v>
      </c>
      <c r="C266" s="18" t="s">
        <v>726</v>
      </c>
      <c r="D266" s="18" t="s">
        <v>862</v>
      </c>
      <c r="E266" s="18" t="s">
        <v>446</v>
      </c>
      <c r="F266" s="18" t="s">
        <v>680</v>
      </c>
      <c r="G266" s="18" t="s">
        <v>865</v>
      </c>
      <c r="H266" s="19">
        <v>44334</v>
      </c>
      <c r="I266" s="18">
        <v>5</v>
      </c>
      <c r="J266" s="18">
        <v>100</v>
      </c>
      <c r="K266" s="18">
        <v>1.24426896458501</v>
      </c>
      <c r="L266" s="18" t="s">
        <v>490</v>
      </c>
      <c r="M266" s="18" t="s">
        <v>8</v>
      </c>
      <c r="N266" s="18">
        <f t="shared" si="4"/>
        <v>62.213448229250503</v>
      </c>
      <c r="O266" s="20" t="s">
        <v>451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</row>
    <row r="267" spans="1:92" s="16" customFormat="1" ht="16" x14ac:dyDescent="0.2">
      <c r="A267" s="18">
        <v>859</v>
      </c>
      <c r="B267" s="18" t="s">
        <v>546</v>
      </c>
      <c r="C267" s="18" t="s">
        <v>726</v>
      </c>
      <c r="D267" s="18" t="s">
        <v>862</v>
      </c>
      <c r="E267" s="18" t="s">
        <v>446</v>
      </c>
      <c r="F267" s="18" t="s">
        <v>680</v>
      </c>
      <c r="G267" s="18" t="s">
        <v>865</v>
      </c>
      <c r="H267" s="19">
        <v>44334</v>
      </c>
      <c r="I267" s="18">
        <v>5</v>
      </c>
      <c r="J267" s="18">
        <v>100</v>
      </c>
      <c r="K267" s="18">
        <v>0</v>
      </c>
      <c r="L267" s="18" t="s">
        <v>490</v>
      </c>
      <c r="M267" s="18" t="s">
        <v>8</v>
      </c>
      <c r="N267" s="18">
        <f t="shared" si="4"/>
        <v>0</v>
      </c>
      <c r="O267" s="20" t="s">
        <v>451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</row>
    <row r="268" spans="1:92" s="16" customFormat="1" ht="16" x14ac:dyDescent="0.2">
      <c r="A268" s="16">
        <v>827</v>
      </c>
      <c r="B268" s="16" t="s">
        <v>549</v>
      </c>
      <c r="C268" s="16" t="s">
        <v>726</v>
      </c>
      <c r="D268" s="16" t="s">
        <v>866</v>
      </c>
      <c r="E268" s="16" t="s">
        <v>446</v>
      </c>
      <c r="F268" s="16" t="s">
        <v>680</v>
      </c>
      <c r="G268" s="16" t="s">
        <v>867</v>
      </c>
      <c r="H268" s="17">
        <v>44334</v>
      </c>
      <c r="I268" s="16">
        <v>5</v>
      </c>
      <c r="J268" s="16">
        <v>100</v>
      </c>
      <c r="K268" s="16">
        <v>0</v>
      </c>
      <c r="L268" s="16" t="s">
        <v>490</v>
      </c>
      <c r="M268" s="16" t="s">
        <v>8</v>
      </c>
      <c r="N268" s="16">
        <f t="shared" si="4"/>
        <v>0</v>
      </c>
      <c r="O268" s="22" t="s">
        <v>451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</row>
    <row r="269" spans="1:92" s="16" customFormat="1" ht="16" x14ac:dyDescent="0.2">
      <c r="A269" s="16">
        <v>833</v>
      </c>
      <c r="B269" s="16" t="s">
        <v>549</v>
      </c>
      <c r="C269" s="16" t="s">
        <v>726</v>
      </c>
      <c r="D269" s="16" t="s">
        <v>866</v>
      </c>
      <c r="E269" s="16" t="s">
        <v>446</v>
      </c>
      <c r="F269" s="16" t="s">
        <v>680</v>
      </c>
      <c r="G269" s="16" t="s">
        <v>867</v>
      </c>
      <c r="H269" s="17">
        <v>44334</v>
      </c>
      <c r="I269" s="16">
        <v>5</v>
      </c>
      <c r="J269" s="16">
        <v>100</v>
      </c>
      <c r="K269" s="16">
        <v>3.6368764736111001</v>
      </c>
      <c r="L269" s="16" t="s">
        <v>490</v>
      </c>
      <c r="M269" s="16" t="s">
        <v>8</v>
      </c>
      <c r="N269" s="16">
        <f t="shared" si="4"/>
        <v>181.84382368055503</v>
      </c>
      <c r="O269" s="22" t="s">
        <v>451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</row>
    <row r="270" spans="1:92" s="16" customFormat="1" ht="16" x14ac:dyDescent="0.2">
      <c r="A270" s="16">
        <v>839</v>
      </c>
      <c r="B270" s="16" t="s">
        <v>549</v>
      </c>
      <c r="C270" s="16" t="s">
        <v>726</v>
      </c>
      <c r="D270" s="16" t="s">
        <v>866</v>
      </c>
      <c r="E270" s="16" t="s">
        <v>446</v>
      </c>
      <c r="F270" s="16" t="s">
        <v>680</v>
      </c>
      <c r="G270" s="16" t="s">
        <v>867</v>
      </c>
      <c r="H270" s="17">
        <v>44334</v>
      </c>
      <c r="I270" s="16">
        <v>5</v>
      </c>
      <c r="J270" s="16">
        <v>100</v>
      </c>
      <c r="K270" s="16">
        <v>0</v>
      </c>
      <c r="L270" s="16" t="s">
        <v>490</v>
      </c>
      <c r="M270" s="16" t="s">
        <v>8</v>
      </c>
      <c r="N270" s="16">
        <f t="shared" si="4"/>
        <v>0</v>
      </c>
      <c r="O270" s="22" t="s">
        <v>451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</row>
    <row r="271" spans="1:92" s="16" customFormat="1" ht="16" x14ac:dyDescent="0.2">
      <c r="A271" s="16">
        <v>846</v>
      </c>
      <c r="B271" s="16" t="s">
        <v>549</v>
      </c>
      <c r="C271" s="16" t="s">
        <v>726</v>
      </c>
      <c r="D271" s="16" t="s">
        <v>866</v>
      </c>
      <c r="E271" s="16" t="s">
        <v>446</v>
      </c>
      <c r="F271" s="16" t="s">
        <v>680</v>
      </c>
      <c r="G271" s="16" t="s">
        <v>868</v>
      </c>
      <c r="H271" s="17">
        <v>44334</v>
      </c>
      <c r="I271" s="16">
        <v>5</v>
      </c>
      <c r="J271" s="16">
        <v>100</v>
      </c>
      <c r="K271" s="16">
        <v>2.00928556336634</v>
      </c>
      <c r="L271" s="16" t="s">
        <v>490</v>
      </c>
      <c r="M271" s="16" t="s">
        <v>8</v>
      </c>
      <c r="N271" s="16">
        <f t="shared" si="4"/>
        <v>100.46427816831701</v>
      </c>
      <c r="O271" s="22" t="s">
        <v>451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</row>
    <row r="272" spans="1:92" s="18" customFormat="1" ht="16" x14ac:dyDescent="0.2">
      <c r="A272" s="16">
        <v>853</v>
      </c>
      <c r="B272" s="16" t="s">
        <v>549</v>
      </c>
      <c r="C272" s="16" t="s">
        <v>726</v>
      </c>
      <c r="D272" s="16" t="s">
        <v>866</v>
      </c>
      <c r="E272" s="16" t="s">
        <v>446</v>
      </c>
      <c r="F272" s="16" t="s">
        <v>680</v>
      </c>
      <c r="G272" s="16" t="s">
        <v>868</v>
      </c>
      <c r="H272" s="17">
        <v>44334</v>
      </c>
      <c r="I272" s="16">
        <v>5</v>
      </c>
      <c r="J272" s="16">
        <v>100</v>
      </c>
      <c r="K272" s="16">
        <v>0</v>
      </c>
      <c r="L272" s="16" t="s">
        <v>490</v>
      </c>
      <c r="M272" s="16" t="s">
        <v>8</v>
      </c>
      <c r="N272" s="16">
        <f t="shared" si="4"/>
        <v>0</v>
      </c>
      <c r="O272" s="22" t="s">
        <v>451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</row>
    <row r="273" spans="1:92" s="18" customFormat="1" ht="16" x14ac:dyDescent="0.2">
      <c r="A273" s="16">
        <v>860</v>
      </c>
      <c r="B273" s="16" t="s">
        <v>549</v>
      </c>
      <c r="C273" s="16" t="s">
        <v>726</v>
      </c>
      <c r="D273" s="16" t="s">
        <v>866</v>
      </c>
      <c r="E273" s="16" t="s">
        <v>446</v>
      </c>
      <c r="F273" s="16" t="s">
        <v>680</v>
      </c>
      <c r="G273" s="16" t="s">
        <v>868</v>
      </c>
      <c r="H273" s="17">
        <v>44334</v>
      </c>
      <c r="I273" s="16">
        <v>5</v>
      </c>
      <c r="J273" s="16">
        <v>100</v>
      </c>
      <c r="K273" s="16">
        <v>2.0749170543429498</v>
      </c>
      <c r="L273" s="16" t="s">
        <v>490</v>
      </c>
      <c r="M273" s="16" t="s">
        <v>8</v>
      </c>
      <c r="N273" s="16">
        <f t="shared" si="4"/>
        <v>103.7458527171475</v>
      </c>
      <c r="O273" s="22" t="s">
        <v>451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</row>
    <row r="274" spans="1:92" s="18" customFormat="1" ht="16" x14ac:dyDescent="0.2">
      <c r="A274" s="16">
        <v>828</v>
      </c>
      <c r="B274" s="16" t="s">
        <v>549</v>
      </c>
      <c r="C274" s="16" t="s">
        <v>726</v>
      </c>
      <c r="D274" s="16" t="s">
        <v>866</v>
      </c>
      <c r="E274" s="16" t="s">
        <v>446</v>
      </c>
      <c r="F274" s="16" t="s">
        <v>680</v>
      </c>
      <c r="G274" s="16" t="s">
        <v>869</v>
      </c>
      <c r="H274" s="17">
        <v>44334</v>
      </c>
      <c r="I274" s="16">
        <v>5</v>
      </c>
      <c r="J274" s="16">
        <v>100</v>
      </c>
      <c r="K274" s="16">
        <v>0</v>
      </c>
      <c r="L274" s="16" t="s">
        <v>490</v>
      </c>
      <c r="M274" s="16" t="s">
        <v>8</v>
      </c>
      <c r="N274" s="16">
        <f t="shared" si="4"/>
        <v>0</v>
      </c>
      <c r="O274" s="22" t="s">
        <v>451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</row>
    <row r="275" spans="1:92" s="18" customFormat="1" ht="16" x14ac:dyDescent="0.2">
      <c r="A275" s="16">
        <v>834</v>
      </c>
      <c r="B275" s="16" t="s">
        <v>549</v>
      </c>
      <c r="C275" s="16" t="s">
        <v>726</v>
      </c>
      <c r="D275" s="16" t="s">
        <v>866</v>
      </c>
      <c r="E275" s="16" t="s">
        <v>446</v>
      </c>
      <c r="F275" s="16" t="s">
        <v>680</v>
      </c>
      <c r="G275" s="16" t="s">
        <v>869</v>
      </c>
      <c r="H275" s="17">
        <v>44334</v>
      </c>
      <c r="I275" s="16">
        <v>5</v>
      </c>
      <c r="J275" s="16">
        <v>100</v>
      </c>
      <c r="K275" s="16">
        <v>0</v>
      </c>
      <c r="L275" s="16" t="s">
        <v>490</v>
      </c>
      <c r="M275" s="16" t="s">
        <v>8</v>
      </c>
      <c r="N275" s="16">
        <f t="shared" si="4"/>
        <v>0</v>
      </c>
      <c r="O275" s="22" t="s">
        <v>451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</row>
    <row r="276" spans="1:92" s="18" customFormat="1" ht="16" x14ac:dyDescent="0.2">
      <c r="A276" s="16">
        <v>840</v>
      </c>
      <c r="B276" s="16" t="s">
        <v>549</v>
      </c>
      <c r="C276" s="16" t="s">
        <v>726</v>
      </c>
      <c r="D276" s="16" t="s">
        <v>866</v>
      </c>
      <c r="E276" s="16" t="s">
        <v>446</v>
      </c>
      <c r="F276" s="16" t="s">
        <v>680</v>
      </c>
      <c r="G276" s="16" t="s">
        <v>869</v>
      </c>
      <c r="H276" s="17">
        <v>44334</v>
      </c>
      <c r="I276" s="16">
        <v>5</v>
      </c>
      <c r="J276" s="16">
        <v>100</v>
      </c>
      <c r="K276" s="16">
        <v>0</v>
      </c>
      <c r="L276" s="16" t="s">
        <v>490</v>
      </c>
      <c r="M276" s="16" t="s">
        <v>8</v>
      </c>
      <c r="N276" s="16">
        <f t="shared" si="4"/>
        <v>0</v>
      </c>
      <c r="O276" s="22" t="s">
        <v>451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</row>
    <row r="277" spans="1:92" s="18" customFormat="1" ht="16" x14ac:dyDescent="0.2">
      <c r="A277" s="18">
        <v>793</v>
      </c>
      <c r="B277" s="18" t="s">
        <v>551</v>
      </c>
      <c r="C277" s="18" t="s">
        <v>870</v>
      </c>
      <c r="D277" s="18" t="s">
        <v>871</v>
      </c>
      <c r="E277" s="18" t="s">
        <v>553</v>
      </c>
      <c r="F277" s="18" t="s">
        <v>680</v>
      </c>
      <c r="G277" s="18" t="s">
        <v>872</v>
      </c>
      <c r="H277" s="19">
        <v>44333</v>
      </c>
      <c r="I277" s="18">
        <v>5</v>
      </c>
      <c r="J277" s="18">
        <v>100</v>
      </c>
      <c r="K277" s="18">
        <v>0</v>
      </c>
      <c r="L277" s="18" t="s">
        <v>490</v>
      </c>
      <c r="M277" s="18" t="s">
        <v>8</v>
      </c>
      <c r="N277" s="18">
        <f t="shared" si="4"/>
        <v>0</v>
      </c>
      <c r="O277" s="20" t="s">
        <v>451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</row>
    <row r="278" spans="1:92" s="18" customFormat="1" ht="16" x14ac:dyDescent="0.2">
      <c r="A278" s="18">
        <v>799</v>
      </c>
      <c r="B278" s="18" t="s">
        <v>551</v>
      </c>
      <c r="C278" s="18" t="s">
        <v>870</v>
      </c>
      <c r="D278" s="18" t="s">
        <v>871</v>
      </c>
      <c r="E278" s="18" t="s">
        <v>553</v>
      </c>
      <c r="F278" s="18" t="s">
        <v>680</v>
      </c>
      <c r="G278" s="18" t="s">
        <v>872</v>
      </c>
      <c r="H278" s="19">
        <v>44333</v>
      </c>
      <c r="I278" s="18">
        <v>5</v>
      </c>
      <c r="J278" s="18">
        <v>100</v>
      </c>
      <c r="K278" s="18">
        <v>0</v>
      </c>
      <c r="L278" s="18" t="s">
        <v>490</v>
      </c>
      <c r="M278" s="18" t="s">
        <v>8</v>
      </c>
      <c r="N278" s="18">
        <f t="shared" si="4"/>
        <v>0</v>
      </c>
      <c r="O278" s="20" t="s">
        <v>451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</row>
    <row r="279" spans="1:92" s="18" customFormat="1" ht="16" x14ac:dyDescent="0.2">
      <c r="A279" s="18">
        <v>805</v>
      </c>
      <c r="B279" s="18" t="s">
        <v>551</v>
      </c>
      <c r="C279" s="18" t="s">
        <v>870</v>
      </c>
      <c r="D279" s="18" t="s">
        <v>871</v>
      </c>
      <c r="E279" s="18" t="s">
        <v>553</v>
      </c>
      <c r="F279" s="18" t="s">
        <v>680</v>
      </c>
      <c r="G279" s="18" t="s">
        <v>872</v>
      </c>
      <c r="H279" s="19">
        <v>44333</v>
      </c>
      <c r="I279" s="18">
        <v>5</v>
      </c>
      <c r="J279" s="18">
        <v>100</v>
      </c>
      <c r="K279" s="18">
        <v>0</v>
      </c>
      <c r="L279" s="18" t="s">
        <v>490</v>
      </c>
      <c r="M279" s="18" t="s">
        <v>8</v>
      </c>
      <c r="N279" s="18">
        <f t="shared" si="4"/>
        <v>0</v>
      </c>
      <c r="O279" s="20" t="s">
        <v>451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</row>
    <row r="280" spans="1:92" s="18" customFormat="1" ht="16" x14ac:dyDescent="0.2">
      <c r="A280" s="18">
        <v>811</v>
      </c>
      <c r="B280" s="18" t="s">
        <v>551</v>
      </c>
      <c r="C280" s="18" t="s">
        <v>870</v>
      </c>
      <c r="D280" s="18" t="s">
        <v>871</v>
      </c>
      <c r="E280" s="18" t="s">
        <v>553</v>
      </c>
      <c r="F280" s="18" t="s">
        <v>680</v>
      </c>
      <c r="G280" s="18" t="s">
        <v>873</v>
      </c>
      <c r="H280" s="19">
        <v>44333</v>
      </c>
      <c r="I280" s="18">
        <v>5</v>
      </c>
      <c r="J280" s="18">
        <v>100</v>
      </c>
      <c r="K280" s="18">
        <v>0</v>
      </c>
      <c r="L280" s="18" t="s">
        <v>490</v>
      </c>
      <c r="M280" s="18" t="s">
        <v>8</v>
      </c>
      <c r="N280" s="18">
        <f t="shared" si="4"/>
        <v>0</v>
      </c>
      <c r="O280" s="20" t="s">
        <v>451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</row>
    <row r="281" spans="1:92" s="16" customFormat="1" ht="16" x14ac:dyDescent="0.2">
      <c r="A281" s="18">
        <v>817</v>
      </c>
      <c r="B281" s="18" t="s">
        <v>551</v>
      </c>
      <c r="C281" s="18" t="s">
        <v>870</v>
      </c>
      <c r="D281" s="18" t="s">
        <v>871</v>
      </c>
      <c r="E281" s="18" t="s">
        <v>553</v>
      </c>
      <c r="F281" s="18" t="s">
        <v>680</v>
      </c>
      <c r="G281" s="18" t="s">
        <v>873</v>
      </c>
      <c r="H281" s="19">
        <v>44333</v>
      </c>
      <c r="I281" s="18">
        <v>5</v>
      </c>
      <c r="J281" s="18">
        <v>100</v>
      </c>
      <c r="K281" s="18">
        <v>0</v>
      </c>
      <c r="L281" s="18" t="s">
        <v>490</v>
      </c>
      <c r="M281" s="18" t="s">
        <v>8</v>
      </c>
      <c r="N281" s="18">
        <f t="shared" si="4"/>
        <v>0</v>
      </c>
      <c r="O281" s="20" t="s">
        <v>451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</row>
    <row r="282" spans="1:92" s="16" customFormat="1" ht="16" x14ac:dyDescent="0.2">
      <c r="A282" s="18">
        <v>823</v>
      </c>
      <c r="B282" s="18" t="s">
        <v>551</v>
      </c>
      <c r="C282" s="18" t="s">
        <v>870</v>
      </c>
      <c r="D282" s="18" t="s">
        <v>871</v>
      </c>
      <c r="E282" s="18" t="s">
        <v>553</v>
      </c>
      <c r="F282" s="18" t="s">
        <v>680</v>
      </c>
      <c r="G282" s="18" t="s">
        <v>873</v>
      </c>
      <c r="H282" s="19">
        <v>44333</v>
      </c>
      <c r="I282" s="18">
        <v>5</v>
      </c>
      <c r="J282" s="18">
        <v>100</v>
      </c>
      <c r="K282" s="18">
        <v>0</v>
      </c>
      <c r="L282" s="18" t="s">
        <v>490</v>
      </c>
      <c r="M282" s="18" t="s">
        <v>8</v>
      </c>
      <c r="N282" s="18">
        <f t="shared" si="4"/>
        <v>0</v>
      </c>
      <c r="O282" s="20" t="s">
        <v>451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</row>
    <row r="283" spans="1:92" s="16" customFormat="1" ht="16" x14ac:dyDescent="0.2">
      <c r="A283" s="18">
        <v>794</v>
      </c>
      <c r="B283" s="18" t="s">
        <v>551</v>
      </c>
      <c r="C283" s="18" t="s">
        <v>870</v>
      </c>
      <c r="D283" s="18" t="s">
        <v>871</v>
      </c>
      <c r="E283" s="18" t="s">
        <v>553</v>
      </c>
      <c r="F283" s="18" t="s">
        <v>680</v>
      </c>
      <c r="G283" s="18" t="s">
        <v>874</v>
      </c>
      <c r="H283" s="19">
        <v>44333</v>
      </c>
      <c r="I283" s="18">
        <v>5</v>
      </c>
      <c r="J283" s="18">
        <v>100</v>
      </c>
      <c r="K283" s="18">
        <v>0</v>
      </c>
      <c r="L283" s="18" t="s">
        <v>490</v>
      </c>
      <c r="M283" s="18" t="s">
        <v>8</v>
      </c>
      <c r="N283" s="18">
        <f t="shared" si="4"/>
        <v>0</v>
      </c>
      <c r="O283" s="20" t="s">
        <v>451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</row>
    <row r="284" spans="1:92" s="16" customFormat="1" ht="16" x14ac:dyDescent="0.2">
      <c r="A284" s="18">
        <v>800</v>
      </c>
      <c r="B284" s="18" t="s">
        <v>551</v>
      </c>
      <c r="C284" s="18" t="s">
        <v>870</v>
      </c>
      <c r="D284" s="18" t="s">
        <v>871</v>
      </c>
      <c r="E284" s="18" t="s">
        <v>553</v>
      </c>
      <c r="F284" s="18" t="s">
        <v>680</v>
      </c>
      <c r="G284" s="18" t="s">
        <v>874</v>
      </c>
      <c r="H284" s="19">
        <v>44333</v>
      </c>
      <c r="I284" s="18">
        <v>5</v>
      </c>
      <c r="J284" s="18">
        <v>100</v>
      </c>
      <c r="K284" s="18">
        <v>0</v>
      </c>
      <c r="L284" s="18" t="s">
        <v>490</v>
      </c>
      <c r="M284" s="18" t="s">
        <v>8</v>
      </c>
      <c r="N284" s="18">
        <f t="shared" si="4"/>
        <v>0</v>
      </c>
      <c r="O284" s="20" t="s">
        <v>451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</row>
    <row r="285" spans="1:92" s="16" customFormat="1" ht="16" x14ac:dyDescent="0.2">
      <c r="A285" s="18">
        <v>806</v>
      </c>
      <c r="B285" s="18" t="s">
        <v>551</v>
      </c>
      <c r="C285" s="18" t="s">
        <v>870</v>
      </c>
      <c r="D285" s="18" t="s">
        <v>871</v>
      </c>
      <c r="E285" s="18" t="s">
        <v>553</v>
      </c>
      <c r="F285" s="18" t="s">
        <v>680</v>
      </c>
      <c r="G285" s="18" t="s">
        <v>874</v>
      </c>
      <c r="H285" s="19">
        <v>44333</v>
      </c>
      <c r="I285" s="18">
        <v>5</v>
      </c>
      <c r="J285" s="18">
        <v>100</v>
      </c>
      <c r="K285" s="18">
        <v>0</v>
      </c>
      <c r="L285" s="18" t="s">
        <v>490</v>
      </c>
      <c r="M285" s="18" t="s">
        <v>8</v>
      </c>
      <c r="N285" s="18">
        <f t="shared" si="4"/>
        <v>0</v>
      </c>
      <c r="O285" s="20" t="s">
        <v>451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</row>
    <row r="286" spans="1:92" s="16" customFormat="1" ht="16" x14ac:dyDescent="0.2">
      <c r="A286" s="16">
        <v>812</v>
      </c>
      <c r="B286" s="16" t="s">
        <v>555</v>
      </c>
      <c r="C286" s="16" t="s">
        <v>870</v>
      </c>
      <c r="D286" s="16" t="s">
        <v>875</v>
      </c>
      <c r="E286" s="16" t="s">
        <v>553</v>
      </c>
      <c r="F286" s="16" t="s">
        <v>680</v>
      </c>
      <c r="G286" s="16" t="s">
        <v>876</v>
      </c>
      <c r="H286" s="17">
        <v>44333</v>
      </c>
      <c r="I286" s="16">
        <v>5</v>
      </c>
      <c r="J286" s="16">
        <v>100</v>
      </c>
      <c r="K286" s="16">
        <v>1.8167440234619401</v>
      </c>
      <c r="L286" s="16" t="s">
        <v>490</v>
      </c>
      <c r="M286" s="16" t="s">
        <v>8</v>
      </c>
      <c r="N286" s="16">
        <f t="shared" si="4"/>
        <v>90.837201173097014</v>
      </c>
      <c r="O286" s="22" t="s">
        <v>451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</row>
    <row r="287" spans="1:92" s="16" customFormat="1" ht="16" x14ac:dyDescent="0.2">
      <c r="A287" s="16">
        <v>818</v>
      </c>
      <c r="B287" s="16" t="s">
        <v>555</v>
      </c>
      <c r="C287" s="16" t="s">
        <v>870</v>
      </c>
      <c r="D287" s="16" t="s">
        <v>875</v>
      </c>
      <c r="E287" s="16" t="s">
        <v>553</v>
      </c>
      <c r="F287" s="16" t="s">
        <v>680</v>
      </c>
      <c r="G287" s="16" t="s">
        <v>876</v>
      </c>
      <c r="H287" s="17">
        <v>44333</v>
      </c>
      <c r="I287" s="16">
        <v>5</v>
      </c>
      <c r="J287" s="16">
        <v>100</v>
      </c>
      <c r="K287" s="16">
        <v>2.9409365108247201</v>
      </c>
      <c r="L287" s="16" t="s">
        <v>490</v>
      </c>
      <c r="M287" s="16" t="s">
        <v>8</v>
      </c>
      <c r="N287" s="16">
        <f t="shared" si="4"/>
        <v>147.04682554123599</v>
      </c>
      <c r="O287" s="22" t="s">
        <v>451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</row>
    <row r="288" spans="1:92" s="16" customFormat="1" ht="16" x14ac:dyDescent="0.2">
      <c r="A288" s="16">
        <v>824</v>
      </c>
      <c r="B288" s="16" t="s">
        <v>555</v>
      </c>
      <c r="C288" s="16" t="s">
        <v>870</v>
      </c>
      <c r="D288" s="16" t="s">
        <v>875</v>
      </c>
      <c r="E288" s="16" t="s">
        <v>553</v>
      </c>
      <c r="F288" s="16" t="s">
        <v>680</v>
      </c>
      <c r="G288" s="16" t="s">
        <v>876</v>
      </c>
      <c r="H288" s="17">
        <v>44333</v>
      </c>
      <c r="I288" s="16">
        <v>5</v>
      </c>
      <c r="J288" s="16">
        <v>100</v>
      </c>
      <c r="K288" s="16">
        <v>6.9015761632521704</v>
      </c>
      <c r="L288" s="16" t="s">
        <v>490</v>
      </c>
      <c r="M288" s="16" t="s">
        <v>8</v>
      </c>
      <c r="N288" s="16">
        <f t="shared" si="4"/>
        <v>345.07880816260854</v>
      </c>
      <c r="O288" s="22" t="s">
        <v>451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</row>
    <row r="289" spans="1:92" s="16" customFormat="1" ht="16" x14ac:dyDescent="0.2">
      <c r="A289" s="16">
        <v>795</v>
      </c>
      <c r="B289" s="16" t="s">
        <v>555</v>
      </c>
      <c r="C289" s="16" t="s">
        <v>870</v>
      </c>
      <c r="D289" s="16" t="s">
        <v>875</v>
      </c>
      <c r="E289" s="16" t="s">
        <v>553</v>
      </c>
      <c r="F289" s="16" t="s">
        <v>680</v>
      </c>
      <c r="G289" s="16" t="s">
        <v>877</v>
      </c>
      <c r="H289" s="17">
        <v>44333</v>
      </c>
      <c r="I289" s="16">
        <v>5</v>
      </c>
      <c r="J289" s="16">
        <v>100</v>
      </c>
      <c r="K289" s="16">
        <v>0</v>
      </c>
      <c r="L289" s="16" t="s">
        <v>490</v>
      </c>
      <c r="M289" s="16" t="s">
        <v>8</v>
      </c>
      <c r="N289" s="16">
        <f t="shared" si="4"/>
        <v>0</v>
      </c>
      <c r="O289" s="22" t="s">
        <v>451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</row>
    <row r="290" spans="1:92" s="18" customFormat="1" ht="16" x14ac:dyDescent="0.2">
      <c r="A290" s="16">
        <v>801</v>
      </c>
      <c r="B290" s="16" t="s">
        <v>555</v>
      </c>
      <c r="C290" s="16" t="s">
        <v>870</v>
      </c>
      <c r="D290" s="16" t="s">
        <v>875</v>
      </c>
      <c r="E290" s="16" t="s">
        <v>553</v>
      </c>
      <c r="F290" s="16" t="s">
        <v>680</v>
      </c>
      <c r="G290" s="16" t="s">
        <v>877</v>
      </c>
      <c r="H290" s="17">
        <v>44333</v>
      </c>
      <c r="I290" s="16">
        <v>5</v>
      </c>
      <c r="J290" s="16">
        <v>100</v>
      </c>
      <c r="K290" s="16">
        <v>0</v>
      </c>
      <c r="L290" s="16" t="s">
        <v>490</v>
      </c>
      <c r="M290" s="16" t="s">
        <v>8</v>
      </c>
      <c r="N290" s="16">
        <f t="shared" si="4"/>
        <v>0</v>
      </c>
      <c r="O290" s="22" t="s">
        <v>451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</row>
    <row r="291" spans="1:92" s="18" customFormat="1" ht="16" x14ac:dyDescent="0.2">
      <c r="A291" s="16">
        <v>807</v>
      </c>
      <c r="B291" s="16" t="s">
        <v>555</v>
      </c>
      <c r="C291" s="16" t="s">
        <v>870</v>
      </c>
      <c r="D291" s="16" t="s">
        <v>875</v>
      </c>
      <c r="E291" s="16" t="s">
        <v>553</v>
      </c>
      <c r="F291" s="16" t="s">
        <v>680</v>
      </c>
      <c r="G291" s="16" t="s">
        <v>877</v>
      </c>
      <c r="H291" s="17">
        <v>44333</v>
      </c>
      <c r="I291" s="16">
        <v>5</v>
      </c>
      <c r="J291" s="16">
        <v>100</v>
      </c>
      <c r="K291" s="16">
        <v>0</v>
      </c>
      <c r="L291" s="16" t="s">
        <v>490</v>
      </c>
      <c r="M291" s="16" t="s">
        <v>8</v>
      </c>
      <c r="N291" s="16">
        <f t="shared" si="4"/>
        <v>0</v>
      </c>
      <c r="O291" s="22" t="s">
        <v>451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</row>
    <row r="292" spans="1:92" s="18" customFormat="1" ht="16" x14ac:dyDescent="0.2">
      <c r="A292" s="16">
        <v>813</v>
      </c>
      <c r="B292" s="16" t="s">
        <v>555</v>
      </c>
      <c r="C292" s="16" t="s">
        <v>870</v>
      </c>
      <c r="D292" s="16" t="s">
        <v>875</v>
      </c>
      <c r="E292" s="16" t="s">
        <v>553</v>
      </c>
      <c r="F292" s="16" t="s">
        <v>680</v>
      </c>
      <c r="G292" s="16" t="s">
        <v>878</v>
      </c>
      <c r="H292" s="17">
        <v>44333</v>
      </c>
      <c r="I292" s="16">
        <v>5</v>
      </c>
      <c r="J292" s="16">
        <v>100</v>
      </c>
      <c r="K292" s="16">
        <v>0</v>
      </c>
      <c r="L292" s="16" t="s">
        <v>490</v>
      </c>
      <c r="M292" s="16" t="s">
        <v>8</v>
      </c>
      <c r="N292" s="16">
        <f t="shared" si="4"/>
        <v>0</v>
      </c>
      <c r="O292" s="22" t="s">
        <v>451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</row>
    <row r="293" spans="1:92" s="18" customFormat="1" ht="16" x14ac:dyDescent="0.2">
      <c r="A293" s="16">
        <v>819</v>
      </c>
      <c r="B293" s="16" t="s">
        <v>555</v>
      </c>
      <c r="C293" s="16" t="s">
        <v>870</v>
      </c>
      <c r="D293" s="16" t="s">
        <v>875</v>
      </c>
      <c r="E293" s="16" t="s">
        <v>553</v>
      </c>
      <c r="F293" s="16" t="s">
        <v>680</v>
      </c>
      <c r="G293" s="16" t="s">
        <v>878</v>
      </c>
      <c r="H293" s="17">
        <v>44333</v>
      </c>
      <c r="I293" s="16">
        <v>5</v>
      </c>
      <c r="J293" s="16">
        <v>100</v>
      </c>
      <c r="K293" s="16">
        <v>1.8581317415118599</v>
      </c>
      <c r="L293" s="16" t="s">
        <v>490</v>
      </c>
      <c r="M293" s="16" t="s">
        <v>8</v>
      </c>
      <c r="N293" s="16">
        <f t="shared" si="4"/>
        <v>92.906587075592995</v>
      </c>
      <c r="O293" s="22" t="s">
        <v>451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</row>
    <row r="294" spans="1:92" s="18" customFormat="1" ht="16" x14ac:dyDescent="0.2">
      <c r="A294" s="16">
        <v>825</v>
      </c>
      <c r="B294" s="16" t="s">
        <v>555</v>
      </c>
      <c r="C294" s="16" t="s">
        <v>870</v>
      </c>
      <c r="D294" s="16" t="s">
        <v>875</v>
      </c>
      <c r="E294" s="16" t="s">
        <v>553</v>
      </c>
      <c r="F294" s="16" t="s">
        <v>680</v>
      </c>
      <c r="G294" s="16" t="s">
        <v>878</v>
      </c>
      <c r="H294" s="17">
        <v>44333</v>
      </c>
      <c r="I294" s="16">
        <v>5</v>
      </c>
      <c r="J294" s="16">
        <v>100</v>
      </c>
      <c r="K294" s="16">
        <v>1.37468693634012</v>
      </c>
      <c r="L294" s="16" t="s">
        <v>490</v>
      </c>
      <c r="M294" s="16" t="s">
        <v>8</v>
      </c>
      <c r="N294" s="16">
        <f t="shared" si="4"/>
        <v>68.734346817005999</v>
      </c>
      <c r="O294" s="22" t="s">
        <v>451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</row>
    <row r="295" spans="1:92" s="18" customFormat="1" ht="16" x14ac:dyDescent="0.2">
      <c r="A295" s="18">
        <v>847</v>
      </c>
      <c r="B295" s="18" t="s">
        <v>557</v>
      </c>
      <c r="C295" s="18" t="s">
        <v>879</v>
      </c>
      <c r="D295" s="18" t="s">
        <v>880</v>
      </c>
      <c r="E295" s="18" t="s">
        <v>559</v>
      </c>
      <c r="F295" s="18" t="s">
        <v>680</v>
      </c>
      <c r="G295" s="18" t="s">
        <v>881</v>
      </c>
      <c r="H295" s="19">
        <v>44334</v>
      </c>
      <c r="I295" s="18">
        <v>5</v>
      </c>
      <c r="J295" s="18">
        <v>100</v>
      </c>
      <c r="K295" s="18">
        <v>9.7743740484272905</v>
      </c>
      <c r="L295" s="18" t="s">
        <v>490</v>
      </c>
      <c r="M295" s="18" t="s">
        <v>8</v>
      </c>
      <c r="N295" s="18">
        <f t="shared" si="4"/>
        <v>488.71870242136453</v>
      </c>
      <c r="O295" s="20" t="s">
        <v>451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</row>
    <row r="296" spans="1:92" s="18" customFormat="1" ht="16" x14ac:dyDescent="0.2">
      <c r="A296" s="18">
        <v>854</v>
      </c>
      <c r="B296" s="18" t="s">
        <v>557</v>
      </c>
      <c r="C296" s="18" t="s">
        <v>879</v>
      </c>
      <c r="D296" s="18" t="s">
        <v>880</v>
      </c>
      <c r="E296" s="18" t="s">
        <v>559</v>
      </c>
      <c r="F296" s="18" t="s">
        <v>680</v>
      </c>
      <c r="G296" s="18" t="s">
        <v>881</v>
      </c>
      <c r="H296" s="19">
        <v>44334</v>
      </c>
      <c r="I296" s="18">
        <v>5</v>
      </c>
      <c r="J296" s="18">
        <v>100</v>
      </c>
      <c r="K296" s="18">
        <v>17.862509895352598</v>
      </c>
      <c r="L296" s="18" t="s">
        <v>490</v>
      </c>
      <c r="M296" s="18" t="s">
        <v>8</v>
      </c>
      <c r="N296" s="18">
        <f t="shared" si="4"/>
        <v>893.12549476763002</v>
      </c>
      <c r="O296" s="20" t="s">
        <v>451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</row>
    <row r="297" spans="1:92" s="18" customFormat="1" ht="16" x14ac:dyDescent="0.2">
      <c r="A297" s="18">
        <v>861</v>
      </c>
      <c r="B297" s="18" t="s">
        <v>557</v>
      </c>
      <c r="C297" s="18" t="s">
        <v>879</v>
      </c>
      <c r="D297" s="18" t="s">
        <v>880</v>
      </c>
      <c r="E297" s="18" t="s">
        <v>559</v>
      </c>
      <c r="F297" s="18" t="s">
        <v>680</v>
      </c>
      <c r="G297" s="18" t="s">
        <v>881</v>
      </c>
      <c r="H297" s="19">
        <v>44334</v>
      </c>
      <c r="I297" s="18">
        <v>5</v>
      </c>
      <c r="J297" s="18">
        <v>100</v>
      </c>
      <c r="K297" s="18">
        <v>9.5655148550126405</v>
      </c>
      <c r="L297" s="18" t="s">
        <v>490</v>
      </c>
      <c r="M297" s="18" t="s">
        <v>8</v>
      </c>
      <c r="N297" s="18">
        <f t="shared" si="4"/>
        <v>478.27574275063199</v>
      </c>
      <c r="O297" s="20" t="s">
        <v>451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</row>
    <row r="298" spans="1:92" s="18" customFormat="1" ht="16" x14ac:dyDescent="0.2">
      <c r="A298" s="18">
        <v>829</v>
      </c>
      <c r="B298" s="18" t="s">
        <v>557</v>
      </c>
      <c r="C298" s="18" t="s">
        <v>879</v>
      </c>
      <c r="D298" s="18" t="s">
        <v>880</v>
      </c>
      <c r="E298" s="18" t="s">
        <v>559</v>
      </c>
      <c r="F298" s="18" t="s">
        <v>680</v>
      </c>
      <c r="G298" s="18" t="s">
        <v>882</v>
      </c>
      <c r="H298" s="19">
        <v>44334</v>
      </c>
      <c r="I298" s="18">
        <v>5</v>
      </c>
      <c r="J298" s="18">
        <v>100</v>
      </c>
      <c r="K298" s="18">
        <v>14.3546831954626</v>
      </c>
      <c r="L298" s="18" t="s">
        <v>490</v>
      </c>
      <c r="M298" s="18" t="s">
        <v>8</v>
      </c>
      <c r="N298" s="18">
        <f t="shared" si="4"/>
        <v>717.73415977313005</v>
      </c>
      <c r="O298" s="20" t="s">
        <v>451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</row>
    <row r="299" spans="1:92" s="16" customFormat="1" ht="16" x14ac:dyDescent="0.2">
      <c r="A299" s="18">
        <v>835</v>
      </c>
      <c r="B299" s="18" t="s">
        <v>557</v>
      </c>
      <c r="C299" s="18" t="s">
        <v>879</v>
      </c>
      <c r="D299" s="18" t="s">
        <v>880</v>
      </c>
      <c r="E299" s="18" t="s">
        <v>559</v>
      </c>
      <c r="F299" s="18" t="s">
        <v>680</v>
      </c>
      <c r="G299" s="18" t="s">
        <v>882</v>
      </c>
      <c r="H299" s="19">
        <v>44334</v>
      </c>
      <c r="I299" s="18">
        <v>5</v>
      </c>
      <c r="J299" s="18">
        <v>100</v>
      </c>
      <c r="K299" s="18">
        <v>13.005081395915299</v>
      </c>
      <c r="L299" s="18" t="s">
        <v>490</v>
      </c>
      <c r="M299" s="18" t="s">
        <v>8</v>
      </c>
      <c r="N299" s="18">
        <f t="shared" si="4"/>
        <v>650.25406979576496</v>
      </c>
      <c r="O299" s="20" t="s">
        <v>451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</row>
    <row r="300" spans="1:92" s="16" customFormat="1" ht="16" x14ac:dyDescent="0.2">
      <c r="A300" s="18">
        <v>841</v>
      </c>
      <c r="B300" s="18" t="s">
        <v>557</v>
      </c>
      <c r="C300" s="18" t="s">
        <v>879</v>
      </c>
      <c r="D300" s="18" t="s">
        <v>880</v>
      </c>
      <c r="E300" s="18" t="s">
        <v>559</v>
      </c>
      <c r="F300" s="18" t="s">
        <v>680</v>
      </c>
      <c r="G300" s="18" t="s">
        <v>882</v>
      </c>
      <c r="H300" s="19">
        <v>44334</v>
      </c>
      <c r="I300" s="18">
        <v>5</v>
      </c>
      <c r="J300" s="18">
        <v>100</v>
      </c>
      <c r="K300" s="18">
        <v>22.021969428597998</v>
      </c>
      <c r="L300" s="18" t="s">
        <v>490</v>
      </c>
      <c r="M300" s="18" t="s">
        <v>8</v>
      </c>
      <c r="N300" s="18">
        <f t="shared" si="4"/>
        <v>1101.0984714299</v>
      </c>
      <c r="O300" s="20" t="s">
        <v>451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</row>
    <row r="301" spans="1:92" s="16" customFormat="1" ht="16" x14ac:dyDescent="0.2">
      <c r="A301" s="18">
        <v>848</v>
      </c>
      <c r="B301" s="18" t="s">
        <v>557</v>
      </c>
      <c r="C301" s="18" t="s">
        <v>879</v>
      </c>
      <c r="D301" s="18" t="s">
        <v>880</v>
      </c>
      <c r="E301" s="18" t="s">
        <v>559</v>
      </c>
      <c r="F301" s="18" t="s">
        <v>680</v>
      </c>
      <c r="G301" s="18" t="s">
        <v>883</v>
      </c>
      <c r="H301" s="19">
        <v>44334</v>
      </c>
      <c r="I301" s="18">
        <v>5</v>
      </c>
      <c r="J301" s="18">
        <v>100</v>
      </c>
      <c r="K301" s="18">
        <v>12.952183757354399</v>
      </c>
      <c r="L301" s="18" t="s">
        <v>490</v>
      </c>
      <c r="M301" s="18" t="s">
        <v>8</v>
      </c>
      <c r="N301" s="18">
        <f t="shared" si="4"/>
        <v>647.60918786771992</v>
      </c>
      <c r="O301" s="20" t="s">
        <v>451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</row>
    <row r="302" spans="1:92" s="16" customFormat="1" ht="16" x14ac:dyDescent="0.2">
      <c r="A302" s="18">
        <v>855</v>
      </c>
      <c r="B302" s="18" t="s">
        <v>557</v>
      </c>
      <c r="C302" s="18" t="s">
        <v>879</v>
      </c>
      <c r="D302" s="18" t="s">
        <v>880</v>
      </c>
      <c r="E302" s="18" t="s">
        <v>559</v>
      </c>
      <c r="F302" s="18" t="s">
        <v>680</v>
      </c>
      <c r="G302" s="18" t="s">
        <v>883</v>
      </c>
      <c r="H302" s="19">
        <v>44334</v>
      </c>
      <c r="I302" s="18">
        <v>5</v>
      </c>
      <c r="J302" s="18">
        <v>100</v>
      </c>
      <c r="K302" s="18">
        <v>14.6696582451361</v>
      </c>
      <c r="L302" s="18" t="s">
        <v>490</v>
      </c>
      <c r="M302" s="18" t="s">
        <v>8</v>
      </c>
      <c r="N302" s="18">
        <f t="shared" si="4"/>
        <v>733.48291225680498</v>
      </c>
      <c r="O302" s="20" t="s">
        <v>451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</row>
    <row r="303" spans="1:92" s="16" customFormat="1" ht="16" x14ac:dyDescent="0.2">
      <c r="A303" s="18">
        <v>862</v>
      </c>
      <c r="B303" s="18" t="s">
        <v>557</v>
      </c>
      <c r="C303" s="18" t="s">
        <v>879</v>
      </c>
      <c r="D303" s="18" t="s">
        <v>880</v>
      </c>
      <c r="E303" s="18" t="s">
        <v>559</v>
      </c>
      <c r="F303" s="18" t="s">
        <v>680</v>
      </c>
      <c r="G303" s="18" t="s">
        <v>883</v>
      </c>
      <c r="H303" s="19">
        <v>44334</v>
      </c>
      <c r="I303" s="18">
        <v>5</v>
      </c>
      <c r="J303" s="18">
        <v>100</v>
      </c>
      <c r="K303" s="18">
        <v>6.7093366986230203</v>
      </c>
      <c r="L303" s="18" t="s">
        <v>490</v>
      </c>
      <c r="M303" s="18" t="s">
        <v>8</v>
      </c>
      <c r="N303" s="18">
        <f t="shared" si="4"/>
        <v>335.46683493115103</v>
      </c>
      <c r="O303" s="20" t="s">
        <v>451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</row>
    <row r="304" spans="1:92" s="16" customFormat="1" ht="16" x14ac:dyDescent="0.2">
      <c r="A304" s="16">
        <v>830</v>
      </c>
      <c r="B304" s="16" t="s">
        <v>561</v>
      </c>
      <c r="C304" s="16" t="s">
        <v>879</v>
      </c>
      <c r="D304" s="16" t="s">
        <v>884</v>
      </c>
      <c r="E304" s="16" t="s">
        <v>559</v>
      </c>
      <c r="F304" s="16" t="s">
        <v>680</v>
      </c>
      <c r="G304" s="16" t="s">
        <v>885</v>
      </c>
      <c r="H304" s="17">
        <v>44334</v>
      </c>
      <c r="I304" s="16">
        <v>5</v>
      </c>
      <c r="J304" s="16">
        <v>100</v>
      </c>
      <c r="K304" s="16">
        <v>0</v>
      </c>
      <c r="L304" s="16" t="s">
        <v>490</v>
      </c>
      <c r="M304" s="16" t="s">
        <v>8</v>
      </c>
      <c r="N304" s="16">
        <f t="shared" si="4"/>
        <v>0</v>
      </c>
      <c r="O304" s="22" t="s">
        <v>750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</row>
    <row r="305" spans="1:92" s="16" customFormat="1" ht="16" x14ac:dyDescent="0.2">
      <c r="A305" s="16">
        <v>836</v>
      </c>
      <c r="B305" s="16" t="s">
        <v>561</v>
      </c>
      <c r="C305" s="16" t="s">
        <v>879</v>
      </c>
      <c r="D305" s="16" t="s">
        <v>884</v>
      </c>
      <c r="E305" s="16" t="s">
        <v>559</v>
      </c>
      <c r="F305" s="16" t="s">
        <v>680</v>
      </c>
      <c r="G305" s="16" t="s">
        <v>885</v>
      </c>
      <c r="H305" s="17">
        <v>44334</v>
      </c>
      <c r="I305" s="16">
        <v>5</v>
      </c>
      <c r="J305" s="16">
        <v>100</v>
      </c>
      <c r="K305" s="16">
        <v>0</v>
      </c>
      <c r="L305" s="16" t="s">
        <v>490</v>
      </c>
      <c r="M305" s="16" t="s">
        <v>8</v>
      </c>
      <c r="N305" s="16">
        <f t="shared" si="4"/>
        <v>0</v>
      </c>
      <c r="O305" s="22" t="s">
        <v>750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</row>
    <row r="306" spans="1:92" s="16" customFormat="1" ht="16" x14ac:dyDescent="0.2">
      <c r="A306" s="16">
        <v>842</v>
      </c>
      <c r="B306" s="16" t="s">
        <v>561</v>
      </c>
      <c r="C306" s="16" t="s">
        <v>879</v>
      </c>
      <c r="D306" s="16" t="s">
        <v>884</v>
      </c>
      <c r="E306" s="16" t="s">
        <v>559</v>
      </c>
      <c r="F306" s="16" t="s">
        <v>680</v>
      </c>
      <c r="G306" s="16" t="s">
        <v>885</v>
      </c>
      <c r="H306" s="17">
        <v>44334</v>
      </c>
      <c r="I306" s="16">
        <v>5</v>
      </c>
      <c r="J306" s="16">
        <v>100</v>
      </c>
      <c r="K306" s="16">
        <v>0</v>
      </c>
      <c r="L306" s="16" t="s">
        <v>490</v>
      </c>
      <c r="M306" s="16" t="s">
        <v>8</v>
      </c>
      <c r="N306" s="16">
        <f t="shared" si="4"/>
        <v>0</v>
      </c>
      <c r="O306" s="22" t="s">
        <v>750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</row>
    <row r="307" spans="1:92" s="16" customFormat="1" ht="16" x14ac:dyDescent="0.2">
      <c r="A307" s="18">
        <v>849</v>
      </c>
      <c r="B307" s="18" t="s">
        <v>563</v>
      </c>
      <c r="C307" s="18" t="s">
        <v>879</v>
      </c>
      <c r="D307" s="18" t="s">
        <v>886</v>
      </c>
      <c r="E307" s="18" t="s">
        <v>559</v>
      </c>
      <c r="F307" s="18" t="s">
        <v>680</v>
      </c>
      <c r="G307" s="18" t="s">
        <v>887</v>
      </c>
      <c r="H307" s="19">
        <v>44334</v>
      </c>
      <c r="I307" s="18">
        <v>5</v>
      </c>
      <c r="J307" s="18">
        <v>80</v>
      </c>
      <c r="K307" s="18">
        <v>6.4404241749017102</v>
      </c>
      <c r="L307" s="18" t="s">
        <v>490</v>
      </c>
      <c r="M307" s="18" t="s">
        <v>8</v>
      </c>
      <c r="N307" s="18">
        <f t="shared" si="4"/>
        <v>402.52651093135688</v>
      </c>
      <c r="O307" s="20" t="s">
        <v>750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</row>
    <row r="308" spans="1:92" s="18" customFormat="1" ht="16" x14ac:dyDescent="0.2">
      <c r="A308" s="18">
        <v>856</v>
      </c>
      <c r="B308" s="18" t="s">
        <v>563</v>
      </c>
      <c r="C308" s="18" t="s">
        <v>879</v>
      </c>
      <c r="D308" s="18" t="s">
        <v>886</v>
      </c>
      <c r="E308" s="18" t="s">
        <v>559</v>
      </c>
      <c r="F308" s="18" t="s">
        <v>680</v>
      </c>
      <c r="G308" s="18" t="s">
        <v>887</v>
      </c>
      <c r="H308" s="19">
        <v>44334</v>
      </c>
      <c r="I308" s="18">
        <v>5</v>
      </c>
      <c r="J308" s="18">
        <v>80</v>
      </c>
      <c r="K308" s="18">
        <v>13.8257291330328</v>
      </c>
      <c r="L308" s="18" t="s">
        <v>490</v>
      </c>
      <c r="M308" s="18" t="s">
        <v>8</v>
      </c>
      <c r="N308" s="18">
        <f t="shared" si="4"/>
        <v>864.10807081455005</v>
      </c>
      <c r="O308" s="20" t="s">
        <v>750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</row>
    <row r="309" spans="1:92" s="18" customFormat="1" ht="16" x14ac:dyDescent="0.2">
      <c r="A309" s="18">
        <v>863</v>
      </c>
      <c r="B309" s="18" t="s">
        <v>563</v>
      </c>
      <c r="C309" s="18" t="s">
        <v>879</v>
      </c>
      <c r="D309" s="18" t="s">
        <v>886</v>
      </c>
      <c r="E309" s="18" t="s">
        <v>559</v>
      </c>
      <c r="F309" s="18" t="s">
        <v>680</v>
      </c>
      <c r="G309" s="18" t="s">
        <v>887</v>
      </c>
      <c r="H309" s="19">
        <v>44334</v>
      </c>
      <c r="I309" s="18">
        <v>5</v>
      </c>
      <c r="J309" s="18">
        <v>80</v>
      </c>
      <c r="K309" s="18">
        <v>7.2177983981324498</v>
      </c>
      <c r="L309" s="18" t="s">
        <v>490</v>
      </c>
      <c r="M309" s="18" t="s">
        <v>8</v>
      </c>
      <c r="N309" s="18">
        <f t="shared" si="4"/>
        <v>451.11239988327816</v>
      </c>
      <c r="O309" s="20" t="s">
        <v>750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</row>
    <row r="310" spans="1:92" s="18" customFormat="1" ht="16" x14ac:dyDescent="0.2">
      <c r="A310" s="16">
        <v>866</v>
      </c>
      <c r="B310" s="16" t="s">
        <v>565</v>
      </c>
      <c r="C310" s="16" t="s">
        <v>888</v>
      </c>
      <c r="D310" s="16" t="s">
        <v>889</v>
      </c>
      <c r="E310" s="16" t="s">
        <v>568</v>
      </c>
      <c r="F310" s="16" t="s">
        <v>680</v>
      </c>
      <c r="G310" s="16" t="s">
        <v>890</v>
      </c>
      <c r="H310" s="17">
        <v>44335</v>
      </c>
      <c r="I310" s="16">
        <v>5</v>
      </c>
      <c r="J310" s="16">
        <v>100</v>
      </c>
      <c r="K310" s="16">
        <v>1.35167355666305</v>
      </c>
      <c r="L310" s="16" t="s">
        <v>490</v>
      </c>
      <c r="M310" s="16" t="s">
        <v>8</v>
      </c>
      <c r="N310" s="16">
        <f t="shared" si="4"/>
        <v>67.583677833152493</v>
      </c>
      <c r="O310" s="22" t="s">
        <v>451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</row>
    <row r="311" spans="1:92" s="18" customFormat="1" ht="16" x14ac:dyDescent="0.2">
      <c r="A311" s="16">
        <v>873</v>
      </c>
      <c r="B311" s="16" t="s">
        <v>565</v>
      </c>
      <c r="C311" s="16" t="s">
        <v>888</v>
      </c>
      <c r="D311" s="16" t="s">
        <v>889</v>
      </c>
      <c r="E311" s="16" t="s">
        <v>568</v>
      </c>
      <c r="F311" s="16" t="s">
        <v>680</v>
      </c>
      <c r="G311" s="16" t="s">
        <v>890</v>
      </c>
      <c r="H311" s="17">
        <v>44335</v>
      </c>
      <c r="I311" s="16">
        <v>5</v>
      </c>
      <c r="J311" s="16">
        <v>100</v>
      </c>
      <c r="K311" s="16">
        <v>0</v>
      </c>
      <c r="L311" s="16" t="s">
        <v>490</v>
      </c>
      <c r="M311" s="16" t="s">
        <v>8</v>
      </c>
      <c r="N311" s="16">
        <f t="shared" si="4"/>
        <v>0</v>
      </c>
      <c r="O311" s="22" t="s">
        <v>451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</row>
    <row r="312" spans="1:92" s="18" customFormat="1" ht="16" x14ac:dyDescent="0.2">
      <c r="A312" s="16">
        <v>880</v>
      </c>
      <c r="B312" s="16" t="s">
        <v>565</v>
      </c>
      <c r="C312" s="16" t="s">
        <v>888</v>
      </c>
      <c r="D312" s="16" t="s">
        <v>889</v>
      </c>
      <c r="E312" s="16" t="s">
        <v>568</v>
      </c>
      <c r="F312" s="16" t="s">
        <v>680</v>
      </c>
      <c r="G312" s="16" t="s">
        <v>890</v>
      </c>
      <c r="H312" s="17">
        <v>44335</v>
      </c>
      <c r="I312" s="16">
        <v>5</v>
      </c>
      <c r="J312" s="16">
        <v>100</v>
      </c>
      <c r="K312" s="16">
        <v>0</v>
      </c>
      <c r="L312" s="16" t="s">
        <v>490</v>
      </c>
      <c r="M312" s="16" t="s">
        <v>8</v>
      </c>
      <c r="N312" s="16">
        <f t="shared" si="4"/>
        <v>0</v>
      </c>
      <c r="O312" s="22" t="s">
        <v>451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</row>
    <row r="313" spans="1:92" s="18" customFormat="1" ht="16" x14ac:dyDescent="0.2">
      <c r="A313" s="16">
        <v>886</v>
      </c>
      <c r="B313" s="16" t="s">
        <v>565</v>
      </c>
      <c r="C313" s="16" t="s">
        <v>888</v>
      </c>
      <c r="D313" s="16" t="s">
        <v>889</v>
      </c>
      <c r="E313" s="16" t="s">
        <v>568</v>
      </c>
      <c r="F313" s="16" t="s">
        <v>680</v>
      </c>
      <c r="G313" s="16" t="s">
        <v>891</v>
      </c>
      <c r="H313" s="17">
        <v>44335</v>
      </c>
      <c r="I313" s="16">
        <v>5</v>
      </c>
      <c r="J313" s="16">
        <v>100</v>
      </c>
      <c r="K313" s="16">
        <v>0</v>
      </c>
      <c r="L313" s="16" t="s">
        <v>490</v>
      </c>
      <c r="M313" s="16" t="s">
        <v>8</v>
      </c>
      <c r="N313" s="16">
        <f t="shared" si="4"/>
        <v>0</v>
      </c>
      <c r="O313" s="22" t="s">
        <v>451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</row>
    <row r="314" spans="1:92" s="18" customFormat="1" ht="16" x14ac:dyDescent="0.2">
      <c r="A314" s="16">
        <v>892</v>
      </c>
      <c r="B314" s="16" t="s">
        <v>565</v>
      </c>
      <c r="C314" s="16" t="s">
        <v>888</v>
      </c>
      <c r="D314" s="16" t="s">
        <v>889</v>
      </c>
      <c r="E314" s="16" t="s">
        <v>568</v>
      </c>
      <c r="F314" s="16" t="s">
        <v>680</v>
      </c>
      <c r="G314" s="16" t="s">
        <v>891</v>
      </c>
      <c r="H314" s="17">
        <v>44335</v>
      </c>
      <c r="I314" s="16">
        <v>5</v>
      </c>
      <c r="J314" s="16">
        <v>100</v>
      </c>
      <c r="K314" s="16">
        <v>2.2636081327086899</v>
      </c>
      <c r="L314" s="16" t="s">
        <v>490</v>
      </c>
      <c r="M314" s="16" t="s">
        <v>8</v>
      </c>
      <c r="N314" s="16">
        <f t="shared" si="4"/>
        <v>113.18040663543449</v>
      </c>
      <c r="O314" s="22" t="s">
        <v>451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</row>
    <row r="315" spans="1:92" s="18" customFormat="1" ht="16" x14ac:dyDescent="0.2">
      <c r="A315" s="16">
        <v>898</v>
      </c>
      <c r="B315" s="16" t="s">
        <v>565</v>
      </c>
      <c r="C315" s="16" t="s">
        <v>888</v>
      </c>
      <c r="D315" s="16" t="s">
        <v>889</v>
      </c>
      <c r="E315" s="16" t="s">
        <v>568</v>
      </c>
      <c r="F315" s="16" t="s">
        <v>680</v>
      </c>
      <c r="G315" s="16" t="s">
        <v>891</v>
      </c>
      <c r="H315" s="17">
        <v>44335</v>
      </c>
      <c r="I315" s="16">
        <v>5</v>
      </c>
      <c r="J315" s="16">
        <v>100</v>
      </c>
      <c r="K315" s="16">
        <v>4.4369718909498896</v>
      </c>
      <c r="L315" s="16" t="s">
        <v>490</v>
      </c>
      <c r="M315" s="16" t="s">
        <v>8</v>
      </c>
      <c r="N315" s="16">
        <f t="shared" si="4"/>
        <v>221.84859454749449</v>
      </c>
      <c r="O315" s="22" t="s">
        <v>451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</row>
    <row r="316" spans="1:92" s="18" customFormat="1" ht="16" x14ac:dyDescent="0.2">
      <c r="A316" s="16">
        <v>867</v>
      </c>
      <c r="B316" s="16" t="s">
        <v>565</v>
      </c>
      <c r="C316" s="16" t="s">
        <v>888</v>
      </c>
      <c r="D316" s="16" t="s">
        <v>889</v>
      </c>
      <c r="E316" s="16" t="s">
        <v>568</v>
      </c>
      <c r="F316" s="16" t="s">
        <v>680</v>
      </c>
      <c r="G316" s="16" t="s">
        <v>892</v>
      </c>
      <c r="H316" s="17">
        <v>44335</v>
      </c>
      <c r="I316" s="16">
        <v>5</v>
      </c>
      <c r="J316" s="16">
        <v>100</v>
      </c>
      <c r="K316" s="16">
        <v>2.0582818540388601</v>
      </c>
      <c r="L316" s="16" t="s">
        <v>490</v>
      </c>
      <c r="M316" s="16" t="s">
        <v>8</v>
      </c>
      <c r="N316" s="16">
        <f t="shared" si="4"/>
        <v>102.91409270194301</v>
      </c>
      <c r="O316" s="22" t="s">
        <v>451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</row>
    <row r="317" spans="1:92" s="16" customFormat="1" ht="16" x14ac:dyDescent="0.2">
      <c r="A317" s="16">
        <v>874</v>
      </c>
      <c r="B317" s="16" t="s">
        <v>565</v>
      </c>
      <c r="C317" s="16" t="s">
        <v>888</v>
      </c>
      <c r="D317" s="16" t="s">
        <v>889</v>
      </c>
      <c r="E317" s="16" t="s">
        <v>568</v>
      </c>
      <c r="F317" s="16" t="s">
        <v>680</v>
      </c>
      <c r="G317" s="16" t="s">
        <v>892</v>
      </c>
      <c r="H317" s="17">
        <v>44335</v>
      </c>
      <c r="I317" s="16">
        <v>5</v>
      </c>
      <c r="J317" s="16">
        <v>100</v>
      </c>
      <c r="K317" s="16">
        <v>0.76695475799218205</v>
      </c>
      <c r="L317" s="16" t="s">
        <v>490</v>
      </c>
      <c r="M317" s="16" t="s">
        <v>8</v>
      </c>
      <c r="N317" s="16">
        <f t="shared" si="4"/>
        <v>38.347737899609101</v>
      </c>
      <c r="O317" s="22" t="s">
        <v>451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</row>
    <row r="318" spans="1:92" s="16" customFormat="1" ht="16" x14ac:dyDescent="0.2">
      <c r="A318" s="16">
        <v>881</v>
      </c>
      <c r="B318" s="16" t="s">
        <v>565</v>
      </c>
      <c r="C318" s="16" t="s">
        <v>888</v>
      </c>
      <c r="D318" s="16" t="s">
        <v>889</v>
      </c>
      <c r="E318" s="16" t="s">
        <v>568</v>
      </c>
      <c r="F318" s="16" t="s">
        <v>680</v>
      </c>
      <c r="G318" s="16" t="s">
        <v>892</v>
      </c>
      <c r="H318" s="17">
        <v>44335</v>
      </c>
      <c r="I318" s="16">
        <v>5</v>
      </c>
      <c r="J318" s="16">
        <v>100</v>
      </c>
      <c r="K318" s="16">
        <v>0</v>
      </c>
      <c r="L318" s="16" t="s">
        <v>490</v>
      </c>
      <c r="M318" s="16" t="s">
        <v>8</v>
      </c>
      <c r="N318" s="16">
        <f t="shared" si="4"/>
        <v>0</v>
      </c>
      <c r="O318" s="22" t="s">
        <v>451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</row>
    <row r="319" spans="1:92" s="16" customFormat="1" ht="16" x14ac:dyDescent="0.2">
      <c r="A319" s="18">
        <v>831</v>
      </c>
      <c r="B319" s="18" t="s">
        <v>570</v>
      </c>
      <c r="C319" s="18" t="s">
        <v>888</v>
      </c>
      <c r="D319" s="18" t="s">
        <v>893</v>
      </c>
      <c r="E319" s="18" t="s">
        <v>568</v>
      </c>
      <c r="F319" s="18" t="s">
        <v>680</v>
      </c>
      <c r="G319" s="18" t="s">
        <v>894</v>
      </c>
      <c r="H319" s="19">
        <v>44334</v>
      </c>
      <c r="I319" s="18">
        <v>5</v>
      </c>
      <c r="J319" s="18">
        <v>100</v>
      </c>
      <c r="K319" s="18">
        <v>0</v>
      </c>
      <c r="L319" s="18" t="s">
        <v>490</v>
      </c>
      <c r="M319" s="18" t="s">
        <v>8</v>
      </c>
      <c r="N319" s="18">
        <f t="shared" si="4"/>
        <v>0</v>
      </c>
      <c r="O319" s="20" t="s">
        <v>451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</row>
    <row r="320" spans="1:92" s="16" customFormat="1" ht="16" x14ac:dyDescent="0.2">
      <c r="A320" s="18">
        <v>837</v>
      </c>
      <c r="B320" s="18" t="s">
        <v>570</v>
      </c>
      <c r="C320" s="18" t="s">
        <v>888</v>
      </c>
      <c r="D320" s="18" t="s">
        <v>893</v>
      </c>
      <c r="E320" s="18" t="s">
        <v>568</v>
      </c>
      <c r="F320" s="18" t="s">
        <v>680</v>
      </c>
      <c r="G320" s="18" t="s">
        <v>894</v>
      </c>
      <c r="H320" s="19">
        <v>44334</v>
      </c>
      <c r="I320" s="18">
        <v>5</v>
      </c>
      <c r="J320" s="18">
        <v>100</v>
      </c>
      <c r="K320" s="18">
        <v>0</v>
      </c>
      <c r="L320" s="18" t="s">
        <v>490</v>
      </c>
      <c r="M320" s="18" t="s">
        <v>8</v>
      </c>
      <c r="N320" s="18">
        <f t="shared" si="4"/>
        <v>0</v>
      </c>
      <c r="O320" s="20" t="s">
        <v>451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</row>
    <row r="321" spans="1:92" s="16" customFormat="1" ht="16" x14ac:dyDescent="0.2">
      <c r="A321" s="18">
        <v>843</v>
      </c>
      <c r="B321" s="18" t="s">
        <v>570</v>
      </c>
      <c r="C321" s="18" t="s">
        <v>888</v>
      </c>
      <c r="D321" s="18" t="s">
        <v>893</v>
      </c>
      <c r="E321" s="18" t="s">
        <v>568</v>
      </c>
      <c r="F321" s="18" t="s">
        <v>680</v>
      </c>
      <c r="G321" s="18" t="s">
        <v>894</v>
      </c>
      <c r="H321" s="19">
        <v>44334</v>
      </c>
      <c r="I321" s="18">
        <v>5</v>
      </c>
      <c r="J321" s="18">
        <v>100</v>
      </c>
      <c r="K321" s="18">
        <v>0</v>
      </c>
      <c r="L321" s="18" t="s">
        <v>490</v>
      </c>
      <c r="M321" s="18" t="s">
        <v>8</v>
      </c>
      <c r="N321" s="18">
        <f t="shared" si="4"/>
        <v>0</v>
      </c>
      <c r="O321" s="20" t="s">
        <v>451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</row>
    <row r="322" spans="1:92" s="16" customFormat="1" ht="16" x14ac:dyDescent="0.2">
      <c r="A322" s="18">
        <v>850</v>
      </c>
      <c r="B322" s="18" t="s">
        <v>570</v>
      </c>
      <c r="C322" s="18" t="s">
        <v>888</v>
      </c>
      <c r="D322" s="18" t="s">
        <v>893</v>
      </c>
      <c r="E322" s="18" t="s">
        <v>568</v>
      </c>
      <c r="F322" s="18" t="s">
        <v>680</v>
      </c>
      <c r="G322" s="18" t="s">
        <v>895</v>
      </c>
      <c r="H322" s="19">
        <v>44334</v>
      </c>
      <c r="I322" s="18">
        <v>5</v>
      </c>
      <c r="J322" s="18">
        <v>100</v>
      </c>
      <c r="K322" s="18">
        <v>0</v>
      </c>
      <c r="L322" s="18" t="s">
        <v>490</v>
      </c>
      <c r="M322" s="18" t="s">
        <v>8</v>
      </c>
      <c r="N322" s="18">
        <f t="shared" si="4"/>
        <v>0</v>
      </c>
      <c r="O322" s="20" t="s">
        <v>451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</row>
    <row r="323" spans="1:92" s="16" customFormat="1" ht="16" x14ac:dyDescent="0.2">
      <c r="A323" s="18">
        <v>857</v>
      </c>
      <c r="B323" s="18" t="s">
        <v>570</v>
      </c>
      <c r="C323" s="18" t="s">
        <v>888</v>
      </c>
      <c r="D323" s="18" t="s">
        <v>893</v>
      </c>
      <c r="E323" s="18" t="s">
        <v>568</v>
      </c>
      <c r="F323" s="18" t="s">
        <v>680</v>
      </c>
      <c r="G323" s="18" t="s">
        <v>895</v>
      </c>
      <c r="H323" s="19">
        <v>44334</v>
      </c>
      <c r="I323" s="18">
        <v>5</v>
      </c>
      <c r="J323" s="18">
        <v>100</v>
      </c>
      <c r="K323" s="18">
        <v>0</v>
      </c>
      <c r="L323" s="18" t="s">
        <v>490</v>
      </c>
      <c r="M323" s="18" t="s">
        <v>8</v>
      </c>
      <c r="N323" s="18">
        <f t="shared" si="4"/>
        <v>0</v>
      </c>
      <c r="O323" s="20" t="s">
        <v>451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</row>
    <row r="324" spans="1:92" s="16" customFormat="1" ht="16" x14ac:dyDescent="0.2">
      <c r="A324" s="18">
        <v>864</v>
      </c>
      <c r="B324" s="18" t="s">
        <v>570</v>
      </c>
      <c r="C324" s="18" t="s">
        <v>888</v>
      </c>
      <c r="D324" s="18" t="s">
        <v>893</v>
      </c>
      <c r="E324" s="18" t="s">
        <v>568</v>
      </c>
      <c r="F324" s="18" t="s">
        <v>680</v>
      </c>
      <c r="G324" s="18" t="s">
        <v>895</v>
      </c>
      <c r="H324" s="19">
        <v>44334</v>
      </c>
      <c r="I324" s="18">
        <v>5</v>
      </c>
      <c r="J324" s="18">
        <v>100</v>
      </c>
      <c r="K324" s="18">
        <v>0</v>
      </c>
      <c r="L324" s="18" t="s">
        <v>490</v>
      </c>
      <c r="M324" s="18" t="s">
        <v>8</v>
      </c>
      <c r="N324" s="18">
        <f t="shared" ref="N324:N387" si="5">K324*I324*(1000/J324)</f>
        <v>0</v>
      </c>
      <c r="O324" s="20" t="s">
        <v>451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</row>
    <row r="325" spans="1:92" s="16" customFormat="1" ht="16" x14ac:dyDescent="0.2">
      <c r="A325" s="18">
        <v>865</v>
      </c>
      <c r="B325" s="18" t="s">
        <v>570</v>
      </c>
      <c r="C325" s="18" t="s">
        <v>888</v>
      </c>
      <c r="D325" s="18" t="s">
        <v>893</v>
      </c>
      <c r="E325" s="18" t="s">
        <v>568</v>
      </c>
      <c r="F325" s="18" t="s">
        <v>680</v>
      </c>
      <c r="G325" s="18" t="s">
        <v>896</v>
      </c>
      <c r="H325" s="19">
        <v>44334</v>
      </c>
      <c r="I325" s="18">
        <v>5</v>
      </c>
      <c r="J325" s="18">
        <v>100</v>
      </c>
      <c r="K325" s="18">
        <v>0</v>
      </c>
      <c r="L325" s="18" t="s">
        <v>490</v>
      </c>
      <c r="M325" s="18" t="s">
        <v>8</v>
      </c>
      <c r="N325" s="18">
        <f t="shared" si="5"/>
        <v>0</v>
      </c>
      <c r="O325" s="20" t="s">
        <v>451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</row>
    <row r="326" spans="1:92" s="16" customFormat="1" ht="16" x14ac:dyDescent="0.2">
      <c r="A326" s="18">
        <v>872</v>
      </c>
      <c r="B326" s="18" t="s">
        <v>570</v>
      </c>
      <c r="C326" s="18" t="s">
        <v>888</v>
      </c>
      <c r="D326" s="18" t="s">
        <v>893</v>
      </c>
      <c r="E326" s="18" t="s">
        <v>568</v>
      </c>
      <c r="F326" s="18" t="s">
        <v>680</v>
      </c>
      <c r="G326" s="18" t="s">
        <v>896</v>
      </c>
      <c r="H326" s="19">
        <v>44334</v>
      </c>
      <c r="I326" s="18">
        <v>5</v>
      </c>
      <c r="J326" s="18">
        <v>100</v>
      </c>
      <c r="K326" s="18">
        <v>0</v>
      </c>
      <c r="L326" s="18" t="s">
        <v>490</v>
      </c>
      <c r="M326" s="18" t="s">
        <v>8</v>
      </c>
      <c r="N326" s="18">
        <f t="shared" si="5"/>
        <v>0</v>
      </c>
      <c r="O326" s="20" t="s">
        <v>451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</row>
    <row r="327" spans="1:92" s="16" customFormat="1" ht="16" x14ac:dyDescent="0.2">
      <c r="A327" s="18">
        <v>879</v>
      </c>
      <c r="B327" s="18" t="s">
        <v>570</v>
      </c>
      <c r="C327" s="18" t="s">
        <v>888</v>
      </c>
      <c r="D327" s="18" t="s">
        <v>893</v>
      </c>
      <c r="E327" s="18" t="s">
        <v>568</v>
      </c>
      <c r="F327" s="18" t="s">
        <v>680</v>
      </c>
      <c r="G327" s="18" t="s">
        <v>896</v>
      </c>
      <c r="H327" s="19">
        <v>44334</v>
      </c>
      <c r="I327" s="18">
        <v>5</v>
      </c>
      <c r="J327" s="18">
        <v>100</v>
      </c>
      <c r="K327" s="18">
        <v>0</v>
      </c>
      <c r="L327" s="18" t="s">
        <v>490</v>
      </c>
      <c r="M327" s="18" t="s">
        <v>8</v>
      </c>
      <c r="N327" s="18">
        <f t="shared" si="5"/>
        <v>0</v>
      </c>
      <c r="O327" s="20" t="s">
        <v>451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</row>
    <row r="328" spans="1:92" s="16" customFormat="1" ht="16" x14ac:dyDescent="0.2">
      <c r="A328" s="16">
        <v>887</v>
      </c>
      <c r="B328" s="16" t="s">
        <v>572</v>
      </c>
      <c r="C328" s="16" t="s">
        <v>897</v>
      </c>
      <c r="D328" s="16" t="s">
        <v>898</v>
      </c>
      <c r="E328" s="16" t="s">
        <v>574</v>
      </c>
      <c r="F328" s="16" t="s">
        <v>680</v>
      </c>
      <c r="G328" s="16" t="s">
        <v>899</v>
      </c>
      <c r="H328" s="17">
        <v>44335</v>
      </c>
      <c r="I328" s="16">
        <v>5</v>
      </c>
      <c r="J328" s="16">
        <v>100</v>
      </c>
      <c r="K328" s="16">
        <v>0</v>
      </c>
      <c r="L328" s="16" t="s">
        <v>490</v>
      </c>
      <c r="M328" s="16" t="s">
        <v>8</v>
      </c>
      <c r="N328" s="16">
        <f t="shared" si="5"/>
        <v>0</v>
      </c>
      <c r="O328" s="22" t="s">
        <v>451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</row>
    <row r="329" spans="1:92" s="16" customFormat="1" ht="16" x14ac:dyDescent="0.2">
      <c r="A329" s="16">
        <v>893</v>
      </c>
      <c r="B329" s="16" t="s">
        <v>572</v>
      </c>
      <c r="C329" s="16" t="s">
        <v>897</v>
      </c>
      <c r="D329" s="16" t="s">
        <v>898</v>
      </c>
      <c r="E329" s="16" t="s">
        <v>574</v>
      </c>
      <c r="F329" s="16" t="s">
        <v>680</v>
      </c>
      <c r="G329" s="16" t="s">
        <v>899</v>
      </c>
      <c r="H329" s="17">
        <v>44335</v>
      </c>
      <c r="I329" s="16">
        <v>5</v>
      </c>
      <c r="J329" s="16">
        <v>100</v>
      </c>
      <c r="K329" s="16">
        <v>3.2232908735948</v>
      </c>
      <c r="L329" s="16" t="s">
        <v>490</v>
      </c>
      <c r="M329" s="16" t="s">
        <v>8</v>
      </c>
      <c r="N329" s="16">
        <f t="shared" si="5"/>
        <v>161.16454367974001</v>
      </c>
      <c r="O329" s="22" t="s">
        <v>451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</row>
    <row r="330" spans="1:92" s="16" customFormat="1" ht="16" x14ac:dyDescent="0.2">
      <c r="A330" s="16">
        <v>899</v>
      </c>
      <c r="B330" s="16" t="s">
        <v>572</v>
      </c>
      <c r="C330" s="16" t="s">
        <v>897</v>
      </c>
      <c r="D330" s="16" t="s">
        <v>898</v>
      </c>
      <c r="E330" s="16" t="s">
        <v>574</v>
      </c>
      <c r="F330" s="16" t="s">
        <v>680</v>
      </c>
      <c r="G330" s="16" t="s">
        <v>899</v>
      </c>
      <c r="H330" s="17">
        <v>44335</v>
      </c>
      <c r="I330" s="16">
        <v>5</v>
      </c>
      <c r="J330" s="16">
        <v>100</v>
      </c>
      <c r="K330" s="16">
        <v>0</v>
      </c>
      <c r="L330" s="16" t="s">
        <v>490</v>
      </c>
      <c r="M330" s="16" t="s">
        <v>8</v>
      </c>
      <c r="N330" s="16">
        <f t="shared" si="5"/>
        <v>0</v>
      </c>
      <c r="O330" s="22" t="s">
        <v>451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</row>
    <row r="331" spans="1:92" s="16" customFormat="1" ht="16" x14ac:dyDescent="0.2">
      <c r="A331" s="16">
        <v>868</v>
      </c>
      <c r="B331" s="16" t="s">
        <v>572</v>
      </c>
      <c r="C331" s="16" t="s">
        <v>897</v>
      </c>
      <c r="D331" s="16" t="s">
        <v>898</v>
      </c>
      <c r="E331" s="16" t="s">
        <v>574</v>
      </c>
      <c r="F331" s="16" t="s">
        <v>680</v>
      </c>
      <c r="G331" s="16" t="s">
        <v>900</v>
      </c>
      <c r="H331" s="17">
        <v>44335</v>
      </c>
      <c r="I331" s="16">
        <v>5</v>
      </c>
      <c r="J331" s="16">
        <v>100</v>
      </c>
      <c r="K331" s="16">
        <v>0</v>
      </c>
      <c r="L331" s="16" t="s">
        <v>490</v>
      </c>
      <c r="M331" s="16" t="s">
        <v>8</v>
      </c>
      <c r="N331" s="16">
        <f t="shared" si="5"/>
        <v>0</v>
      </c>
      <c r="O331" s="22" t="s">
        <v>451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</row>
    <row r="332" spans="1:92" s="18" customFormat="1" ht="16" x14ac:dyDescent="0.2">
      <c r="A332" s="16">
        <v>875</v>
      </c>
      <c r="B332" s="16" t="s">
        <v>572</v>
      </c>
      <c r="C332" s="16" t="s">
        <v>897</v>
      </c>
      <c r="D332" s="16" t="s">
        <v>898</v>
      </c>
      <c r="E332" s="16" t="s">
        <v>574</v>
      </c>
      <c r="F332" s="16" t="s">
        <v>680</v>
      </c>
      <c r="G332" s="16" t="s">
        <v>900</v>
      </c>
      <c r="H332" s="17">
        <v>44335</v>
      </c>
      <c r="I332" s="16">
        <v>5</v>
      </c>
      <c r="J332" s="16">
        <v>100</v>
      </c>
      <c r="K332" s="16">
        <v>0</v>
      </c>
      <c r="L332" s="16" t="s">
        <v>490</v>
      </c>
      <c r="M332" s="16" t="s">
        <v>8</v>
      </c>
      <c r="N332" s="16">
        <f t="shared" si="5"/>
        <v>0</v>
      </c>
      <c r="O332" s="22" t="s">
        <v>451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</row>
    <row r="333" spans="1:92" s="18" customFormat="1" ht="16" x14ac:dyDescent="0.2">
      <c r="A333" s="16">
        <v>882</v>
      </c>
      <c r="B333" s="16" t="s">
        <v>572</v>
      </c>
      <c r="C333" s="16" t="s">
        <v>897</v>
      </c>
      <c r="D333" s="16" t="s">
        <v>898</v>
      </c>
      <c r="E333" s="16" t="s">
        <v>574</v>
      </c>
      <c r="F333" s="16" t="s">
        <v>680</v>
      </c>
      <c r="G333" s="16" t="s">
        <v>900</v>
      </c>
      <c r="H333" s="17">
        <v>44335</v>
      </c>
      <c r="I333" s="16">
        <v>5</v>
      </c>
      <c r="J333" s="16">
        <v>100</v>
      </c>
      <c r="K333" s="16">
        <v>0</v>
      </c>
      <c r="L333" s="16" t="s">
        <v>490</v>
      </c>
      <c r="M333" s="16" t="s">
        <v>8</v>
      </c>
      <c r="N333" s="16">
        <f t="shared" si="5"/>
        <v>0</v>
      </c>
      <c r="O333" s="22" t="s">
        <v>451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</row>
    <row r="334" spans="1:92" s="18" customFormat="1" ht="16" x14ac:dyDescent="0.2">
      <c r="A334" s="16">
        <v>888</v>
      </c>
      <c r="B334" s="16" t="s">
        <v>572</v>
      </c>
      <c r="C334" s="16" t="s">
        <v>897</v>
      </c>
      <c r="D334" s="16" t="s">
        <v>898</v>
      </c>
      <c r="E334" s="16" t="s">
        <v>574</v>
      </c>
      <c r="F334" s="16" t="s">
        <v>680</v>
      </c>
      <c r="G334" s="16" t="s">
        <v>901</v>
      </c>
      <c r="H334" s="17">
        <v>44335</v>
      </c>
      <c r="I334" s="16">
        <v>5</v>
      </c>
      <c r="J334" s="16">
        <v>100</v>
      </c>
      <c r="K334" s="16">
        <v>0</v>
      </c>
      <c r="L334" s="16" t="s">
        <v>490</v>
      </c>
      <c r="M334" s="16" t="s">
        <v>8</v>
      </c>
      <c r="N334" s="16">
        <f t="shared" si="5"/>
        <v>0</v>
      </c>
      <c r="O334" s="22" t="s">
        <v>451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</row>
    <row r="335" spans="1:92" s="18" customFormat="1" ht="16" x14ac:dyDescent="0.2">
      <c r="A335" s="16">
        <v>894</v>
      </c>
      <c r="B335" s="16" t="s">
        <v>572</v>
      </c>
      <c r="C335" s="16" t="s">
        <v>897</v>
      </c>
      <c r="D335" s="16" t="s">
        <v>898</v>
      </c>
      <c r="E335" s="16" t="s">
        <v>574</v>
      </c>
      <c r="F335" s="16" t="s">
        <v>680</v>
      </c>
      <c r="G335" s="16" t="s">
        <v>901</v>
      </c>
      <c r="H335" s="17">
        <v>44335</v>
      </c>
      <c r="I335" s="16">
        <v>5</v>
      </c>
      <c r="J335" s="16">
        <v>100</v>
      </c>
      <c r="K335" s="16">
        <v>0</v>
      </c>
      <c r="L335" s="16" t="s">
        <v>490</v>
      </c>
      <c r="M335" s="16" t="s">
        <v>8</v>
      </c>
      <c r="N335" s="16">
        <f t="shared" si="5"/>
        <v>0</v>
      </c>
      <c r="O335" s="22" t="s">
        <v>451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</row>
    <row r="336" spans="1:92" s="18" customFormat="1" ht="16" x14ac:dyDescent="0.2">
      <c r="A336" s="16">
        <v>900</v>
      </c>
      <c r="B336" s="16" t="s">
        <v>572</v>
      </c>
      <c r="C336" s="16" t="s">
        <v>897</v>
      </c>
      <c r="D336" s="16" t="s">
        <v>898</v>
      </c>
      <c r="E336" s="16" t="s">
        <v>574</v>
      </c>
      <c r="F336" s="16" t="s">
        <v>680</v>
      </c>
      <c r="G336" s="16" t="s">
        <v>901</v>
      </c>
      <c r="H336" s="17">
        <v>44335</v>
      </c>
      <c r="I336" s="16">
        <v>5</v>
      </c>
      <c r="J336" s="16">
        <v>100</v>
      </c>
      <c r="K336" s="16">
        <v>0</v>
      </c>
      <c r="L336" s="16" t="s">
        <v>490</v>
      </c>
      <c r="M336" s="16" t="s">
        <v>8</v>
      </c>
      <c r="N336" s="16">
        <f t="shared" si="5"/>
        <v>0</v>
      </c>
      <c r="O336" s="22" t="s">
        <v>451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</row>
    <row r="337" spans="1:92" s="18" customFormat="1" ht="16" x14ac:dyDescent="0.2">
      <c r="A337" s="18">
        <v>869</v>
      </c>
      <c r="B337" s="18" t="s">
        <v>576</v>
      </c>
      <c r="C337" s="18" t="s">
        <v>897</v>
      </c>
      <c r="D337" s="18" t="s">
        <v>902</v>
      </c>
      <c r="E337" s="18" t="s">
        <v>574</v>
      </c>
      <c r="F337" s="18" t="s">
        <v>680</v>
      </c>
      <c r="G337" s="18" t="s">
        <v>903</v>
      </c>
      <c r="H337" s="19">
        <v>44335</v>
      </c>
      <c r="I337" s="18">
        <v>5</v>
      </c>
      <c r="J337" s="18">
        <v>100</v>
      </c>
      <c r="K337" s="18">
        <v>0</v>
      </c>
      <c r="L337" s="18" t="s">
        <v>490</v>
      </c>
      <c r="M337" s="18" t="s">
        <v>8</v>
      </c>
      <c r="N337" s="18">
        <f t="shared" si="5"/>
        <v>0</v>
      </c>
      <c r="O337" s="20" t="s">
        <v>451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</row>
    <row r="338" spans="1:92" s="18" customFormat="1" ht="16" x14ac:dyDescent="0.2">
      <c r="A338" s="18">
        <v>876</v>
      </c>
      <c r="B338" s="18" t="s">
        <v>576</v>
      </c>
      <c r="C338" s="18" t="s">
        <v>897</v>
      </c>
      <c r="D338" s="18" t="s">
        <v>902</v>
      </c>
      <c r="E338" s="18" t="s">
        <v>574</v>
      </c>
      <c r="F338" s="18" t="s">
        <v>680</v>
      </c>
      <c r="G338" s="18" t="s">
        <v>903</v>
      </c>
      <c r="H338" s="19">
        <v>44335</v>
      </c>
      <c r="I338" s="18">
        <v>5</v>
      </c>
      <c r="J338" s="18">
        <v>100</v>
      </c>
      <c r="K338" s="18">
        <v>0</v>
      </c>
      <c r="L338" s="18" t="s">
        <v>490</v>
      </c>
      <c r="M338" s="18" t="s">
        <v>8</v>
      </c>
      <c r="N338" s="18">
        <f t="shared" si="5"/>
        <v>0</v>
      </c>
      <c r="O338" s="20" t="s">
        <v>451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</row>
    <row r="339" spans="1:92" s="18" customFormat="1" ht="16" x14ac:dyDescent="0.2">
      <c r="A339" s="18">
        <v>883</v>
      </c>
      <c r="B339" s="18" t="s">
        <v>576</v>
      </c>
      <c r="C339" s="18" t="s">
        <v>897</v>
      </c>
      <c r="D339" s="18" t="s">
        <v>902</v>
      </c>
      <c r="E339" s="18" t="s">
        <v>574</v>
      </c>
      <c r="F339" s="18" t="s">
        <v>680</v>
      </c>
      <c r="G339" s="18" t="s">
        <v>903</v>
      </c>
      <c r="H339" s="19">
        <v>44335</v>
      </c>
      <c r="I339" s="18">
        <v>5</v>
      </c>
      <c r="J339" s="18">
        <v>100</v>
      </c>
      <c r="K339" s="18">
        <v>0</v>
      </c>
      <c r="L339" s="18" t="s">
        <v>490</v>
      </c>
      <c r="M339" s="18" t="s">
        <v>8</v>
      </c>
      <c r="N339" s="18">
        <f t="shared" si="5"/>
        <v>0</v>
      </c>
      <c r="O339" s="20" t="s">
        <v>451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</row>
    <row r="340" spans="1:92" s="18" customFormat="1" ht="16" x14ac:dyDescent="0.2">
      <c r="A340" s="18">
        <v>889</v>
      </c>
      <c r="B340" s="18" t="s">
        <v>576</v>
      </c>
      <c r="C340" s="18" t="s">
        <v>897</v>
      </c>
      <c r="D340" s="18" t="s">
        <v>902</v>
      </c>
      <c r="E340" s="18" t="s">
        <v>574</v>
      </c>
      <c r="F340" s="18" t="s">
        <v>680</v>
      </c>
      <c r="G340" s="18" t="s">
        <v>904</v>
      </c>
      <c r="H340" s="19">
        <v>44335</v>
      </c>
      <c r="I340" s="18">
        <v>5</v>
      </c>
      <c r="J340" s="18">
        <v>100</v>
      </c>
      <c r="K340" s="18">
        <v>0</v>
      </c>
      <c r="L340" s="18" t="s">
        <v>490</v>
      </c>
      <c r="M340" s="18" t="s">
        <v>8</v>
      </c>
      <c r="N340" s="18">
        <f t="shared" si="5"/>
        <v>0</v>
      </c>
      <c r="O340" s="20" t="s">
        <v>451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</row>
    <row r="341" spans="1:92" s="16" customFormat="1" ht="16" x14ac:dyDescent="0.2">
      <c r="A341" s="18">
        <v>895</v>
      </c>
      <c r="B341" s="18" t="s">
        <v>576</v>
      </c>
      <c r="C341" s="18" t="s">
        <v>897</v>
      </c>
      <c r="D341" s="18" t="s">
        <v>902</v>
      </c>
      <c r="E341" s="18" t="s">
        <v>574</v>
      </c>
      <c r="F341" s="18" t="s">
        <v>680</v>
      </c>
      <c r="G341" s="18" t="s">
        <v>904</v>
      </c>
      <c r="H341" s="19">
        <v>44335</v>
      </c>
      <c r="I341" s="18">
        <v>5</v>
      </c>
      <c r="J341" s="18">
        <v>100</v>
      </c>
      <c r="K341" s="18">
        <v>0</v>
      </c>
      <c r="L341" s="18" t="s">
        <v>490</v>
      </c>
      <c r="M341" s="18" t="s">
        <v>8</v>
      </c>
      <c r="N341" s="18">
        <f t="shared" si="5"/>
        <v>0</v>
      </c>
      <c r="O341" s="20" t="s">
        <v>451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</row>
    <row r="342" spans="1:92" s="16" customFormat="1" ht="16" x14ac:dyDescent="0.2">
      <c r="A342" s="18">
        <v>901</v>
      </c>
      <c r="B342" s="18" t="s">
        <v>576</v>
      </c>
      <c r="C342" s="18" t="s">
        <v>897</v>
      </c>
      <c r="D342" s="18" t="s">
        <v>902</v>
      </c>
      <c r="E342" s="18" t="s">
        <v>574</v>
      </c>
      <c r="F342" s="18" t="s">
        <v>680</v>
      </c>
      <c r="G342" s="18" t="s">
        <v>904</v>
      </c>
      <c r="H342" s="19">
        <v>44335</v>
      </c>
      <c r="I342" s="18">
        <v>5</v>
      </c>
      <c r="J342" s="18">
        <v>100</v>
      </c>
      <c r="K342" s="18">
        <v>0</v>
      </c>
      <c r="L342" s="18" t="s">
        <v>490</v>
      </c>
      <c r="M342" s="18" t="s">
        <v>8</v>
      </c>
      <c r="N342" s="18">
        <f t="shared" si="5"/>
        <v>0</v>
      </c>
      <c r="O342" s="20" t="s">
        <v>451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</row>
    <row r="343" spans="1:92" s="16" customFormat="1" ht="16" x14ac:dyDescent="0.2">
      <c r="A343" s="18">
        <v>870</v>
      </c>
      <c r="B343" s="18" t="s">
        <v>576</v>
      </c>
      <c r="C343" s="18" t="s">
        <v>897</v>
      </c>
      <c r="D343" s="18" t="s">
        <v>902</v>
      </c>
      <c r="E343" s="18" t="s">
        <v>574</v>
      </c>
      <c r="F343" s="18" t="s">
        <v>680</v>
      </c>
      <c r="G343" s="18" t="s">
        <v>905</v>
      </c>
      <c r="H343" s="19">
        <v>44335</v>
      </c>
      <c r="I343" s="18">
        <v>5</v>
      </c>
      <c r="J343" s="18">
        <v>100</v>
      </c>
      <c r="K343" s="18">
        <v>0</v>
      </c>
      <c r="L343" s="18" t="s">
        <v>490</v>
      </c>
      <c r="M343" s="18" t="s">
        <v>8</v>
      </c>
      <c r="N343" s="18">
        <f t="shared" si="5"/>
        <v>0</v>
      </c>
      <c r="O343" s="20" t="s">
        <v>451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</row>
    <row r="344" spans="1:92" s="16" customFormat="1" ht="16" x14ac:dyDescent="0.2">
      <c r="A344" s="18">
        <v>877</v>
      </c>
      <c r="B344" s="18" t="s">
        <v>576</v>
      </c>
      <c r="C344" s="18" t="s">
        <v>897</v>
      </c>
      <c r="D344" s="18" t="s">
        <v>902</v>
      </c>
      <c r="E344" s="18" t="s">
        <v>574</v>
      </c>
      <c r="F344" s="18" t="s">
        <v>680</v>
      </c>
      <c r="G344" s="18" t="s">
        <v>905</v>
      </c>
      <c r="H344" s="19">
        <v>44335</v>
      </c>
      <c r="I344" s="18">
        <v>5</v>
      </c>
      <c r="J344" s="18">
        <v>100</v>
      </c>
      <c r="K344" s="18">
        <v>1.5677698320715701</v>
      </c>
      <c r="L344" s="18" t="s">
        <v>490</v>
      </c>
      <c r="M344" s="18" t="s">
        <v>8</v>
      </c>
      <c r="N344" s="18">
        <f t="shared" si="5"/>
        <v>78.388491603578501</v>
      </c>
      <c r="O344" s="20" t="s">
        <v>451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</row>
    <row r="345" spans="1:92" s="16" customFormat="1" ht="16" x14ac:dyDescent="0.2">
      <c r="A345" s="18">
        <v>884</v>
      </c>
      <c r="B345" s="18" t="s">
        <v>576</v>
      </c>
      <c r="C345" s="18" t="s">
        <v>897</v>
      </c>
      <c r="D345" s="18" t="s">
        <v>902</v>
      </c>
      <c r="E345" s="18" t="s">
        <v>574</v>
      </c>
      <c r="F345" s="18" t="s">
        <v>680</v>
      </c>
      <c r="G345" s="18" t="s">
        <v>905</v>
      </c>
      <c r="H345" s="19">
        <v>44335</v>
      </c>
      <c r="I345" s="18">
        <v>5</v>
      </c>
      <c r="J345" s="18">
        <v>100</v>
      </c>
      <c r="K345" s="18">
        <v>0</v>
      </c>
      <c r="L345" s="18" t="s">
        <v>490</v>
      </c>
      <c r="M345" s="18" t="s">
        <v>8</v>
      </c>
      <c r="N345" s="18">
        <f t="shared" si="5"/>
        <v>0</v>
      </c>
      <c r="O345" s="20" t="s">
        <v>451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</row>
    <row r="346" spans="1:92" s="16" customFormat="1" ht="16" x14ac:dyDescent="0.2">
      <c r="A346" s="16">
        <v>890</v>
      </c>
      <c r="B346" s="16" t="s">
        <v>578</v>
      </c>
      <c r="C346" s="16" t="s">
        <v>906</v>
      </c>
      <c r="D346" s="16" t="s">
        <v>907</v>
      </c>
      <c r="E346" s="16" t="s">
        <v>580</v>
      </c>
      <c r="F346" s="16" t="s">
        <v>680</v>
      </c>
      <c r="G346" s="16" t="s">
        <v>908</v>
      </c>
      <c r="H346" s="17">
        <v>44335</v>
      </c>
      <c r="I346" s="16">
        <v>5</v>
      </c>
      <c r="J346" s="16">
        <v>100</v>
      </c>
      <c r="K346" s="16">
        <v>3.3963657166802301</v>
      </c>
      <c r="L346" s="16" t="s">
        <v>490</v>
      </c>
      <c r="M346" s="16" t="s">
        <v>8</v>
      </c>
      <c r="N346" s="16">
        <f t="shared" si="5"/>
        <v>169.8182858340115</v>
      </c>
      <c r="O346" s="22" t="s">
        <v>451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</row>
    <row r="347" spans="1:92" s="16" customFormat="1" ht="16" x14ac:dyDescent="0.2">
      <c r="A347" s="16">
        <v>896</v>
      </c>
      <c r="B347" s="16" t="s">
        <v>578</v>
      </c>
      <c r="C347" s="16" t="s">
        <v>906</v>
      </c>
      <c r="D347" s="16" t="s">
        <v>907</v>
      </c>
      <c r="E347" s="16" t="s">
        <v>580</v>
      </c>
      <c r="F347" s="16" t="s">
        <v>680</v>
      </c>
      <c r="G347" s="16" t="s">
        <v>908</v>
      </c>
      <c r="H347" s="17">
        <v>44335</v>
      </c>
      <c r="I347" s="16">
        <v>5</v>
      </c>
      <c r="J347" s="16">
        <v>100</v>
      </c>
      <c r="K347" s="16">
        <v>0.96415758023485398</v>
      </c>
      <c r="L347" s="16" t="s">
        <v>490</v>
      </c>
      <c r="M347" s="16" t="s">
        <v>8</v>
      </c>
      <c r="N347" s="16">
        <f t="shared" si="5"/>
        <v>48.207879011742698</v>
      </c>
      <c r="O347" s="22" t="s">
        <v>451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</row>
    <row r="348" spans="1:92" s="16" customFormat="1" ht="16" x14ac:dyDescent="0.2">
      <c r="A348" s="16">
        <v>902</v>
      </c>
      <c r="B348" s="16" t="s">
        <v>578</v>
      </c>
      <c r="C348" s="16" t="s">
        <v>906</v>
      </c>
      <c r="D348" s="16" t="s">
        <v>907</v>
      </c>
      <c r="E348" s="16" t="s">
        <v>580</v>
      </c>
      <c r="F348" s="16" t="s">
        <v>680</v>
      </c>
      <c r="G348" s="16" t="s">
        <v>908</v>
      </c>
      <c r="H348" s="17">
        <v>44335</v>
      </c>
      <c r="I348" s="16">
        <v>5</v>
      </c>
      <c r="J348" s="16">
        <v>100</v>
      </c>
      <c r="K348" s="16">
        <v>0</v>
      </c>
      <c r="L348" s="16" t="s">
        <v>490</v>
      </c>
      <c r="M348" s="16" t="s">
        <v>8</v>
      </c>
      <c r="N348" s="16">
        <f t="shared" si="5"/>
        <v>0</v>
      </c>
      <c r="O348" s="22" t="s">
        <v>451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</row>
    <row r="349" spans="1:92" s="16" customFormat="1" ht="16" x14ac:dyDescent="0.2">
      <c r="A349" s="16">
        <v>871</v>
      </c>
      <c r="B349" s="16" t="s">
        <v>578</v>
      </c>
      <c r="C349" s="16" t="s">
        <v>906</v>
      </c>
      <c r="D349" s="16" t="s">
        <v>907</v>
      </c>
      <c r="E349" s="16" t="s">
        <v>580</v>
      </c>
      <c r="F349" s="16" t="s">
        <v>680</v>
      </c>
      <c r="G349" s="16" t="s">
        <v>909</v>
      </c>
      <c r="H349" s="17">
        <v>44335</v>
      </c>
      <c r="I349" s="16">
        <v>5</v>
      </c>
      <c r="J349" s="16">
        <v>100</v>
      </c>
      <c r="K349" s="16">
        <v>3.1754969302410498</v>
      </c>
      <c r="L349" s="16" t="s">
        <v>490</v>
      </c>
      <c r="M349" s="16" t="s">
        <v>8</v>
      </c>
      <c r="N349" s="16">
        <f t="shared" si="5"/>
        <v>158.77484651205248</v>
      </c>
      <c r="O349" s="22" t="s">
        <v>451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</row>
    <row r="350" spans="1:92" s="18" customFormat="1" ht="16" x14ac:dyDescent="0.2">
      <c r="A350" s="16">
        <v>878</v>
      </c>
      <c r="B350" s="16" t="s">
        <v>578</v>
      </c>
      <c r="C350" s="16" t="s">
        <v>906</v>
      </c>
      <c r="D350" s="16" t="s">
        <v>907</v>
      </c>
      <c r="E350" s="16" t="s">
        <v>580</v>
      </c>
      <c r="F350" s="16" t="s">
        <v>680</v>
      </c>
      <c r="G350" s="16" t="s">
        <v>909</v>
      </c>
      <c r="H350" s="17">
        <v>44335</v>
      </c>
      <c r="I350" s="16">
        <v>5</v>
      </c>
      <c r="J350" s="16">
        <v>100</v>
      </c>
      <c r="K350" s="16">
        <v>0</v>
      </c>
      <c r="L350" s="16" t="s">
        <v>490</v>
      </c>
      <c r="M350" s="16" t="s">
        <v>8</v>
      </c>
      <c r="N350" s="16">
        <f t="shared" si="5"/>
        <v>0</v>
      </c>
      <c r="O350" s="22" t="s">
        <v>451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</row>
    <row r="351" spans="1:92" s="18" customFormat="1" ht="16" x14ac:dyDescent="0.2">
      <c r="A351" s="16">
        <v>885</v>
      </c>
      <c r="B351" s="16" t="s">
        <v>578</v>
      </c>
      <c r="C351" s="16" t="s">
        <v>906</v>
      </c>
      <c r="D351" s="16" t="s">
        <v>907</v>
      </c>
      <c r="E351" s="16" t="s">
        <v>580</v>
      </c>
      <c r="F351" s="16" t="s">
        <v>680</v>
      </c>
      <c r="G351" s="16" t="s">
        <v>909</v>
      </c>
      <c r="H351" s="17">
        <v>44335</v>
      </c>
      <c r="I351" s="16">
        <v>5</v>
      </c>
      <c r="J351" s="16">
        <v>100</v>
      </c>
      <c r="K351" s="16">
        <v>3.80384786875678</v>
      </c>
      <c r="L351" s="16" t="s">
        <v>490</v>
      </c>
      <c r="M351" s="16" t="s">
        <v>8</v>
      </c>
      <c r="N351" s="16">
        <f t="shared" si="5"/>
        <v>190.19239343783903</v>
      </c>
      <c r="O351" s="22" t="s">
        <v>451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</row>
    <row r="352" spans="1:92" s="18" customFormat="1" ht="16" x14ac:dyDescent="0.2">
      <c r="A352" s="16">
        <v>891</v>
      </c>
      <c r="B352" s="16" t="s">
        <v>578</v>
      </c>
      <c r="C352" s="16" t="s">
        <v>906</v>
      </c>
      <c r="D352" s="16" t="s">
        <v>907</v>
      </c>
      <c r="E352" s="16" t="s">
        <v>580</v>
      </c>
      <c r="F352" s="16" t="s">
        <v>680</v>
      </c>
      <c r="G352" s="16" t="s">
        <v>910</v>
      </c>
      <c r="H352" s="17">
        <v>44335</v>
      </c>
      <c r="I352" s="16">
        <v>5</v>
      </c>
      <c r="J352" s="16">
        <v>100</v>
      </c>
      <c r="K352" s="16">
        <v>0</v>
      </c>
      <c r="L352" s="16" t="s">
        <v>490</v>
      </c>
      <c r="M352" s="16" t="s">
        <v>8</v>
      </c>
      <c r="N352" s="16">
        <f t="shared" si="5"/>
        <v>0</v>
      </c>
      <c r="O352" s="22" t="s">
        <v>451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</row>
    <row r="353" spans="1:92" s="18" customFormat="1" ht="16" x14ac:dyDescent="0.2">
      <c r="A353" s="16">
        <v>897</v>
      </c>
      <c r="B353" s="16" t="s">
        <v>578</v>
      </c>
      <c r="C353" s="16" t="s">
        <v>906</v>
      </c>
      <c r="D353" s="16" t="s">
        <v>907</v>
      </c>
      <c r="E353" s="16" t="s">
        <v>580</v>
      </c>
      <c r="F353" s="16" t="s">
        <v>680</v>
      </c>
      <c r="G353" s="16" t="s">
        <v>910</v>
      </c>
      <c r="H353" s="17">
        <v>44335</v>
      </c>
      <c r="I353" s="16">
        <v>5</v>
      </c>
      <c r="J353" s="16">
        <v>100</v>
      </c>
      <c r="K353" s="16">
        <v>0</v>
      </c>
      <c r="L353" s="16" t="s">
        <v>490</v>
      </c>
      <c r="M353" s="16" t="s">
        <v>8</v>
      </c>
      <c r="N353" s="16">
        <f t="shared" si="5"/>
        <v>0</v>
      </c>
      <c r="O353" s="22" t="s">
        <v>451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</row>
    <row r="354" spans="1:92" s="18" customFormat="1" ht="16" x14ac:dyDescent="0.2">
      <c r="A354" s="16">
        <v>903</v>
      </c>
      <c r="B354" s="16" t="s">
        <v>578</v>
      </c>
      <c r="C354" s="16" t="s">
        <v>906</v>
      </c>
      <c r="D354" s="16" t="s">
        <v>907</v>
      </c>
      <c r="E354" s="16" t="s">
        <v>580</v>
      </c>
      <c r="F354" s="16" t="s">
        <v>680</v>
      </c>
      <c r="G354" s="16" t="s">
        <v>910</v>
      </c>
      <c r="H354" s="17">
        <v>44335</v>
      </c>
      <c r="I354" s="16">
        <v>5</v>
      </c>
      <c r="J354" s="16">
        <v>100</v>
      </c>
      <c r="K354" s="16">
        <v>2.4020119418051702</v>
      </c>
      <c r="L354" s="16" t="s">
        <v>490</v>
      </c>
      <c r="M354" s="16" t="s">
        <v>8</v>
      </c>
      <c r="N354" s="16">
        <f t="shared" si="5"/>
        <v>120.10059709025852</v>
      </c>
      <c r="O354" s="22" t="s">
        <v>451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</row>
    <row r="355" spans="1:92" s="18" customFormat="1" ht="16" x14ac:dyDescent="0.2">
      <c r="A355" s="18">
        <v>904</v>
      </c>
      <c r="B355" s="18" t="s">
        <v>582</v>
      </c>
      <c r="C355" s="18" t="s">
        <v>906</v>
      </c>
      <c r="D355" s="18" t="s">
        <v>911</v>
      </c>
      <c r="E355" s="18" t="s">
        <v>580</v>
      </c>
      <c r="F355" s="18" t="s">
        <v>680</v>
      </c>
      <c r="G355" s="18" t="s">
        <v>912</v>
      </c>
      <c r="H355" s="19">
        <v>44336</v>
      </c>
      <c r="I355" s="18">
        <v>5</v>
      </c>
      <c r="J355" s="18">
        <v>100</v>
      </c>
      <c r="K355" s="18">
        <v>0.19249197898407699</v>
      </c>
      <c r="L355" s="18" t="s">
        <v>490</v>
      </c>
      <c r="M355" s="18" t="s">
        <v>8</v>
      </c>
      <c r="N355" s="18">
        <f t="shared" si="5"/>
        <v>9.6245989492038504</v>
      </c>
      <c r="O355" s="20" t="s">
        <v>451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</row>
    <row r="356" spans="1:92" s="18" customFormat="1" ht="16" x14ac:dyDescent="0.2">
      <c r="A356" s="18">
        <v>910</v>
      </c>
      <c r="B356" s="18" t="s">
        <v>582</v>
      </c>
      <c r="C356" s="18" t="s">
        <v>906</v>
      </c>
      <c r="D356" s="18" t="s">
        <v>911</v>
      </c>
      <c r="E356" s="18" t="s">
        <v>580</v>
      </c>
      <c r="F356" s="18" t="s">
        <v>680</v>
      </c>
      <c r="G356" s="18" t="s">
        <v>912</v>
      </c>
      <c r="H356" s="19">
        <v>44336</v>
      </c>
      <c r="I356" s="18">
        <v>5</v>
      </c>
      <c r="J356" s="18">
        <v>100</v>
      </c>
      <c r="K356" s="18">
        <v>0</v>
      </c>
      <c r="L356" s="18" t="s">
        <v>490</v>
      </c>
      <c r="M356" s="18" t="s">
        <v>8</v>
      </c>
      <c r="N356" s="18">
        <f t="shared" si="5"/>
        <v>0</v>
      </c>
      <c r="O356" s="20" t="s">
        <v>451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</row>
    <row r="357" spans="1:92" s="18" customFormat="1" ht="16" x14ac:dyDescent="0.2">
      <c r="A357" s="18">
        <v>916</v>
      </c>
      <c r="B357" s="18" t="s">
        <v>582</v>
      </c>
      <c r="C357" s="18" t="s">
        <v>906</v>
      </c>
      <c r="D357" s="18" t="s">
        <v>911</v>
      </c>
      <c r="E357" s="18" t="s">
        <v>580</v>
      </c>
      <c r="F357" s="18" t="s">
        <v>680</v>
      </c>
      <c r="G357" s="18" t="s">
        <v>912</v>
      </c>
      <c r="H357" s="19">
        <v>44336</v>
      </c>
      <c r="I357" s="18">
        <v>5</v>
      </c>
      <c r="J357" s="18">
        <v>100</v>
      </c>
      <c r="K357" s="18">
        <v>0</v>
      </c>
      <c r="L357" s="18" t="s">
        <v>490</v>
      </c>
      <c r="M357" s="18" t="s">
        <v>8</v>
      </c>
      <c r="N357" s="18">
        <f t="shared" si="5"/>
        <v>0</v>
      </c>
      <c r="O357" s="20" t="s">
        <v>451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</row>
    <row r="358" spans="1:92" s="18" customFormat="1" ht="16" x14ac:dyDescent="0.2">
      <c r="A358" s="18">
        <v>922</v>
      </c>
      <c r="B358" s="18" t="s">
        <v>582</v>
      </c>
      <c r="C358" s="18" t="s">
        <v>906</v>
      </c>
      <c r="D358" s="18" t="s">
        <v>911</v>
      </c>
      <c r="E358" s="18" t="s">
        <v>580</v>
      </c>
      <c r="F358" s="18" t="s">
        <v>680</v>
      </c>
      <c r="G358" s="18" t="s">
        <v>913</v>
      </c>
      <c r="H358" s="19">
        <v>44336</v>
      </c>
      <c r="I358" s="18">
        <v>5</v>
      </c>
      <c r="J358" s="18">
        <v>100</v>
      </c>
      <c r="K358" s="18">
        <v>0</v>
      </c>
      <c r="L358" s="18" t="s">
        <v>490</v>
      </c>
      <c r="M358" s="18" t="s">
        <v>8</v>
      </c>
      <c r="N358" s="18">
        <f t="shared" si="5"/>
        <v>0</v>
      </c>
      <c r="O358" s="20" t="s">
        <v>451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</row>
    <row r="359" spans="1:92" s="16" customFormat="1" ht="16" x14ac:dyDescent="0.2">
      <c r="A359" s="18">
        <v>928</v>
      </c>
      <c r="B359" s="18" t="s">
        <v>582</v>
      </c>
      <c r="C359" s="18" t="s">
        <v>906</v>
      </c>
      <c r="D359" s="18" t="s">
        <v>911</v>
      </c>
      <c r="E359" s="18" t="s">
        <v>580</v>
      </c>
      <c r="F359" s="18" t="s">
        <v>680</v>
      </c>
      <c r="G359" s="18" t="s">
        <v>913</v>
      </c>
      <c r="H359" s="19">
        <v>44336</v>
      </c>
      <c r="I359" s="18">
        <v>5</v>
      </c>
      <c r="J359" s="18">
        <v>100</v>
      </c>
      <c r="K359" s="18">
        <v>0</v>
      </c>
      <c r="L359" s="18" t="s">
        <v>490</v>
      </c>
      <c r="M359" s="18" t="s">
        <v>8</v>
      </c>
      <c r="N359" s="18">
        <f t="shared" si="5"/>
        <v>0</v>
      </c>
      <c r="O359" s="20" t="s">
        <v>451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</row>
    <row r="360" spans="1:92" s="16" customFormat="1" ht="16" x14ac:dyDescent="0.2">
      <c r="A360" s="18">
        <v>934</v>
      </c>
      <c r="B360" s="18" t="s">
        <v>582</v>
      </c>
      <c r="C360" s="18" t="s">
        <v>906</v>
      </c>
      <c r="D360" s="18" t="s">
        <v>911</v>
      </c>
      <c r="E360" s="18" t="s">
        <v>580</v>
      </c>
      <c r="F360" s="18" t="s">
        <v>680</v>
      </c>
      <c r="G360" s="18" t="s">
        <v>913</v>
      </c>
      <c r="H360" s="19">
        <v>44336</v>
      </c>
      <c r="I360" s="18">
        <v>5</v>
      </c>
      <c r="J360" s="18">
        <v>100</v>
      </c>
      <c r="K360" s="18">
        <v>1.1433239512130999</v>
      </c>
      <c r="L360" s="18" t="s">
        <v>490</v>
      </c>
      <c r="M360" s="18" t="s">
        <v>8</v>
      </c>
      <c r="N360" s="18">
        <f t="shared" si="5"/>
        <v>57.166197560654993</v>
      </c>
      <c r="O360" s="20" t="s">
        <v>451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</row>
    <row r="361" spans="1:92" s="16" customFormat="1" ht="16" x14ac:dyDescent="0.2">
      <c r="A361" s="18">
        <v>905</v>
      </c>
      <c r="B361" s="18" t="s">
        <v>582</v>
      </c>
      <c r="C361" s="18" t="s">
        <v>906</v>
      </c>
      <c r="D361" s="18" t="s">
        <v>911</v>
      </c>
      <c r="E361" s="18" t="s">
        <v>580</v>
      </c>
      <c r="F361" s="18" t="s">
        <v>680</v>
      </c>
      <c r="G361" s="18" t="s">
        <v>914</v>
      </c>
      <c r="H361" s="19">
        <v>44336</v>
      </c>
      <c r="I361" s="18">
        <v>5</v>
      </c>
      <c r="J361" s="18">
        <v>100</v>
      </c>
      <c r="K361" s="18">
        <v>0</v>
      </c>
      <c r="L361" s="18" t="s">
        <v>490</v>
      </c>
      <c r="M361" s="18" t="s">
        <v>8</v>
      </c>
      <c r="N361" s="18">
        <f t="shared" si="5"/>
        <v>0</v>
      </c>
      <c r="O361" s="20" t="s">
        <v>451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</row>
    <row r="362" spans="1:92" s="16" customFormat="1" ht="16" x14ac:dyDescent="0.2">
      <c r="A362" s="18">
        <v>911</v>
      </c>
      <c r="B362" s="18" t="s">
        <v>582</v>
      </c>
      <c r="C362" s="18" t="s">
        <v>906</v>
      </c>
      <c r="D362" s="18" t="s">
        <v>911</v>
      </c>
      <c r="E362" s="18" t="s">
        <v>580</v>
      </c>
      <c r="F362" s="18" t="s">
        <v>680</v>
      </c>
      <c r="G362" s="18" t="s">
        <v>914</v>
      </c>
      <c r="H362" s="19">
        <v>44336</v>
      </c>
      <c r="I362" s="18">
        <v>5</v>
      </c>
      <c r="J362" s="18">
        <v>100</v>
      </c>
      <c r="K362" s="18">
        <v>0</v>
      </c>
      <c r="L362" s="18" t="s">
        <v>490</v>
      </c>
      <c r="M362" s="18" t="s">
        <v>8</v>
      </c>
      <c r="N362" s="18">
        <f t="shared" si="5"/>
        <v>0</v>
      </c>
      <c r="O362" s="20" t="s">
        <v>451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</row>
    <row r="363" spans="1:92" s="16" customFormat="1" ht="16" x14ac:dyDescent="0.2">
      <c r="A363" s="18">
        <v>917</v>
      </c>
      <c r="B363" s="18" t="s">
        <v>582</v>
      </c>
      <c r="C363" s="18" t="s">
        <v>906</v>
      </c>
      <c r="D363" s="18" t="s">
        <v>911</v>
      </c>
      <c r="E363" s="18" t="s">
        <v>580</v>
      </c>
      <c r="F363" s="18" t="s">
        <v>680</v>
      </c>
      <c r="G363" s="18" t="s">
        <v>914</v>
      </c>
      <c r="H363" s="19">
        <v>44336</v>
      </c>
      <c r="I363" s="18">
        <v>5</v>
      </c>
      <c r="J363" s="18">
        <v>100</v>
      </c>
      <c r="K363" s="18">
        <v>1.6382755209490401</v>
      </c>
      <c r="L363" s="18" t="s">
        <v>490</v>
      </c>
      <c r="M363" s="18" t="s">
        <v>8</v>
      </c>
      <c r="N363" s="18">
        <f t="shared" si="5"/>
        <v>81.913776047452004</v>
      </c>
      <c r="O363" s="20" t="s">
        <v>451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</row>
    <row r="364" spans="1:92" s="16" customFormat="1" ht="16" x14ac:dyDescent="0.2">
      <c r="A364" s="16">
        <v>923</v>
      </c>
      <c r="B364" s="16" t="s">
        <v>584</v>
      </c>
      <c r="C364" s="16" t="s">
        <v>915</v>
      </c>
      <c r="D364" s="16" t="s">
        <v>916</v>
      </c>
      <c r="E364" s="16" t="s">
        <v>586</v>
      </c>
      <c r="F364" s="16" t="s">
        <v>680</v>
      </c>
      <c r="G364" s="16" t="s">
        <v>917</v>
      </c>
      <c r="H364" s="17">
        <v>44336</v>
      </c>
      <c r="I364" s="16">
        <v>5</v>
      </c>
      <c r="J364" s="16">
        <v>100</v>
      </c>
      <c r="K364" s="16">
        <v>0</v>
      </c>
      <c r="L364" s="16" t="s">
        <v>490</v>
      </c>
      <c r="M364" s="16" t="s">
        <v>8</v>
      </c>
      <c r="N364" s="16">
        <f t="shared" si="5"/>
        <v>0</v>
      </c>
      <c r="O364" s="22" t="s">
        <v>451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</row>
    <row r="365" spans="1:92" s="16" customFormat="1" ht="16" x14ac:dyDescent="0.2">
      <c r="A365" s="16">
        <v>929</v>
      </c>
      <c r="B365" s="16" t="s">
        <v>584</v>
      </c>
      <c r="C365" s="16" t="s">
        <v>915</v>
      </c>
      <c r="D365" s="16" t="s">
        <v>916</v>
      </c>
      <c r="E365" s="16" t="s">
        <v>586</v>
      </c>
      <c r="F365" s="16" t="s">
        <v>680</v>
      </c>
      <c r="G365" s="16" t="s">
        <v>917</v>
      </c>
      <c r="H365" s="17">
        <v>44336</v>
      </c>
      <c r="I365" s="16">
        <v>5</v>
      </c>
      <c r="J365" s="16">
        <v>100</v>
      </c>
      <c r="K365" s="16">
        <v>0</v>
      </c>
      <c r="L365" s="16" t="s">
        <v>490</v>
      </c>
      <c r="M365" s="16" t="s">
        <v>8</v>
      </c>
      <c r="N365" s="16">
        <f t="shared" si="5"/>
        <v>0</v>
      </c>
      <c r="O365" s="22" t="s">
        <v>451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</row>
    <row r="366" spans="1:92" s="16" customFormat="1" ht="16" x14ac:dyDescent="0.2">
      <c r="A366" s="16">
        <v>935</v>
      </c>
      <c r="B366" s="16" t="s">
        <v>584</v>
      </c>
      <c r="C366" s="16" t="s">
        <v>915</v>
      </c>
      <c r="D366" s="16" t="s">
        <v>916</v>
      </c>
      <c r="E366" s="16" t="s">
        <v>586</v>
      </c>
      <c r="F366" s="16" t="s">
        <v>680</v>
      </c>
      <c r="G366" s="16" t="s">
        <v>917</v>
      </c>
      <c r="H366" s="17">
        <v>44336</v>
      </c>
      <c r="I366" s="16">
        <v>5</v>
      </c>
      <c r="J366" s="16">
        <v>100</v>
      </c>
      <c r="K366" s="16">
        <v>0</v>
      </c>
      <c r="L366" s="16" t="s">
        <v>490</v>
      </c>
      <c r="M366" s="16" t="s">
        <v>8</v>
      </c>
      <c r="N366" s="16">
        <f t="shared" si="5"/>
        <v>0</v>
      </c>
      <c r="O366" s="22" t="s">
        <v>451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</row>
    <row r="367" spans="1:92" s="16" customFormat="1" ht="16" x14ac:dyDescent="0.2">
      <c r="A367" s="16">
        <v>906</v>
      </c>
      <c r="B367" s="16" t="s">
        <v>584</v>
      </c>
      <c r="C367" s="16" t="s">
        <v>915</v>
      </c>
      <c r="D367" s="16" t="s">
        <v>916</v>
      </c>
      <c r="E367" s="16" t="s">
        <v>586</v>
      </c>
      <c r="F367" s="16" t="s">
        <v>680</v>
      </c>
      <c r="G367" s="16" t="s">
        <v>918</v>
      </c>
      <c r="H367" s="17">
        <v>44336</v>
      </c>
      <c r="I367" s="16">
        <v>5</v>
      </c>
      <c r="J367" s="16">
        <v>100</v>
      </c>
      <c r="K367" s="16">
        <v>0</v>
      </c>
      <c r="L367" s="16" t="s">
        <v>490</v>
      </c>
      <c r="M367" s="16" t="s">
        <v>8</v>
      </c>
      <c r="N367" s="16">
        <f t="shared" si="5"/>
        <v>0</v>
      </c>
      <c r="O367" s="22" t="s">
        <v>451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</row>
    <row r="368" spans="1:92" s="16" customFormat="1" ht="16" x14ac:dyDescent="0.2">
      <c r="A368" s="16">
        <v>912</v>
      </c>
      <c r="B368" s="16" t="s">
        <v>584</v>
      </c>
      <c r="C368" s="16" t="s">
        <v>915</v>
      </c>
      <c r="D368" s="16" t="s">
        <v>916</v>
      </c>
      <c r="E368" s="16" t="s">
        <v>586</v>
      </c>
      <c r="F368" s="16" t="s">
        <v>680</v>
      </c>
      <c r="G368" s="16" t="s">
        <v>918</v>
      </c>
      <c r="H368" s="17">
        <v>44336</v>
      </c>
      <c r="I368" s="16">
        <v>5</v>
      </c>
      <c r="J368" s="16">
        <v>100</v>
      </c>
      <c r="K368" s="16">
        <v>0</v>
      </c>
      <c r="L368" s="16" t="s">
        <v>490</v>
      </c>
      <c r="M368" s="16" t="s">
        <v>8</v>
      </c>
      <c r="N368" s="16">
        <f t="shared" si="5"/>
        <v>0</v>
      </c>
      <c r="O368" s="22" t="s">
        <v>451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</row>
    <row r="369" spans="1:92" s="16" customFormat="1" ht="16" x14ac:dyDescent="0.2">
      <c r="A369" s="16">
        <v>918</v>
      </c>
      <c r="B369" s="16" t="s">
        <v>584</v>
      </c>
      <c r="C369" s="16" t="s">
        <v>915</v>
      </c>
      <c r="D369" s="16" t="s">
        <v>916</v>
      </c>
      <c r="E369" s="16" t="s">
        <v>586</v>
      </c>
      <c r="F369" s="16" t="s">
        <v>680</v>
      </c>
      <c r="G369" s="16" t="s">
        <v>918</v>
      </c>
      <c r="H369" s="17">
        <v>44336</v>
      </c>
      <c r="I369" s="16">
        <v>5</v>
      </c>
      <c r="J369" s="16">
        <v>100</v>
      </c>
      <c r="K369" s="16">
        <v>0</v>
      </c>
      <c r="L369" s="16" t="s">
        <v>490</v>
      </c>
      <c r="M369" s="16" t="s">
        <v>8</v>
      </c>
      <c r="N369" s="16">
        <f t="shared" si="5"/>
        <v>0</v>
      </c>
      <c r="O369" s="22" t="s">
        <v>451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</row>
    <row r="370" spans="1:92" s="16" customFormat="1" ht="16" x14ac:dyDescent="0.2">
      <c r="A370" s="16">
        <v>924</v>
      </c>
      <c r="B370" s="16" t="s">
        <v>584</v>
      </c>
      <c r="C370" s="16" t="s">
        <v>915</v>
      </c>
      <c r="D370" s="16" t="s">
        <v>916</v>
      </c>
      <c r="E370" s="16" t="s">
        <v>586</v>
      </c>
      <c r="F370" s="16" t="s">
        <v>680</v>
      </c>
      <c r="G370" s="16" t="s">
        <v>919</v>
      </c>
      <c r="H370" s="17">
        <v>44336</v>
      </c>
      <c r="I370" s="16">
        <v>5</v>
      </c>
      <c r="J370" s="16">
        <v>100</v>
      </c>
      <c r="K370" s="16">
        <v>0</v>
      </c>
      <c r="L370" s="16" t="s">
        <v>490</v>
      </c>
      <c r="M370" s="16" t="s">
        <v>8</v>
      </c>
      <c r="N370" s="16">
        <f t="shared" si="5"/>
        <v>0</v>
      </c>
      <c r="O370" s="22" t="s">
        <v>451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</row>
    <row r="371" spans="1:92" s="16" customFormat="1" ht="16" x14ac:dyDescent="0.2">
      <c r="A371" s="16">
        <v>930</v>
      </c>
      <c r="B371" s="16" t="s">
        <v>584</v>
      </c>
      <c r="C371" s="16" t="s">
        <v>915</v>
      </c>
      <c r="D371" s="16" t="s">
        <v>916</v>
      </c>
      <c r="E371" s="16" t="s">
        <v>586</v>
      </c>
      <c r="F371" s="16" t="s">
        <v>680</v>
      </c>
      <c r="G371" s="16" t="s">
        <v>919</v>
      </c>
      <c r="H371" s="17">
        <v>44336</v>
      </c>
      <c r="I371" s="16">
        <v>5</v>
      </c>
      <c r="J371" s="16">
        <v>100</v>
      </c>
      <c r="K371" s="16">
        <v>0</v>
      </c>
      <c r="L371" s="16" t="s">
        <v>490</v>
      </c>
      <c r="M371" s="16" t="s">
        <v>8</v>
      </c>
      <c r="N371" s="16">
        <f t="shared" si="5"/>
        <v>0</v>
      </c>
      <c r="O371" s="22" t="s">
        <v>451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</row>
    <row r="372" spans="1:92" s="16" customFormat="1" ht="16" x14ac:dyDescent="0.2">
      <c r="A372" s="16">
        <v>936</v>
      </c>
      <c r="B372" s="16" t="s">
        <v>584</v>
      </c>
      <c r="C372" s="16" t="s">
        <v>915</v>
      </c>
      <c r="D372" s="16" t="s">
        <v>916</v>
      </c>
      <c r="E372" s="16" t="s">
        <v>586</v>
      </c>
      <c r="F372" s="16" t="s">
        <v>680</v>
      </c>
      <c r="G372" s="16" t="s">
        <v>919</v>
      </c>
      <c r="H372" s="17">
        <v>44336</v>
      </c>
      <c r="I372" s="16">
        <v>5</v>
      </c>
      <c r="J372" s="16">
        <v>100</v>
      </c>
      <c r="K372" s="16">
        <v>0</v>
      </c>
      <c r="L372" s="16" t="s">
        <v>490</v>
      </c>
      <c r="M372" s="16" t="s">
        <v>8</v>
      </c>
      <c r="N372" s="16">
        <f t="shared" si="5"/>
        <v>0</v>
      </c>
      <c r="O372" s="22" t="s">
        <v>451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</row>
    <row r="373" spans="1:92" s="16" customFormat="1" ht="16" x14ac:dyDescent="0.2">
      <c r="A373" s="18">
        <v>907</v>
      </c>
      <c r="B373" s="18" t="s">
        <v>588</v>
      </c>
      <c r="C373" s="18" t="s">
        <v>915</v>
      </c>
      <c r="D373" s="18" t="s">
        <v>920</v>
      </c>
      <c r="E373" s="18" t="s">
        <v>586</v>
      </c>
      <c r="F373" s="18" t="s">
        <v>680</v>
      </c>
      <c r="G373" s="18" t="s">
        <v>921</v>
      </c>
      <c r="H373" s="19">
        <v>44336</v>
      </c>
      <c r="I373" s="18">
        <v>5</v>
      </c>
      <c r="J373" s="18">
        <v>100</v>
      </c>
      <c r="K373" s="18">
        <v>0</v>
      </c>
      <c r="L373" s="18" t="s">
        <v>490</v>
      </c>
      <c r="M373" s="18" t="s">
        <v>8</v>
      </c>
      <c r="N373" s="18">
        <f t="shared" si="5"/>
        <v>0</v>
      </c>
      <c r="O373" s="20" t="s">
        <v>451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</row>
    <row r="374" spans="1:92" s="16" customFormat="1" ht="16" x14ac:dyDescent="0.2">
      <c r="A374" s="18">
        <v>913</v>
      </c>
      <c r="B374" s="18" t="s">
        <v>588</v>
      </c>
      <c r="C374" s="18" t="s">
        <v>915</v>
      </c>
      <c r="D374" s="18" t="s">
        <v>920</v>
      </c>
      <c r="E374" s="18" t="s">
        <v>586</v>
      </c>
      <c r="F374" s="18" t="s">
        <v>680</v>
      </c>
      <c r="G374" s="18" t="s">
        <v>921</v>
      </c>
      <c r="H374" s="19">
        <v>44336</v>
      </c>
      <c r="I374" s="18">
        <v>5</v>
      </c>
      <c r="J374" s="18">
        <v>100</v>
      </c>
      <c r="K374" s="18">
        <v>0</v>
      </c>
      <c r="L374" s="18" t="s">
        <v>490</v>
      </c>
      <c r="M374" s="18" t="s">
        <v>8</v>
      </c>
      <c r="N374" s="18">
        <f t="shared" si="5"/>
        <v>0</v>
      </c>
      <c r="O374" s="20" t="s">
        <v>451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</row>
    <row r="375" spans="1:92" s="16" customFormat="1" ht="16" x14ac:dyDescent="0.2">
      <c r="A375" s="18">
        <v>919</v>
      </c>
      <c r="B375" s="18" t="s">
        <v>588</v>
      </c>
      <c r="C375" s="18" t="s">
        <v>915</v>
      </c>
      <c r="D375" s="18" t="s">
        <v>920</v>
      </c>
      <c r="E375" s="18" t="s">
        <v>586</v>
      </c>
      <c r="F375" s="18" t="s">
        <v>680</v>
      </c>
      <c r="G375" s="18" t="s">
        <v>921</v>
      </c>
      <c r="H375" s="19">
        <v>44336</v>
      </c>
      <c r="I375" s="18">
        <v>5</v>
      </c>
      <c r="J375" s="18">
        <v>100</v>
      </c>
      <c r="K375" s="18">
        <v>0</v>
      </c>
      <c r="L375" s="18" t="s">
        <v>490</v>
      </c>
      <c r="M375" s="18" t="s">
        <v>8</v>
      </c>
      <c r="N375" s="18">
        <f t="shared" si="5"/>
        <v>0</v>
      </c>
      <c r="O375" s="20" t="s">
        <v>451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</row>
    <row r="376" spans="1:92" s="16" customFormat="1" ht="16" x14ac:dyDescent="0.2">
      <c r="A376" s="18">
        <v>925</v>
      </c>
      <c r="B376" s="18" t="s">
        <v>588</v>
      </c>
      <c r="C376" s="18" t="s">
        <v>915</v>
      </c>
      <c r="D376" s="18" t="s">
        <v>920</v>
      </c>
      <c r="E376" s="18" t="s">
        <v>586</v>
      </c>
      <c r="F376" s="18" t="s">
        <v>680</v>
      </c>
      <c r="G376" s="18" t="s">
        <v>922</v>
      </c>
      <c r="H376" s="19">
        <v>44336</v>
      </c>
      <c r="I376" s="18">
        <v>5</v>
      </c>
      <c r="J376" s="18">
        <v>100</v>
      </c>
      <c r="K376" s="18">
        <v>0</v>
      </c>
      <c r="L376" s="18" t="s">
        <v>490</v>
      </c>
      <c r="M376" s="18" t="s">
        <v>8</v>
      </c>
      <c r="N376" s="18">
        <f t="shared" si="5"/>
        <v>0</v>
      </c>
      <c r="O376" s="20" t="s">
        <v>451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</row>
    <row r="377" spans="1:92" s="18" customFormat="1" ht="16" x14ac:dyDescent="0.2">
      <c r="A377" s="18">
        <v>931</v>
      </c>
      <c r="B377" s="18" t="s">
        <v>588</v>
      </c>
      <c r="C377" s="18" t="s">
        <v>915</v>
      </c>
      <c r="D377" s="18" t="s">
        <v>920</v>
      </c>
      <c r="E377" s="18" t="s">
        <v>586</v>
      </c>
      <c r="F377" s="18" t="s">
        <v>680</v>
      </c>
      <c r="G377" s="18" t="s">
        <v>922</v>
      </c>
      <c r="H377" s="19">
        <v>44336</v>
      </c>
      <c r="I377" s="18">
        <v>5</v>
      </c>
      <c r="J377" s="18">
        <v>100</v>
      </c>
      <c r="K377" s="18">
        <v>0</v>
      </c>
      <c r="L377" s="18" t="s">
        <v>490</v>
      </c>
      <c r="M377" s="18" t="s">
        <v>8</v>
      </c>
      <c r="N377" s="18">
        <f t="shared" si="5"/>
        <v>0</v>
      </c>
      <c r="O377" s="20" t="s">
        <v>451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</row>
    <row r="378" spans="1:92" s="18" customFormat="1" ht="16" x14ac:dyDescent="0.2">
      <c r="A378" s="18">
        <v>937</v>
      </c>
      <c r="B378" s="18" t="s">
        <v>588</v>
      </c>
      <c r="C378" s="18" t="s">
        <v>915</v>
      </c>
      <c r="D378" s="18" t="s">
        <v>920</v>
      </c>
      <c r="E378" s="18" t="s">
        <v>586</v>
      </c>
      <c r="F378" s="18" t="s">
        <v>680</v>
      </c>
      <c r="G378" s="18" t="s">
        <v>922</v>
      </c>
      <c r="H378" s="19">
        <v>44336</v>
      </c>
      <c r="I378" s="18">
        <v>5</v>
      </c>
      <c r="J378" s="18">
        <v>100</v>
      </c>
      <c r="K378" s="18">
        <v>0</v>
      </c>
      <c r="L378" s="18" t="s">
        <v>490</v>
      </c>
      <c r="M378" s="18" t="s">
        <v>8</v>
      </c>
      <c r="N378" s="18">
        <f t="shared" si="5"/>
        <v>0</v>
      </c>
      <c r="O378" s="20" t="s">
        <v>451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</row>
    <row r="379" spans="1:92" s="18" customFormat="1" ht="16" x14ac:dyDescent="0.2">
      <c r="A379" s="18">
        <v>908</v>
      </c>
      <c r="B379" s="18" t="s">
        <v>588</v>
      </c>
      <c r="C379" s="18" t="s">
        <v>915</v>
      </c>
      <c r="D379" s="18" t="s">
        <v>920</v>
      </c>
      <c r="E379" s="18" t="s">
        <v>586</v>
      </c>
      <c r="F379" s="18" t="s">
        <v>680</v>
      </c>
      <c r="G379" s="18" t="s">
        <v>923</v>
      </c>
      <c r="H379" s="19">
        <v>44336</v>
      </c>
      <c r="I379" s="18">
        <v>5</v>
      </c>
      <c r="J379" s="18">
        <v>100</v>
      </c>
      <c r="K379" s="18">
        <v>0</v>
      </c>
      <c r="L379" s="18" t="s">
        <v>490</v>
      </c>
      <c r="M379" s="18" t="s">
        <v>8</v>
      </c>
      <c r="N379" s="18">
        <f t="shared" si="5"/>
        <v>0</v>
      </c>
      <c r="O379" s="20" t="s">
        <v>451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</row>
    <row r="380" spans="1:92" s="18" customFormat="1" ht="16" x14ac:dyDescent="0.2">
      <c r="A380" s="18">
        <v>914</v>
      </c>
      <c r="B380" s="18" t="s">
        <v>588</v>
      </c>
      <c r="C380" s="18" t="s">
        <v>915</v>
      </c>
      <c r="D380" s="18" t="s">
        <v>920</v>
      </c>
      <c r="E380" s="18" t="s">
        <v>586</v>
      </c>
      <c r="F380" s="18" t="s">
        <v>680</v>
      </c>
      <c r="G380" s="18" t="s">
        <v>923</v>
      </c>
      <c r="H380" s="19">
        <v>44336</v>
      </c>
      <c r="I380" s="18">
        <v>5</v>
      </c>
      <c r="J380" s="18">
        <v>100</v>
      </c>
      <c r="K380" s="18">
        <v>0</v>
      </c>
      <c r="L380" s="18" t="s">
        <v>490</v>
      </c>
      <c r="M380" s="18" t="s">
        <v>8</v>
      </c>
      <c r="N380" s="18">
        <f t="shared" si="5"/>
        <v>0</v>
      </c>
      <c r="O380" s="20" t="s">
        <v>451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</row>
    <row r="381" spans="1:92" s="18" customFormat="1" ht="16" x14ac:dyDescent="0.2">
      <c r="A381" s="18">
        <v>920</v>
      </c>
      <c r="B381" s="18" t="s">
        <v>588</v>
      </c>
      <c r="C381" s="18" t="s">
        <v>915</v>
      </c>
      <c r="D381" s="18" t="s">
        <v>920</v>
      </c>
      <c r="E381" s="18" t="s">
        <v>586</v>
      </c>
      <c r="F381" s="18" t="s">
        <v>680</v>
      </c>
      <c r="G381" s="18" t="s">
        <v>923</v>
      </c>
      <c r="H381" s="19">
        <v>44336</v>
      </c>
      <c r="I381" s="18">
        <v>5</v>
      </c>
      <c r="J381" s="18">
        <v>100</v>
      </c>
      <c r="K381" s="18">
        <v>0</v>
      </c>
      <c r="L381" s="18" t="s">
        <v>490</v>
      </c>
      <c r="M381" s="18" t="s">
        <v>8</v>
      </c>
      <c r="N381" s="18">
        <f t="shared" si="5"/>
        <v>0</v>
      </c>
      <c r="O381" s="20" t="s">
        <v>451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</row>
    <row r="382" spans="1:92" s="18" customFormat="1" ht="16" x14ac:dyDescent="0.2">
      <c r="A382" s="16">
        <v>926</v>
      </c>
      <c r="B382" s="16" t="s">
        <v>590</v>
      </c>
      <c r="C382" s="16" t="s">
        <v>924</v>
      </c>
      <c r="D382" s="16" t="s">
        <v>925</v>
      </c>
      <c r="E382" s="16" t="s">
        <v>592</v>
      </c>
      <c r="F382" s="16" t="s">
        <v>680</v>
      </c>
      <c r="G382" s="16" t="s">
        <v>926</v>
      </c>
      <c r="H382" s="17">
        <v>44336</v>
      </c>
      <c r="I382" s="16">
        <v>5</v>
      </c>
      <c r="J382" s="16">
        <v>100</v>
      </c>
      <c r="K382" s="16">
        <v>0.74953448440859805</v>
      </c>
      <c r="L382" s="16" t="s">
        <v>490</v>
      </c>
      <c r="M382" s="16" t="s">
        <v>8</v>
      </c>
      <c r="N382" s="16">
        <f t="shared" si="5"/>
        <v>37.476724220429901</v>
      </c>
      <c r="O382" s="22" t="s">
        <v>451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</row>
    <row r="383" spans="1:92" s="18" customFormat="1" ht="16" x14ac:dyDescent="0.2">
      <c r="A383" s="16">
        <v>932</v>
      </c>
      <c r="B383" s="16" t="s">
        <v>590</v>
      </c>
      <c r="C383" s="16" t="s">
        <v>924</v>
      </c>
      <c r="D383" s="16" t="s">
        <v>925</v>
      </c>
      <c r="E383" s="16" t="s">
        <v>592</v>
      </c>
      <c r="F383" s="16" t="s">
        <v>680</v>
      </c>
      <c r="G383" s="16" t="s">
        <v>926</v>
      </c>
      <c r="H383" s="17">
        <v>44336</v>
      </c>
      <c r="I383" s="16">
        <v>5</v>
      </c>
      <c r="J383" s="16">
        <v>100</v>
      </c>
      <c r="K383" s="16">
        <v>0.89696421612132304</v>
      </c>
      <c r="L383" s="16" t="s">
        <v>490</v>
      </c>
      <c r="M383" s="16" t="s">
        <v>8</v>
      </c>
      <c r="N383" s="16">
        <f t="shared" si="5"/>
        <v>44.848210806066149</v>
      </c>
      <c r="O383" s="22" t="s">
        <v>451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</row>
    <row r="384" spans="1:92" s="18" customFormat="1" ht="16" x14ac:dyDescent="0.2">
      <c r="A384" s="16">
        <v>938</v>
      </c>
      <c r="B384" s="16" t="s">
        <v>590</v>
      </c>
      <c r="C384" s="16" t="s">
        <v>924</v>
      </c>
      <c r="D384" s="16" t="s">
        <v>925</v>
      </c>
      <c r="E384" s="16" t="s">
        <v>592</v>
      </c>
      <c r="F384" s="16" t="s">
        <v>680</v>
      </c>
      <c r="G384" s="16" t="s">
        <v>926</v>
      </c>
      <c r="H384" s="17">
        <v>44336</v>
      </c>
      <c r="I384" s="16">
        <v>5</v>
      </c>
      <c r="J384" s="16">
        <v>100</v>
      </c>
      <c r="K384" s="16">
        <v>1.97916301892503</v>
      </c>
      <c r="L384" s="16" t="s">
        <v>490</v>
      </c>
      <c r="M384" s="16" t="s">
        <v>8</v>
      </c>
      <c r="N384" s="16">
        <f t="shared" si="5"/>
        <v>98.958150946251493</v>
      </c>
      <c r="O384" s="22" t="s">
        <v>451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</row>
    <row r="385" spans="1:92" s="18" customFormat="1" ht="16" x14ac:dyDescent="0.2">
      <c r="A385" s="16">
        <v>909</v>
      </c>
      <c r="B385" s="16" t="s">
        <v>590</v>
      </c>
      <c r="C385" s="16" t="s">
        <v>924</v>
      </c>
      <c r="D385" s="16" t="s">
        <v>925</v>
      </c>
      <c r="E385" s="16" t="s">
        <v>592</v>
      </c>
      <c r="F385" s="16" t="s">
        <v>680</v>
      </c>
      <c r="G385" s="16" t="s">
        <v>927</v>
      </c>
      <c r="H385" s="17">
        <v>44336</v>
      </c>
      <c r="I385" s="16">
        <v>5</v>
      </c>
      <c r="J385" s="16">
        <v>100</v>
      </c>
      <c r="K385" s="16">
        <v>3.0996389223872201</v>
      </c>
      <c r="L385" s="16" t="s">
        <v>490</v>
      </c>
      <c r="M385" s="16" t="s">
        <v>8</v>
      </c>
      <c r="N385" s="16">
        <f t="shared" si="5"/>
        <v>154.981946119361</v>
      </c>
      <c r="O385" s="22" t="s">
        <v>451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</row>
    <row r="386" spans="1:92" s="16" customFormat="1" ht="16" x14ac:dyDescent="0.2">
      <c r="A386" s="16">
        <v>915</v>
      </c>
      <c r="B386" s="16" t="s">
        <v>590</v>
      </c>
      <c r="C386" s="16" t="s">
        <v>924</v>
      </c>
      <c r="D386" s="16" t="s">
        <v>925</v>
      </c>
      <c r="E386" s="16" t="s">
        <v>592</v>
      </c>
      <c r="F386" s="16" t="s">
        <v>680</v>
      </c>
      <c r="G386" s="16" t="s">
        <v>927</v>
      </c>
      <c r="H386" s="17">
        <v>44336</v>
      </c>
      <c r="I386" s="16">
        <v>5</v>
      </c>
      <c r="J386" s="16">
        <v>100</v>
      </c>
      <c r="K386" s="16">
        <v>0.87705318949604405</v>
      </c>
      <c r="L386" s="16" t="s">
        <v>490</v>
      </c>
      <c r="M386" s="16" t="s">
        <v>8</v>
      </c>
      <c r="N386" s="16">
        <f t="shared" si="5"/>
        <v>43.852659474802202</v>
      </c>
      <c r="O386" s="22" t="s">
        <v>451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</row>
    <row r="387" spans="1:92" s="16" customFormat="1" ht="16" x14ac:dyDescent="0.2">
      <c r="A387" s="16">
        <v>921</v>
      </c>
      <c r="B387" s="16" t="s">
        <v>590</v>
      </c>
      <c r="C387" s="16" t="s">
        <v>924</v>
      </c>
      <c r="D387" s="16" t="s">
        <v>925</v>
      </c>
      <c r="E387" s="16" t="s">
        <v>592</v>
      </c>
      <c r="F387" s="16" t="s">
        <v>680</v>
      </c>
      <c r="G387" s="16" t="s">
        <v>927</v>
      </c>
      <c r="H387" s="17">
        <v>44336</v>
      </c>
      <c r="I387" s="16">
        <v>5</v>
      </c>
      <c r="J387" s="16">
        <v>100</v>
      </c>
      <c r="K387" s="16">
        <v>1.8287036635604099</v>
      </c>
      <c r="L387" s="16" t="s">
        <v>490</v>
      </c>
      <c r="M387" s="16" t="s">
        <v>8</v>
      </c>
      <c r="N387" s="16">
        <f t="shared" si="5"/>
        <v>91.435183178020495</v>
      </c>
      <c r="O387" s="22" t="s">
        <v>451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</row>
    <row r="388" spans="1:92" s="16" customFormat="1" ht="16" x14ac:dyDescent="0.2">
      <c r="A388" s="16">
        <v>927</v>
      </c>
      <c r="B388" s="16" t="s">
        <v>590</v>
      </c>
      <c r="C388" s="16" t="s">
        <v>924</v>
      </c>
      <c r="D388" s="16" t="s">
        <v>925</v>
      </c>
      <c r="E388" s="16" t="s">
        <v>592</v>
      </c>
      <c r="F388" s="16" t="s">
        <v>680</v>
      </c>
      <c r="G388" s="16" t="s">
        <v>928</v>
      </c>
      <c r="H388" s="17">
        <v>44336</v>
      </c>
      <c r="I388" s="16">
        <v>5</v>
      </c>
      <c r="J388" s="16">
        <v>100</v>
      </c>
      <c r="K388" s="16">
        <v>0</v>
      </c>
      <c r="L388" s="16" t="s">
        <v>490</v>
      </c>
      <c r="M388" s="16" t="s">
        <v>8</v>
      </c>
      <c r="N388" s="16">
        <f t="shared" ref="N388:N451" si="6">K388*I388*(1000/J388)</f>
        <v>0</v>
      </c>
      <c r="O388" s="22" t="s">
        <v>451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</row>
    <row r="389" spans="1:92" s="16" customFormat="1" ht="16" x14ac:dyDescent="0.2">
      <c r="A389" s="16">
        <v>933</v>
      </c>
      <c r="B389" s="16" t="s">
        <v>590</v>
      </c>
      <c r="C389" s="16" t="s">
        <v>924</v>
      </c>
      <c r="D389" s="16" t="s">
        <v>925</v>
      </c>
      <c r="E389" s="16" t="s">
        <v>592</v>
      </c>
      <c r="F389" s="16" t="s">
        <v>680</v>
      </c>
      <c r="G389" s="16" t="s">
        <v>928</v>
      </c>
      <c r="H389" s="17">
        <v>44336</v>
      </c>
      <c r="I389" s="16">
        <v>5</v>
      </c>
      <c r="J389" s="16">
        <v>100</v>
      </c>
      <c r="K389" s="16">
        <v>3.50656307159639</v>
      </c>
      <c r="L389" s="16" t="s">
        <v>490</v>
      </c>
      <c r="M389" s="16" t="s">
        <v>8</v>
      </c>
      <c r="N389" s="16">
        <f t="shared" si="6"/>
        <v>175.32815357981949</v>
      </c>
      <c r="O389" s="22" t="s">
        <v>451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</row>
    <row r="390" spans="1:92" s="16" customFormat="1" ht="16" x14ac:dyDescent="0.2">
      <c r="A390" s="16">
        <v>939</v>
      </c>
      <c r="B390" s="16" t="s">
        <v>590</v>
      </c>
      <c r="C390" s="16" t="s">
        <v>924</v>
      </c>
      <c r="D390" s="16" t="s">
        <v>925</v>
      </c>
      <c r="E390" s="16" t="s">
        <v>592</v>
      </c>
      <c r="F390" s="16" t="s">
        <v>680</v>
      </c>
      <c r="G390" s="16" t="s">
        <v>928</v>
      </c>
      <c r="H390" s="17">
        <v>44336</v>
      </c>
      <c r="I390" s="16">
        <v>5</v>
      </c>
      <c r="J390" s="16">
        <v>100</v>
      </c>
      <c r="K390" s="16">
        <v>0.32251929867065898</v>
      </c>
      <c r="L390" s="16" t="s">
        <v>490</v>
      </c>
      <c r="M390" s="16" t="s">
        <v>8</v>
      </c>
      <c r="N390" s="16">
        <f t="shared" si="6"/>
        <v>16.125964933532948</v>
      </c>
      <c r="O390" s="22" t="s">
        <v>451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</row>
    <row r="391" spans="1:92" s="16" customFormat="1" ht="16" x14ac:dyDescent="0.2">
      <c r="A391" s="18">
        <v>940</v>
      </c>
      <c r="B391" s="18" t="s">
        <v>594</v>
      </c>
      <c r="C391" s="18" t="s">
        <v>929</v>
      </c>
      <c r="D391" s="18" t="s">
        <v>930</v>
      </c>
      <c r="E391" s="18" t="s">
        <v>597</v>
      </c>
      <c r="F391" s="18" t="s">
        <v>680</v>
      </c>
      <c r="G391" s="18" t="s">
        <v>931</v>
      </c>
      <c r="H391" s="19">
        <v>44336</v>
      </c>
      <c r="I391" s="18">
        <v>5</v>
      </c>
      <c r="J391" s="18">
        <v>100</v>
      </c>
      <c r="K391" s="18">
        <v>0</v>
      </c>
      <c r="L391" s="18" t="s">
        <v>490</v>
      </c>
      <c r="M391" s="18" t="s">
        <v>8</v>
      </c>
      <c r="N391" s="18">
        <f t="shared" si="6"/>
        <v>0</v>
      </c>
      <c r="O391" s="20" t="s">
        <v>451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</row>
    <row r="392" spans="1:92" s="16" customFormat="1" ht="16" x14ac:dyDescent="0.2">
      <c r="A392" s="18">
        <v>947</v>
      </c>
      <c r="B392" s="18" t="s">
        <v>594</v>
      </c>
      <c r="C392" s="18" t="s">
        <v>929</v>
      </c>
      <c r="D392" s="18" t="s">
        <v>930</v>
      </c>
      <c r="E392" s="18" t="s">
        <v>597</v>
      </c>
      <c r="F392" s="18" t="s">
        <v>680</v>
      </c>
      <c r="G392" s="18" t="s">
        <v>931</v>
      </c>
      <c r="H392" s="19">
        <v>44336</v>
      </c>
      <c r="I392" s="18">
        <v>5</v>
      </c>
      <c r="J392" s="18">
        <v>100</v>
      </c>
      <c r="K392" s="18">
        <v>0</v>
      </c>
      <c r="L392" s="18" t="s">
        <v>490</v>
      </c>
      <c r="M392" s="18" t="s">
        <v>8</v>
      </c>
      <c r="N392" s="18">
        <f t="shared" si="6"/>
        <v>0</v>
      </c>
      <c r="O392" s="20" t="s">
        <v>451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</row>
    <row r="393" spans="1:92" s="16" customFormat="1" ht="16" x14ac:dyDescent="0.2">
      <c r="A393" s="18">
        <v>954</v>
      </c>
      <c r="B393" s="18" t="s">
        <v>594</v>
      </c>
      <c r="C393" s="18" t="s">
        <v>929</v>
      </c>
      <c r="D393" s="18" t="s">
        <v>930</v>
      </c>
      <c r="E393" s="18" t="s">
        <v>597</v>
      </c>
      <c r="F393" s="18" t="s">
        <v>680</v>
      </c>
      <c r="G393" s="18" t="s">
        <v>931</v>
      </c>
      <c r="H393" s="19">
        <v>44336</v>
      </c>
      <c r="I393" s="18">
        <v>5</v>
      </c>
      <c r="J393" s="18">
        <v>100</v>
      </c>
      <c r="K393" s="18">
        <v>0</v>
      </c>
      <c r="L393" s="18" t="s">
        <v>490</v>
      </c>
      <c r="M393" s="18" t="s">
        <v>8</v>
      </c>
      <c r="N393" s="18">
        <f t="shared" si="6"/>
        <v>0</v>
      </c>
      <c r="O393" s="20" t="s">
        <v>451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</row>
    <row r="394" spans="1:92" s="16" customFormat="1" ht="16" x14ac:dyDescent="0.2">
      <c r="A394" s="18">
        <v>961</v>
      </c>
      <c r="B394" s="18" t="s">
        <v>594</v>
      </c>
      <c r="C394" s="18" t="s">
        <v>929</v>
      </c>
      <c r="D394" s="18" t="s">
        <v>930</v>
      </c>
      <c r="E394" s="18" t="s">
        <v>597</v>
      </c>
      <c r="F394" s="18" t="s">
        <v>680</v>
      </c>
      <c r="G394" s="18" t="s">
        <v>932</v>
      </c>
      <c r="H394" s="19">
        <v>44336</v>
      </c>
      <c r="I394" s="18">
        <v>5</v>
      </c>
      <c r="J394" s="18">
        <v>100</v>
      </c>
      <c r="K394" s="18">
        <v>0</v>
      </c>
      <c r="L394" s="18" t="s">
        <v>490</v>
      </c>
      <c r="M394" s="18" t="s">
        <v>8</v>
      </c>
      <c r="N394" s="18">
        <f t="shared" si="6"/>
        <v>0</v>
      </c>
      <c r="O394" s="20" t="s">
        <v>451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</row>
    <row r="395" spans="1:92" s="18" customFormat="1" ht="16" x14ac:dyDescent="0.2">
      <c r="A395" s="18">
        <v>966</v>
      </c>
      <c r="B395" s="18" t="s">
        <v>594</v>
      </c>
      <c r="C395" s="18" t="s">
        <v>929</v>
      </c>
      <c r="D395" s="18" t="s">
        <v>930</v>
      </c>
      <c r="E395" s="18" t="s">
        <v>597</v>
      </c>
      <c r="F395" s="18" t="s">
        <v>680</v>
      </c>
      <c r="G395" s="18" t="s">
        <v>932</v>
      </c>
      <c r="H395" s="19">
        <v>44336</v>
      </c>
      <c r="I395" s="18">
        <v>5</v>
      </c>
      <c r="J395" s="18">
        <v>100</v>
      </c>
      <c r="K395" s="18">
        <v>0</v>
      </c>
      <c r="L395" s="18" t="s">
        <v>490</v>
      </c>
      <c r="M395" s="18" t="s">
        <v>8</v>
      </c>
      <c r="N395" s="18">
        <f t="shared" si="6"/>
        <v>0</v>
      </c>
      <c r="O395" s="20" t="s">
        <v>451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</row>
    <row r="396" spans="1:92" s="18" customFormat="1" ht="16" x14ac:dyDescent="0.2">
      <c r="A396" s="18">
        <v>971</v>
      </c>
      <c r="B396" s="18" t="s">
        <v>594</v>
      </c>
      <c r="C396" s="18" t="s">
        <v>929</v>
      </c>
      <c r="D396" s="18" t="s">
        <v>930</v>
      </c>
      <c r="E396" s="18" t="s">
        <v>597</v>
      </c>
      <c r="F396" s="18" t="s">
        <v>680</v>
      </c>
      <c r="G396" s="18" t="s">
        <v>932</v>
      </c>
      <c r="H396" s="19">
        <v>44336</v>
      </c>
      <c r="I396" s="18">
        <v>5</v>
      </c>
      <c r="J396" s="18">
        <v>100</v>
      </c>
      <c r="K396" s="18">
        <v>0</v>
      </c>
      <c r="L396" s="18" t="s">
        <v>490</v>
      </c>
      <c r="M396" s="18" t="s">
        <v>8</v>
      </c>
      <c r="N396" s="18">
        <f t="shared" si="6"/>
        <v>0</v>
      </c>
      <c r="O396" s="20" t="s">
        <v>451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</row>
    <row r="397" spans="1:92" s="18" customFormat="1" ht="16" x14ac:dyDescent="0.2">
      <c r="A397" s="18">
        <v>941</v>
      </c>
      <c r="B397" s="18" t="s">
        <v>594</v>
      </c>
      <c r="C397" s="18" t="s">
        <v>929</v>
      </c>
      <c r="D397" s="18" t="s">
        <v>930</v>
      </c>
      <c r="E397" s="18" t="s">
        <v>597</v>
      </c>
      <c r="F397" s="18" t="s">
        <v>680</v>
      </c>
      <c r="G397" s="18" t="s">
        <v>933</v>
      </c>
      <c r="H397" s="19">
        <v>44336</v>
      </c>
      <c r="I397" s="18">
        <v>5</v>
      </c>
      <c r="J397" s="18">
        <v>100</v>
      </c>
      <c r="K397" s="18">
        <v>0</v>
      </c>
      <c r="L397" s="18" t="s">
        <v>490</v>
      </c>
      <c r="M397" s="18" t="s">
        <v>8</v>
      </c>
      <c r="N397" s="18">
        <f t="shared" si="6"/>
        <v>0</v>
      </c>
      <c r="O397" s="20" t="s">
        <v>451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</row>
    <row r="398" spans="1:92" s="18" customFormat="1" ht="16" x14ac:dyDescent="0.2">
      <c r="A398" s="18">
        <v>948</v>
      </c>
      <c r="B398" s="18" t="s">
        <v>594</v>
      </c>
      <c r="C398" s="18" t="s">
        <v>929</v>
      </c>
      <c r="D398" s="18" t="s">
        <v>930</v>
      </c>
      <c r="E398" s="18" t="s">
        <v>597</v>
      </c>
      <c r="F398" s="18" t="s">
        <v>680</v>
      </c>
      <c r="G398" s="18" t="s">
        <v>933</v>
      </c>
      <c r="H398" s="19">
        <v>44336</v>
      </c>
      <c r="I398" s="18">
        <v>5</v>
      </c>
      <c r="J398" s="18">
        <v>100</v>
      </c>
      <c r="K398" s="18">
        <v>0</v>
      </c>
      <c r="L398" s="18" t="s">
        <v>490</v>
      </c>
      <c r="M398" s="18" t="s">
        <v>8</v>
      </c>
      <c r="N398" s="18">
        <f t="shared" si="6"/>
        <v>0</v>
      </c>
      <c r="O398" s="20" t="s">
        <v>451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</row>
    <row r="399" spans="1:92" s="18" customFormat="1" ht="16" x14ac:dyDescent="0.2">
      <c r="A399" s="18">
        <v>955</v>
      </c>
      <c r="B399" s="18" t="s">
        <v>594</v>
      </c>
      <c r="C399" s="18" t="s">
        <v>929</v>
      </c>
      <c r="D399" s="18" t="s">
        <v>930</v>
      </c>
      <c r="E399" s="18" t="s">
        <v>597</v>
      </c>
      <c r="F399" s="18" t="s">
        <v>680</v>
      </c>
      <c r="G399" s="18" t="s">
        <v>933</v>
      </c>
      <c r="H399" s="19">
        <v>44336</v>
      </c>
      <c r="I399" s="18">
        <v>5</v>
      </c>
      <c r="J399" s="18">
        <v>100</v>
      </c>
      <c r="K399" s="18">
        <v>0</v>
      </c>
      <c r="L399" s="18" t="s">
        <v>490</v>
      </c>
      <c r="M399" s="18" t="s">
        <v>8</v>
      </c>
      <c r="N399" s="18">
        <f t="shared" si="6"/>
        <v>0</v>
      </c>
      <c r="O399" s="20" t="s">
        <v>451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</row>
    <row r="400" spans="1:92" s="18" customFormat="1" ht="16" x14ac:dyDescent="0.2">
      <c r="A400" s="16">
        <v>942</v>
      </c>
      <c r="B400" s="16" t="s">
        <v>599</v>
      </c>
      <c r="C400" s="16" t="s">
        <v>929</v>
      </c>
      <c r="D400" s="16" t="s">
        <v>934</v>
      </c>
      <c r="E400" s="16" t="s">
        <v>597</v>
      </c>
      <c r="F400" s="16" t="s">
        <v>680</v>
      </c>
      <c r="G400" s="16" t="s">
        <v>935</v>
      </c>
      <c r="H400" s="17">
        <v>44337</v>
      </c>
      <c r="I400" s="16">
        <v>5</v>
      </c>
      <c r="J400" s="16">
        <v>100</v>
      </c>
      <c r="K400" s="16">
        <v>0</v>
      </c>
      <c r="L400" s="16" t="s">
        <v>490</v>
      </c>
      <c r="M400" s="16" t="s">
        <v>8</v>
      </c>
      <c r="N400" s="16">
        <f t="shared" si="6"/>
        <v>0</v>
      </c>
      <c r="O400" s="22" t="s">
        <v>451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</row>
    <row r="401" spans="1:92" s="18" customFormat="1" ht="16" x14ac:dyDescent="0.2">
      <c r="A401" s="16">
        <v>949</v>
      </c>
      <c r="B401" s="16" t="s">
        <v>599</v>
      </c>
      <c r="C401" s="16" t="s">
        <v>929</v>
      </c>
      <c r="D401" s="16" t="s">
        <v>934</v>
      </c>
      <c r="E401" s="16" t="s">
        <v>597</v>
      </c>
      <c r="F401" s="16" t="s">
        <v>680</v>
      </c>
      <c r="G401" s="16" t="s">
        <v>935</v>
      </c>
      <c r="H401" s="17">
        <v>44337</v>
      </c>
      <c r="I401" s="16">
        <v>5</v>
      </c>
      <c r="J401" s="16">
        <v>100</v>
      </c>
      <c r="K401" s="16">
        <v>0</v>
      </c>
      <c r="L401" s="16" t="s">
        <v>490</v>
      </c>
      <c r="M401" s="16" t="s">
        <v>8</v>
      </c>
      <c r="N401" s="16">
        <f t="shared" si="6"/>
        <v>0</v>
      </c>
      <c r="O401" s="22" t="s">
        <v>451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</row>
    <row r="402" spans="1:92" s="18" customFormat="1" ht="16" x14ac:dyDescent="0.2">
      <c r="A402" s="16">
        <v>956</v>
      </c>
      <c r="B402" s="16" t="s">
        <v>599</v>
      </c>
      <c r="C402" s="16" t="s">
        <v>929</v>
      </c>
      <c r="D402" s="16" t="s">
        <v>934</v>
      </c>
      <c r="E402" s="16" t="s">
        <v>597</v>
      </c>
      <c r="F402" s="16" t="s">
        <v>680</v>
      </c>
      <c r="G402" s="16" t="s">
        <v>935</v>
      </c>
      <c r="H402" s="17">
        <v>44337</v>
      </c>
      <c r="I402" s="16">
        <v>5</v>
      </c>
      <c r="J402" s="16">
        <v>100</v>
      </c>
      <c r="K402" s="16">
        <v>0</v>
      </c>
      <c r="L402" s="16" t="s">
        <v>490</v>
      </c>
      <c r="M402" s="16" t="s">
        <v>8</v>
      </c>
      <c r="N402" s="16">
        <f t="shared" si="6"/>
        <v>0</v>
      </c>
      <c r="O402" s="22" t="s">
        <v>451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</row>
    <row r="403" spans="1:92" s="18" customFormat="1" ht="16" x14ac:dyDescent="0.2">
      <c r="A403" s="16">
        <v>962</v>
      </c>
      <c r="B403" s="16" t="s">
        <v>599</v>
      </c>
      <c r="C403" s="16" t="s">
        <v>929</v>
      </c>
      <c r="D403" s="16" t="s">
        <v>934</v>
      </c>
      <c r="E403" s="16" t="s">
        <v>597</v>
      </c>
      <c r="F403" s="16" t="s">
        <v>680</v>
      </c>
      <c r="G403" s="16" t="s">
        <v>936</v>
      </c>
      <c r="H403" s="17">
        <v>44337</v>
      </c>
      <c r="I403" s="16">
        <v>5</v>
      </c>
      <c r="J403" s="16">
        <v>100</v>
      </c>
      <c r="K403" s="16">
        <v>0</v>
      </c>
      <c r="L403" s="16" t="s">
        <v>490</v>
      </c>
      <c r="M403" s="16" t="s">
        <v>8</v>
      </c>
      <c r="N403" s="16">
        <f t="shared" si="6"/>
        <v>0</v>
      </c>
      <c r="O403" s="22" t="s">
        <v>451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</row>
    <row r="404" spans="1:92" s="16" customFormat="1" ht="16" x14ac:dyDescent="0.2">
      <c r="A404" s="16">
        <v>967</v>
      </c>
      <c r="B404" s="16" t="s">
        <v>599</v>
      </c>
      <c r="C404" s="16" t="s">
        <v>929</v>
      </c>
      <c r="D404" s="16" t="s">
        <v>934</v>
      </c>
      <c r="E404" s="16" t="s">
        <v>597</v>
      </c>
      <c r="F404" s="16" t="s">
        <v>680</v>
      </c>
      <c r="G404" s="16" t="s">
        <v>936</v>
      </c>
      <c r="H404" s="17">
        <v>44337</v>
      </c>
      <c r="I404" s="16">
        <v>5</v>
      </c>
      <c r="J404" s="16">
        <v>100</v>
      </c>
      <c r="K404" s="16">
        <v>0</v>
      </c>
      <c r="L404" s="16" t="s">
        <v>490</v>
      </c>
      <c r="M404" s="16" t="s">
        <v>8</v>
      </c>
      <c r="N404" s="16">
        <f t="shared" si="6"/>
        <v>0</v>
      </c>
      <c r="O404" s="22" t="s">
        <v>451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</row>
    <row r="405" spans="1:92" s="16" customFormat="1" ht="16" x14ac:dyDescent="0.2">
      <c r="A405" s="16">
        <v>972</v>
      </c>
      <c r="B405" s="16" t="s">
        <v>599</v>
      </c>
      <c r="C405" s="16" t="s">
        <v>929</v>
      </c>
      <c r="D405" s="16" t="s">
        <v>934</v>
      </c>
      <c r="E405" s="16" t="s">
        <v>597</v>
      </c>
      <c r="F405" s="16" t="s">
        <v>680</v>
      </c>
      <c r="G405" s="16" t="s">
        <v>936</v>
      </c>
      <c r="H405" s="17">
        <v>44337</v>
      </c>
      <c r="I405" s="16">
        <v>5</v>
      </c>
      <c r="J405" s="16">
        <v>100</v>
      </c>
      <c r="K405" s="16">
        <v>0</v>
      </c>
      <c r="L405" s="16" t="s">
        <v>490</v>
      </c>
      <c r="M405" s="16" t="s">
        <v>8</v>
      </c>
      <c r="N405" s="16">
        <f t="shared" si="6"/>
        <v>0</v>
      </c>
      <c r="O405" s="22" t="s">
        <v>451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</row>
    <row r="406" spans="1:92" s="16" customFormat="1" ht="16" x14ac:dyDescent="0.2">
      <c r="A406" s="16">
        <v>943</v>
      </c>
      <c r="B406" s="16" t="s">
        <v>599</v>
      </c>
      <c r="C406" s="16" t="s">
        <v>929</v>
      </c>
      <c r="D406" s="16" t="s">
        <v>934</v>
      </c>
      <c r="E406" s="16" t="s">
        <v>597</v>
      </c>
      <c r="F406" s="16" t="s">
        <v>680</v>
      </c>
      <c r="G406" s="16" t="s">
        <v>937</v>
      </c>
      <c r="H406" s="17">
        <v>44337</v>
      </c>
      <c r="I406" s="16">
        <v>5</v>
      </c>
      <c r="J406" s="16">
        <v>100</v>
      </c>
      <c r="K406" s="16">
        <v>0</v>
      </c>
      <c r="L406" s="16" t="s">
        <v>490</v>
      </c>
      <c r="M406" s="16" t="s">
        <v>8</v>
      </c>
      <c r="N406" s="16">
        <f t="shared" si="6"/>
        <v>0</v>
      </c>
      <c r="O406" s="22" t="s">
        <v>451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</row>
    <row r="407" spans="1:92" s="16" customFormat="1" ht="16" x14ac:dyDescent="0.2">
      <c r="A407" s="16">
        <v>950</v>
      </c>
      <c r="B407" s="16" t="s">
        <v>599</v>
      </c>
      <c r="C407" s="16" t="s">
        <v>929</v>
      </c>
      <c r="D407" s="16" t="s">
        <v>934</v>
      </c>
      <c r="E407" s="16" t="s">
        <v>597</v>
      </c>
      <c r="F407" s="16" t="s">
        <v>680</v>
      </c>
      <c r="G407" s="16" t="s">
        <v>937</v>
      </c>
      <c r="H407" s="17">
        <v>44337</v>
      </c>
      <c r="I407" s="16">
        <v>5</v>
      </c>
      <c r="J407" s="16">
        <v>100</v>
      </c>
      <c r="K407" s="16">
        <v>0</v>
      </c>
      <c r="L407" s="16" t="s">
        <v>490</v>
      </c>
      <c r="M407" s="16" t="s">
        <v>8</v>
      </c>
      <c r="N407" s="16">
        <f t="shared" si="6"/>
        <v>0</v>
      </c>
      <c r="O407" s="22" t="s">
        <v>451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</row>
    <row r="408" spans="1:92" s="16" customFormat="1" ht="16" x14ac:dyDescent="0.2">
      <c r="A408" s="16">
        <v>957</v>
      </c>
      <c r="B408" s="16" t="s">
        <v>599</v>
      </c>
      <c r="C408" s="16" t="s">
        <v>929</v>
      </c>
      <c r="D408" s="16" t="s">
        <v>934</v>
      </c>
      <c r="E408" s="16" t="s">
        <v>597</v>
      </c>
      <c r="F408" s="16" t="s">
        <v>680</v>
      </c>
      <c r="G408" s="16" t="s">
        <v>937</v>
      </c>
      <c r="H408" s="17">
        <v>44337</v>
      </c>
      <c r="I408" s="16">
        <v>5</v>
      </c>
      <c r="J408" s="16">
        <v>100</v>
      </c>
      <c r="K408" s="16">
        <v>0</v>
      </c>
      <c r="L408" s="16" t="s">
        <v>490</v>
      </c>
      <c r="M408" s="16" t="s">
        <v>8</v>
      </c>
      <c r="N408" s="16">
        <f t="shared" si="6"/>
        <v>0</v>
      </c>
      <c r="O408" s="22" t="s">
        <v>451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</row>
    <row r="409" spans="1:92" s="16" customFormat="1" ht="16" x14ac:dyDescent="0.2">
      <c r="A409" s="18">
        <v>963</v>
      </c>
      <c r="B409" s="18" t="s">
        <v>601</v>
      </c>
      <c r="C409" s="18" t="s">
        <v>929</v>
      </c>
      <c r="D409" s="18" t="s">
        <v>938</v>
      </c>
      <c r="E409" s="18" t="s">
        <v>597</v>
      </c>
      <c r="F409" s="18" t="s">
        <v>680</v>
      </c>
      <c r="G409" s="18" t="s">
        <v>939</v>
      </c>
      <c r="H409" s="19">
        <v>44337</v>
      </c>
      <c r="I409" s="18">
        <v>5</v>
      </c>
      <c r="J409" s="18">
        <v>100</v>
      </c>
      <c r="K409" s="18">
        <v>0</v>
      </c>
      <c r="L409" s="18" t="s">
        <v>490</v>
      </c>
      <c r="M409" s="18" t="s">
        <v>8</v>
      </c>
      <c r="N409" s="18">
        <f t="shared" si="6"/>
        <v>0</v>
      </c>
      <c r="O409" s="20" t="s">
        <v>451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</row>
    <row r="410" spans="1:92" s="16" customFormat="1" ht="16" x14ac:dyDescent="0.2">
      <c r="A410" s="18">
        <v>968</v>
      </c>
      <c r="B410" s="18" t="s">
        <v>601</v>
      </c>
      <c r="C410" s="18" t="s">
        <v>929</v>
      </c>
      <c r="D410" s="18" t="s">
        <v>938</v>
      </c>
      <c r="E410" s="18" t="s">
        <v>597</v>
      </c>
      <c r="F410" s="18" t="s">
        <v>680</v>
      </c>
      <c r="G410" s="18" t="s">
        <v>939</v>
      </c>
      <c r="H410" s="19">
        <v>44337</v>
      </c>
      <c r="I410" s="18">
        <v>5</v>
      </c>
      <c r="J410" s="18">
        <v>100</v>
      </c>
      <c r="K410" s="18">
        <v>0</v>
      </c>
      <c r="L410" s="18" t="s">
        <v>490</v>
      </c>
      <c r="M410" s="18" t="s">
        <v>8</v>
      </c>
      <c r="N410" s="18">
        <f t="shared" si="6"/>
        <v>0</v>
      </c>
      <c r="O410" s="20" t="s">
        <v>451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</row>
    <row r="411" spans="1:92" s="16" customFormat="1" ht="16" x14ac:dyDescent="0.2">
      <c r="A411" s="18">
        <v>973</v>
      </c>
      <c r="B411" s="18" t="s">
        <v>601</v>
      </c>
      <c r="C411" s="18" t="s">
        <v>929</v>
      </c>
      <c r="D411" s="18" t="s">
        <v>938</v>
      </c>
      <c r="E411" s="18" t="s">
        <v>597</v>
      </c>
      <c r="F411" s="18" t="s">
        <v>680</v>
      </c>
      <c r="G411" s="18" t="s">
        <v>939</v>
      </c>
      <c r="H411" s="19">
        <v>44337</v>
      </c>
      <c r="I411" s="18">
        <v>5</v>
      </c>
      <c r="J411" s="18">
        <v>100</v>
      </c>
      <c r="K411" s="18">
        <v>0</v>
      </c>
      <c r="L411" s="18" t="s">
        <v>490</v>
      </c>
      <c r="M411" s="18" t="s">
        <v>8</v>
      </c>
      <c r="N411" s="18">
        <f t="shared" si="6"/>
        <v>0</v>
      </c>
      <c r="O411" s="20" t="s">
        <v>451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</row>
    <row r="412" spans="1:92" s="16" customFormat="1" ht="16" x14ac:dyDescent="0.2">
      <c r="A412" s="18">
        <v>944</v>
      </c>
      <c r="B412" s="18" t="s">
        <v>601</v>
      </c>
      <c r="C412" s="18" t="s">
        <v>929</v>
      </c>
      <c r="D412" s="18" t="s">
        <v>938</v>
      </c>
      <c r="E412" s="18" t="s">
        <v>597</v>
      </c>
      <c r="F412" s="18" t="s">
        <v>680</v>
      </c>
      <c r="G412" s="18" t="s">
        <v>940</v>
      </c>
      <c r="H412" s="19">
        <v>44337</v>
      </c>
      <c r="I412" s="18">
        <v>5</v>
      </c>
      <c r="J412" s="18">
        <v>100</v>
      </c>
      <c r="K412" s="18">
        <v>0</v>
      </c>
      <c r="L412" s="18" t="s">
        <v>490</v>
      </c>
      <c r="M412" s="18" t="s">
        <v>8</v>
      </c>
      <c r="N412" s="18">
        <f t="shared" si="6"/>
        <v>0</v>
      </c>
      <c r="O412" s="20" t="s">
        <v>451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</row>
    <row r="413" spans="1:92" s="18" customFormat="1" ht="16" x14ac:dyDescent="0.2">
      <c r="A413" s="18">
        <v>951</v>
      </c>
      <c r="B413" s="18" t="s">
        <v>601</v>
      </c>
      <c r="C413" s="18" t="s">
        <v>929</v>
      </c>
      <c r="D413" s="18" t="s">
        <v>938</v>
      </c>
      <c r="E413" s="18" t="s">
        <v>597</v>
      </c>
      <c r="F413" s="18" t="s">
        <v>680</v>
      </c>
      <c r="G413" s="18" t="s">
        <v>940</v>
      </c>
      <c r="H413" s="19">
        <v>44337</v>
      </c>
      <c r="I413" s="18">
        <v>5</v>
      </c>
      <c r="J413" s="18">
        <v>100</v>
      </c>
      <c r="K413" s="18">
        <v>0</v>
      </c>
      <c r="L413" s="18" t="s">
        <v>490</v>
      </c>
      <c r="M413" s="18" t="s">
        <v>8</v>
      </c>
      <c r="N413" s="18">
        <f t="shared" si="6"/>
        <v>0</v>
      </c>
      <c r="O413" s="20" t="s">
        <v>451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</row>
    <row r="414" spans="1:92" s="18" customFormat="1" ht="16" x14ac:dyDescent="0.2">
      <c r="A414" s="18">
        <v>958</v>
      </c>
      <c r="B414" s="18" t="s">
        <v>601</v>
      </c>
      <c r="C414" s="18" t="s">
        <v>929</v>
      </c>
      <c r="D414" s="18" t="s">
        <v>938</v>
      </c>
      <c r="E414" s="18" t="s">
        <v>597</v>
      </c>
      <c r="F414" s="18" t="s">
        <v>680</v>
      </c>
      <c r="G414" s="18" t="s">
        <v>940</v>
      </c>
      <c r="H414" s="19">
        <v>44337</v>
      </c>
      <c r="I414" s="18">
        <v>5</v>
      </c>
      <c r="J414" s="18">
        <v>100</v>
      </c>
      <c r="K414" s="18">
        <v>0</v>
      </c>
      <c r="L414" s="18" t="s">
        <v>490</v>
      </c>
      <c r="M414" s="18" t="s">
        <v>8</v>
      </c>
      <c r="N414" s="18">
        <f t="shared" si="6"/>
        <v>0</v>
      </c>
      <c r="O414" s="20" t="s">
        <v>451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</row>
    <row r="415" spans="1:92" s="18" customFormat="1" ht="16" x14ac:dyDescent="0.2">
      <c r="A415" s="18">
        <v>964</v>
      </c>
      <c r="B415" s="18" t="s">
        <v>601</v>
      </c>
      <c r="C415" s="18" t="s">
        <v>929</v>
      </c>
      <c r="D415" s="18" t="s">
        <v>938</v>
      </c>
      <c r="E415" s="18" t="s">
        <v>597</v>
      </c>
      <c r="F415" s="18" t="s">
        <v>680</v>
      </c>
      <c r="G415" s="18" t="s">
        <v>941</v>
      </c>
      <c r="H415" s="19">
        <v>44337</v>
      </c>
      <c r="I415" s="18">
        <v>5</v>
      </c>
      <c r="J415" s="18">
        <v>100</v>
      </c>
      <c r="K415" s="18">
        <v>0</v>
      </c>
      <c r="L415" s="18" t="s">
        <v>490</v>
      </c>
      <c r="M415" s="18" t="s">
        <v>8</v>
      </c>
      <c r="N415" s="18">
        <f t="shared" si="6"/>
        <v>0</v>
      </c>
      <c r="O415" s="20" t="s">
        <v>451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</row>
    <row r="416" spans="1:92" s="18" customFormat="1" ht="16" x14ac:dyDescent="0.2">
      <c r="A416" s="18">
        <v>969</v>
      </c>
      <c r="B416" s="18" t="s">
        <v>601</v>
      </c>
      <c r="C416" s="18" t="s">
        <v>929</v>
      </c>
      <c r="D416" s="18" t="s">
        <v>938</v>
      </c>
      <c r="E416" s="18" t="s">
        <v>597</v>
      </c>
      <c r="F416" s="18" t="s">
        <v>680</v>
      </c>
      <c r="G416" s="18" t="s">
        <v>941</v>
      </c>
      <c r="H416" s="19">
        <v>44337</v>
      </c>
      <c r="I416" s="18">
        <v>5</v>
      </c>
      <c r="J416" s="18">
        <v>100</v>
      </c>
      <c r="K416" s="18">
        <v>0</v>
      </c>
      <c r="L416" s="18" t="s">
        <v>490</v>
      </c>
      <c r="M416" s="18" t="s">
        <v>8</v>
      </c>
      <c r="N416" s="18">
        <f t="shared" si="6"/>
        <v>0</v>
      </c>
      <c r="O416" s="20" t="s">
        <v>451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</row>
    <row r="417" spans="1:92" s="18" customFormat="1" ht="16" x14ac:dyDescent="0.2">
      <c r="A417" s="18">
        <v>974</v>
      </c>
      <c r="B417" s="18" t="s">
        <v>601</v>
      </c>
      <c r="C417" s="18" t="s">
        <v>929</v>
      </c>
      <c r="D417" s="18" t="s">
        <v>938</v>
      </c>
      <c r="E417" s="18" t="s">
        <v>597</v>
      </c>
      <c r="F417" s="18" t="s">
        <v>680</v>
      </c>
      <c r="G417" s="18" t="s">
        <v>941</v>
      </c>
      <c r="H417" s="19">
        <v>44337</v>
      </c>
      <c r="I417" s="18">
        <v>5</v>
      </c>
      <c r="J417" s="18">
        <v>100</v>
      </c>
      <c r="K417" s="18">
        <v>0</v>
      </c>
      <c r="L417" s="18" t="s">
        <v>490</v>
      </c>
      <c r="M417" s="18" t="s">
        <v>8</v>
      </c>
      <c r="N417" s="18">
        <f t="shared" si="6"/>
        <v>0</v>
      </c>
      <c r="O417" s="20" t="s">
        <v>451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</row>
    <row r="418" spans="1:92" s="18" customFormat="1" ht="16" x14ac:dyDescent="0.2">
      <c r="A418" s="16">
        <v>945</v>
      </c>
      <c r="B418" s="16" t="s">
        <v>603</v>
      </c>
      <c r="C418" s="16" t="s">
        <v>942</v>
      </c>
      <c r="D418" s="16" t="s">
        <v>943</v>
      </c>
      <c r="E418" s="16" t="s">
        <v>605</v>
      </c>
      <c r="F418" s="16" t="s">
        <v>680</v>
      </c>
      <c r="G418" s="16" t="s">
        <v>944</v>
      </c>
      <c r="H418" s="17">
        <v>44337</v>
      </c>
      <c r="I418" s="16">
        <v>5</v>
      </c>
      <c r="J418" s="16">
        <v>100</v>
      </c>
      <c r="K418" s="16">
        <v>0</v>
      </c>
      <c r="L418" s="16" t="s">
        <v>490</v>
      </c>
      <c r="M418" s="16" t="s">
        <v>8</v>
      </c>
      <c r="N418" s="16">
        <f t="shared" si="6"/>
        <v>0</v>
      </c>
      <c r="O418" s="22" t="s">
        <v>451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</row>
    <row r="419" spans="1:92" s="18" customFormat="1" ht="16" x14ac:dyDescent="0.2">
      <c r="A419" s="16">
        <v>952</v>
      </c>
      <c r="B419" s="16" t="s">
        <v>603</v>
      </c>
      <c r="C419" s="16" t="s">
        <v>942</v>
      </c>
      <c r="D419" s="16" t="s">
        <v>943</v>
      </c>
      <c r="E419" s="16" t="s">
        <v>605</v>
      </c>
      <c r="F419" s="16" t="s">
        <v>680</v>
      </c>
      <c r="G419" s="16" t="s">
        <v>944</v>
      </c>
      <c r="H419" s="17">
        <v>44337</v>
      </c>
      <c r="I419" s="16">
        <v>5</v>
      </c>
      <c r="J419" s="16">
        <v>100</v>
      </c>
      <c r="K419" s="16">
        <v>3.1872233247868</v>
      </c>
      <c r="L419" s="16" t="s">
        <v>490</v>
      </c>
      <c r="M419" s="16" t="s">
        <v>8</v>
      </c>
      <c r="N419" s="16">
        <f t="shared" si="6"/>
        <v>159.36116623934001</v>
      </c>
      <c r="O419" s="22" t="s">
        <v>451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</row>
    <row r="420" spans="1:92" s="18" customFormat="1" ht="16" x14ac:dyDescent="0.2">
      <c r="A420" s="16">
        <v>959</v>
      </c>
      <c r="B420" s="16" t="s">
        <v>603</v>
      </c>
      <c r="C420" s="16" t="s">
        <v>942</v>
      </c>
      <c r="D420" s="16" t="s">
        <v>943</v>
      </c>
      <c r="E420" s="16" t="s">
        <v>605</v>
      </c>
      <c r="F420" s="16" t="s">
        <v>680</v>
      </c>
      <c r="G420" s="16" t="s">
        <v>944</v>
      </c>
      <c r="H420" s="17">
        <v>44337</v>
      </c>
      <c r="I420" s="16">
        <v>5</v>
      </c>
      <c r="J420" s="16">
        <v>100</v>
      </c>
      <c r="K420" s="16">
        <v>0</v>
      </c>
      <c r="L420" s="16" t="s">
        <v>490</v>
      </c>
      <c r="M420" s="16" t="s">
        <v>8</v>
      </c>
      <c r="N420" s="16">
        <f t="shared" si="6"/>
        <v>0</v>
      </c>
      <c r="O420" s="22" t="s">
        <v>451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</row>
    <row r="421" spans="1:92" s="18" customFormat="1" ht="16" x14ac:dyDescent="0.2">
      <c r="A421" s="16">
        <v>965</v>
      </c>
      <c r="B421" s="16" t="s">
        <v>603</v>
      </c>
      <c r="C421" s="16" t="s">
        <v>942</v>
      </c>
      <c r="D421" s="16" t="s">
        <v>943</v>
      </c>
      <c r="E421" s="16" t="s">
        <v>605</v>
      </c>
      <c r="F421" s="16" t="s">
        <v>680</v>
      </c>
      <c r="G421" s="16" t="s">
        <v>945</v>
      </c>
      <c r="H421" s="17">
        <v>44337</v>
      </c>
      <c r="I421" s="16">
        <v>5</v>
      </c>
      <c r="J421" s="16">
        <v>100</v>
      </c>
      <c r="K421" s="16">
        <v>0</v>
      </c>
      <c r="L421" s="16" t="s">
        <v>490</v>
      </c>
      <c r="M421" s="16" t="s">
        <v>8</v>
      </c>
      <c r="N421" s="16">
        <f t="shared" si="6"/>
        <v>0</v>
      </c>
      <c r="O421" s="22" t="s">
        <v>451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</row>
    <row r="422" spans="1:92" s="16" customFormat="1" ht="16" x14ac:dyDescent="0.2">
      <c r="A422" s="16">
        <v>970</v>
      </c>
      <c r="B422" s="16" t="s">
        <v>603</v>
      </c>
      <c r="C422" s="16" t="s">
        <v>942</v>
      </c>
      <c r="D422" s="16" t="s">
        <v>943</v>
      </c>
      <c r="E422" s="16" t="s">
        <v>605</v>
      </c>
      <c r="F422" s="16" t="s">
        <v>680</v>
      </c>
      <c r="G422" s="16" t="s">
        <v>945</v>
      </c>
      <c r="H422" s="17">
        <v>44337</v>
      </c>
      <c r="I422" s="16">
        <v>5</v>
      </c>
      <c r="J422" s="16">
        <v>100</v>
      </c>
      <c r="K422" s="16">
        <v>0</v>
      </c>
      <c r="L422" s="16" t="s">
        <v>490</v>
      </c>
      <c r="M422" s="16" t="s">
        <v>8</v>
      </c>
      <c r="N422" s="16">
        <f t="shared" si="6"/>
        <v>0</v>
      </c>
      <c r="O422" s="22" t="s">
        <v>451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</row>
    <row r="423" spans="1:92" s="16" customFormat="1" ht="16" x14ac:dyDescent="0.2">
      <c r="A423" s="16">
        <v>975</v>
      </c>
      <c r="B423" s="16" t="s">
        <v>603</v>
      </c>
      <c r="C423" s="16" t="s">
        <v>942</v>
      </c>
      <c r="D423" s="16" t="s">
        <v>943</v>
      </c>
      <c r="E423" s="16" t="s">
        <v>605</v>
      </c>
      <c r="F423" s="16" t="s">
        <v>680</v>
      </c>
      <c r="G423" s="16" t="s">
        <v>945</v>
      </c>
      <c r="H423" s="17">
        <v>44337</v>
      </c>
      <c r="I423" s="16">
        <v>5</v>
      </c>
      <c r="J423" s="16">
        <v>100</v>
      </c>
      <c r="K423" s="16">
        <v>2.34281793603544</v>
      </c>
      <c r="L423" s="16" t="s">
        <v>490</v>
      </c>
      <c r="M423" s="16" t="s">
        <v>8</v>
      </c>
      <c r="N423" s="16">
        <f t="shared" si="6"/>
        <v>117.14089680177199</v>
      </c>
      <c r="O423" s="22" t="s">
        <v>451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</row>
    <row r="424" spans="1:92" s="16" customFormat="1" ht="16" x14ac:dyDescent="0.2">
      <c r="A424" s="16">
        <v>946</v>
      </c>
      <c r="B424" s="16" t="s">
        <v>603</v>
      </c>
      <c r="C424" s="16" t="s">
        <v>942</v>
      </c>
      <c r="D424" s="16" t="s">
        <v>943</v>
      </c>
      <c r="E424" s="16" t="s">
        <v>605</v>
      </c>
      <c r="F424" s="16" t="s">
        <v>680</v>
      </c>
      <c r="G424" s="16" t="s">
        <v>946</v>
      </c>
      <c r="H424" s="17">
        <v>44337</v>
      </c>
      <c r="I424" s="16">
        <v>5</v>
      </c>
      <c r="J424" s="16">
        <v>100</v>
      </c>
      <c r="K424" s="16">
        <v>2.5702845958424598</v>
      </c>
      <c r="L424" s="16" t="s">
        <v>490</v>
      </c>
      <c r="M424" s="16" t="s">
        <v>8</v>
      </c>
      <c r="N424" s="16">
        <f t="shared" si="6"/>
        <v>128.51422979212299</v>
      </c>
      <c r="O424" s="22" t="s">
        <v>451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</row>
    <row r="425" spans="1:92" s="16" customFormat="1" ht="16" x14ac:dyDescent="0.2">
      <c r="A425" s="16">
        <v>953</v>
      </c>
      <c r="B425" s="16" t="s">
        <v>603</v>
      </c>
      <c r="C425" s="16" t="s">
        <v>942</v>
      </c>
      <c r="D425" s="16" t="s">
        <v>943</v>
      </c>
      <c r="E425" s="16" t="s">
        <v>605</v>
      </c>
      <c r="F425" s="16" t="s">
        <v>680</v>
      </c>
      <c r="G425" s="16" t="s">
        <v>946</v>
      </c>
      <c r="H425" s="17">
        <v>44337</v>
      </c>
      <c r="I425" s="16">
        <v>5</v>
      </c>
      <c r="J425" s="16">
        <v>100</v>
      </c>
      <c r="K425" s="16">
        <v>2.7331433834615999</v>
      </c>
      <c r="L425" s="16" t="s">
        <v>490</v>
      </c>
      <c r="M425" s="16" t="s">
        <v>8</v>
      </c>
      <c r="N425" s="16">
        <f t="shared" si="6"/>
        <v>136.65716917308001</v>
      </c>
      <c r="O425" s="22" t="s">
        <v>451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</row>
    <row r="426" spans="1:92" s="16" customFormat="1" ht="16" x14ac:dyDescent="0.2">
      <c r="A426" s="16">
        <v>960</v>
      </c>
      <c r="B426" s="16" t="s">
        <v>603</v>
      </c>
      <c r="C426" s="16" t="s">
        <v>942</v>
      </c>
      <c r="D426" s="16" t="s">
        <v>943</v>
      </c>
      <c r="E426" s="16" t="s">
        <v>605</v>
      </c>
      <c r="F426" s="16" t="s">
        <v>680</v>
      </c>
      <c r="G426" s="16" t="s">
        <v>946</v>
      </c>
      <c r="H426" s="17">
        <v>44337</v>
      </c>
      <c r="I426" s="16">
        <v>5</v>
      </c>
      <c r="J426" s="16">
        <v>100</v>
      </c>
      <c r="K426" s="16">
        <v>3.4522462683786999</v>
      </c>
      <c r="L426" s="16" t="s">
        <v>490</v>
      </c>
      <c r="M426" s="16" t="s">
        <v>8</v>
      </c>
      <c r="N426" s="16">
        <f t="shared" si="6"/>
        <v>172.612313418935</v>
      </c>
      <c r="O426" s="22" t="s">
        <v>451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</row>
    <row r="427" spans="1:92" s="16" customFormat="1" ht="16" x14ac:dyDescent="0.2">
      <c r="A427" s="18">
        <v>976</v>
      </c>
      <c r="B427" s="18" t="s">
        <v>607</v>
      </c>
      <c r="C427" s="18" t="s">
        <v>942</v>
      </c>
      <c r="D427" s="18" t="s">
        <v>947</v>
      </c>
      <c r="E427" s="18" t="s">
        <v>605</v>
      </c>
      <c r="F427" s="18" t="s">
        <v>680</v>
      </c>
      <c r="G427" s="18" t="s">
        <v>948</v>
      </c>
      <c r="H427" s="19">
        <v>44341</v>
      </c>
      <c r="I427" s="18">
        <v>5</v>
      </c>
      <c r="J427" s="18">
        <v>100</v>
      </c>
      <c r="K427" s="18">
        <v>5.4028662316767404</v>
      </c>
      <c r="L427" s="18" t="s">
        <v>490</v>
      </c>
      <c r="M427" s="18" t="s">
        <v>8</v>
      </c>
      <c r="N427" s="18">
        <f t="shared" si="6"/>
        <v>270.14331158383703</v>
      </c>
      <c r="O427" s="20" t="s">
        <v>451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</row>
    <row r="428" spans="1:92" s="16" customFormat="1" ht="16" x14ac:dyDescent="0.2">
      <c r="A428" s="18">
        <v>983</v>
      </c>
      <c r="B428" s="18" t="s">
        <v>607</v>
      </c>
      <c r="C428" s="18" t="s">
        <v>942</v>
      </c>
      <c r="D428" s="18" t="s">
        <v>947</v>
      </c>
      <c r="E428" s="18" t="s">
        <v>605</v>
      </c>
      <c r="F428" s="18" t="s">
        <v>680</v>
      </c>
      <c r="G428" s="18" t="s">
        <v>948</v>
      </c>
      <c r="H428" s="19">
        <v>44341</v>
      </c>
      <c r="I428" s="18">
        <v>5</v>
      </c>
      <c r="J428" s="18">
        <v>100</v>
      </c>
      <c r="K428" s="18">
        <v>4.9836130975535804</v>
      </c>
      <c r="L428" s="18" t="s">
        <v>490</v>
      </c>
      <c r="M428" s="18" t="s">
        <v>8</v>
      </c>
      <c r="N428" s="18">
        <f t="shared" si="6"/>
        <v>249.18065487767902</v>
      </c>
      <c r="O428" s="20" t="s">
        <v>451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</row>
    <row r="429" spans="1:92" s="16" customFormat="1" ht="16" x14ac:dyDescent="0.2">
      <c r="A429" s="18">
        <v>990</v>
      </c>
      <c r="B429" s="18" t="s">
        <v>607</v>
      </c>
      <c r="C429" s="18" t="s">
        <v>942</v>
      </c>
      <c r="D429" s="18" t="s">
        <v>947</v>
      </c>
      <c r="E429" s="18" t="s">
        <v>605</v>
      </c>
      <c r="F429" s="18" t="s">
        <v>680</v>
      </c>
      <c r="G429" s="18" t="s">
        <v>948</v>
      </c>
      <c r="H429" s="19">
        <v>44341</v>
      </c>
      <c r="I429" s="18">
        <v>5</v>
      </c>
      <c r="J429" s="18">
        <v>100</v>
      </c>
      <c r="K429" s="18">
        <v>6.6752996524628099</v>
      </c>
      <c r="L429" s="18" t="s">
        <v>490</v>
      </c>
      <c r="M429" s="18" t="s">
        <v>8</v>
      </c>
      <c r="N429" s="18">
        <f t="shared" si="6"/>
        <v>333.7649826231405</v>
      </c>
      <c r="O429" s="20" t="s">
        <v>451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</row>
    <row r="430" spans="1:92" s="16" customFormat="1" ht="16" x14ac:dyDescent="0.2">
      <c r="A430" s="18">
        <v>997</v>
      </c>
      <c r="B430" s="18" t="s">
        <v>607</v>
      </c>
      <c r="C430" s="18" t="s">
        <v>942</v>
      </c>
      <c r="D430" s="18" t="s">
        <v>947</v>
      </c>
      <c r="E430" s="18" t="s">
        <v>605</v>
      </c>
      <c r="F430" s="18" t="s">
        <v>680</v>
      </c>
      <c r="G430" s="18" t="s">
        <v>949</v>
      </c>
      <c r="H430" s="19">
        <v>44341</v>
      </c>
      <c r="I430" s="18">
        <v>5</v>
      </c>
      <c r="J430" s="18">
        <v>100</v>
      </c>
      <c r="K430" s="18">
        <v>2.5928676201440402</v>
      </c>
      <c r="L430" s="18" t="s">
        <v>490</v>
      </c>
      <c r="M430" s="18" t="s">
        <v>8</v>
      </c>
      <c r="N430" s="18">
        <f t="shared" si="6"/>
        <v>129.64338100720201</v>
      </c>
      <c r="O430" s="20" t="s">
        <v>451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</row>
    <row r="431" spans="1:92" s="18" customFormat="1" ht="16" x14ac:dyDescent="0.2">
      <c r="A431" s="18">
        <v>1004</v>
      </c>
      <c r="B431" s="18" t="s">
        <v>607</v>
      </c>
      <c r="C431" s="18" t="s">
        <v>942</v>
      </c>
      <c r="D431" s="18" t="s">
        <v>947</v>
      </c>
      <c r="E431" s="18" t="s">
        <v>605</v>
      </c>
      <c r="F431" s="18" t="s">
        <v>680</v>
      </c>
      <c r="G431" s="18" t="s">
        <v>949</v>
      </c>
      <c r="H431" s="19">
        <v>44341</v>
      </c>
      <c r="I431" s="18">
        <v>5</v>
      </c>
      <c r="J431" s="18">
        <v>100</v>
      </c>
      <c r="K431" s="18">
        <v>3.9631227587780198</v>
      </c>
      <c r="L431" s="18" t="s">
        <v>490</v>
      </c>
      <c r="M431" s="18" t="s">
        <v>8</v>
      </c>
      <c r="N431" s="18">
        <f t="shared" si="6"/>
        <v>198.15613793890097</v>
      </c>
      <c r="O431" s="20" t="s">
        <v>451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</row>
    <row r="432" spans="1:92" s="18" customFormat="1" ht="16" x14ac:dyDescent="0.2">
      <c r="A432" s="18">
        <v>1011</v>
      </c>
      <c r="B432" s="18" t="s">
        <v>607</v>
      </c>
      <c r="C432" s="18" t="s">
        <v>942</v>
      </c>
      <c r="D432" s="18" t="s">
        <v>947</v>
      </c>
      <c r="E432" s="18" t="s">
        <v>605</v>
      </c>
      <c r="F432" s="18" t="s">
        <v>680</v>
      </c>
      <c r="G432" s="18" t="s">
        <v>949</v>
      </c>
      <c r="H432" s="19">
        <v>44341</v>
      </c>
      <c r="I432" s="18">
        <v>5</v>
      </c>
      <c r="J432" s="18">
        <v>100</v>
      </c>
      <c r="K432" s="18">
        <v>6.9650896896237704</v>
      </c>
      <c r="L432" s="18" t="s">
        <v>490</v>
      </c>
      <c r="M432" s="18" t="s">
        <v>8</v>
      </c>
      <c r="N432" s="18">
        <f t="shared" si="6"/>
        <v>348.25448448118846</v>
      </c>
      <c r="O432" s="20" t="s">
        <v>451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</row>
    <row r="433" spans="1:92" s="18" customFormat="1" ht="16" x14ac:dyDescent="0.2">
      <c r="A433" s="18">
        <v>977</v>
      </c>
      <c r="B433" s="18" t="s">
        <v>607</v>
      </c>
      <c r="C433" s="18" t="s">
        <v>942</v>
      </c>
      <c r="D433" s="18" t="s">
        <v>947</v>
      </c>
      <c r="E433" s="18" t="s">
        <v>605</v>
      </c>
      <c r="F433" s="18" t="s">
        <v>680</v>
      </c>
      <c r="G433" s="18" t="s">
        <v>950</v>
      </c>
      <c r="H433" s="19">
        <v>44341</v>
      </c>
      <c r="I433" s="18">
        <v>5</v>
      </c>
      <c r="J433" s="18">
        <v>100</v>
      </c>
      <c r="K433" s="18">
        <v>5.5698990885828401</v>
      </c>
      <c r="L433" s="18" t="s">
        <v>490</v>
      </c>
      <c r="M433" s="18" t="s">
        <v>8</v>
      </c>
      <c r="N433" s="18">
        <f t="shared" si="6"/>
        <v>278.49495442914201</v>
      </c>
      <c r="O433" s="20" t="s">
        <v>451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</row>
    <row r="434" spans="1:92" s="18" customFormat="1" ht="16" x14ac:dyDescent="0.2">
      <c r="A434" s="18">
        <v>984</v>
      </c>
      <c r="B434" s="18" t="s">
        <v>607</v>
      </c>
      <c r="C434" s="18" t="s">
        <v>942</v>
      </c>
      <c r="D434" s="18" t="s">
        <v>947</v>
      </c>
      <c r="E434" s="18" t="s">
        <v>605</v>
      </c>
      <c r="F434" s="18" t="s">
        <v>680</v>
      </c>
      <c r="G434" s="18" t="s">
        <v>950</v>
      </c>
      <c r="H434" s="19">
        <v>44341</v>
      </c>
      <c r="I434" s="18">
        <v>5</v>
      </c>
      <c r="J434" s="18">
        <v>100</v>
      </c>
      <c r="K434" s="18">
        <v>6.6090758046739104</v>
      </c>
      <c r="L434" s="18" t="s">
        <v>490</v>
      </c>
      <c r="M434" s="18" t="s">
        <v>8</v>
      </c>
      <c r="N434" s="18">
        <f t="shared" si="6"/>
        <v>330.45379023369549</v>
      </c>
      <c r="O434" s="20" t="s">
        <v>451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</row>
    <row r="435" spans="1:92" s="18" customFormat="1" ht="16" x14ac:dyDescent="0.2">
      <c r="A435" s="18">
        <v>991</v>
      </c>
      <c r="B435" s="18" t="s">
        <v>607</v>
      </c>
      <c r="C435" s="18" t="s">
        <v>942</v>
      </c>
      <c r="D435" s="18" t="s">
        <v>947</v>
      </c>
      <c r="E435" s="18" t="s">
        <v>605</v>
      </c>
      <c r="F435" s="18" t="s">
        <v>680</v>
      </c>
      <c r="G435" s="18" t="s">
        <v>950</v>
      </c>
      <c r="H435" s="19">
        <v>44341</v>
      </c>
      <c r="I435" s="18">
        <v>5</v>
      </c>
      <c r="J435" s="18">
        <v>100</v>
      </c>
      <c r="K435" s="18">
        <v>4.8036155225338897</v>
      </c>
      <c r="L435" s="18" t="s">
        <v>490</v>
      </c>
      <c r="M435" s="18" t="s">
        <v>8</v>
      </c>
      <c r="N435" s="18">
        <f t="shared" si="6"/>
        <v>240.18077612669447</v>
      </c>
      <c r="O435" s="20" t="s">
        <v>451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</row>
    <row r="436" spans="1:92" s="18" customFormat="1" ht="16" x14ac:dyDescent="0.2">
      <c r="A436" s="16">
        <v>998</v>
      </c>
      <c r="B436" s="16" t="s">
        <v>609</v>
      </c>
      <c r="C436" s="16" t="s">
        <v>951</v>
      </c>
      <c r="D436" s="16" t="s">
        <v>952</v>
      </c>
      <c r="E436" s="16" t="s">
        <v>611</v>
      </c>
      <c r="F436" s="16" t="s">
        <v>680</v>
      </c>
      <c r="G436" s="16" t="s">
        <v>953</v>
      </c>
      <c r="H436" s="17">
        <v>44341</v>
      </c>
      <c r="I436" s="16">
        <v>5</v>
      </c>
      <c r="J436" s="16">
        <v>100</v>
      </c>
      <c r="K436" s="16">
        <v>4.1880512397890897</v>
      </c>
      <c r="L436" s="16" t="s">
        <v>490</v>
      </c>
      <c r="M436" s="16" t="s">
        <v>8</v>
      </c>
      <c r="N436" s="16">
        <f t="shared" si="6"/>
        <v>209.40256198945448</v>
      </c>
      <c r="O436" s="22" t="s">
        <v>451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</row>
    <row r="437" spans="1:92" s="18" customFormat="1" ht="16" x14ac:dyDescent="0.2">
      <c r="A437" s="16">
        <v>1005</v>
      </c>
      <c r="B437" s="16" t="s">
        <v>609</v>
      </c>
      <c r="C437" s="16" t="s">
        <v>951</v>
      </c>
      <c r="D437" s="16" t="s">
        <v>952</v>
      </c>
      <c r="E437" s="16" t="s">
        <v>611</v>
      </c>
      <c r="F437" s="16" t="s">
        <v>680</v>
      </c>
      <c r="G437" s="16" t="s">
        <v>953</v>
      </c>
      <c r="H437" s="17">
        <v>44341</v>
      </c>
      <c r="I437" s="16">
        <v>5</v>
      </c>
      <c r="J437" s="16">
        <v>100</v>
      </c>
      <c r="K437" s="16">
        <v>0</v>
      </c>
      <c r="L437" s="16" t="s">
        <v>490</v>
      </c>
      <c r="M437" s="16" t="s">
        <v>8</v>
      </c>
      <c r="N437" s="16">
        <f t="shared" si="6"/>
        <v>0</v>
      </c>
      <c r="O437" s="22" t="s">
        <v>451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</row>
    <row r="438" spans="1:92" s="18" customFormat="1" ht="16" x14ac:dyDescent="0.2">
      <c r="A438" s="16">
        <v>1012</v>
      </c>
      <c r="B438" s="16" t="s">
        <v>609</v>
      </c>
      <c r="C438" s="16" t="s">
        <v>951</v>
      </c>
      <c r="D438" s="16" t="s">
        <v>952</v>
      </c>
      <c r="E438" s="16" t="s">
        <v>611</v>
      </c>
      <c r="F438" s="16" t="s">
        <v>680</v>
      </c>
      <c r="G438" s="16" t="s">
        <v>953</v>
      </c>
      <c r="H438" s="17">
        <v>44341</v>
      </c>
      <c r="I438" s="16">
        <v>5</v>
      </c>
      <c r="J438" s="16">
        <v>100</v>
      </c>
      <c r="K438" s="16">
        <v>0.79098422217615905</v>
      </c>
      <c r="L438" s="16" t="s">
        <v>490</v>
      </c>
      <c r="M438" s="16" t="s">
        <v>8</v>
      </c>
      <c r="N438" s="16">
        <f t="shared" si="6"/>
        <v>39.549211108807953</v>
      </c>
      <c r="O438" s="22" t="s">
        <v>451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</row>
    <row r="439" spans="1:92" s="18" customFormat="1" ht="16" x14ac:dyDescent="0.2">
      <c r="A439" s="16">
        <v>978</v>
      </c>
      <c r="B439" s="16" t="s">
        <v>609</v>
      </c>
      <c r="C439" s="16" t="s">
        <v>951</v>
      </c>
      <c r="D439" s="16" t="s">
        <v>952</v>
      </c>
      <c r="E439" s="16" t="s">
        <v>611</v>
      </c>
      <c r="F439" s="16" t="s">
        <v>680</v>
      </c>
      <c r="G439" s="16" t="s">
        <v>954</v>
      </c>
      <c r="H439" s="17">
        <v>44341</v>
      </c>
      <c r="I439" s="16">
        <v>5</v>
      </c>
      <c r="J439" s="16">
        <v>100</v>
      </c>
      <c r="K439" s="16">
        <v>2.1122396895794999</v>
      </c>
      <c r="L439" s="16" t="s">
        <v>490</v>
      </c>
      <c r="M439" s="16" t="s">
        <v>8</v>
      </c>
      <c r="N439" s="16">
        <f t="shared" si="6"/>
        <v>105.61198447897499</v>
      </c>
      <c r="O439" s="22" t="s">
        <v>451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</row>
    <row r="440" spans="1:92" ht="16" x14ac:dyDescent="0.2">
      <c r="A440" s="16">
        <v>985</v>
      </c>
      <c r="B440" s="16" t="s">
        <v>609</v>
      </c>
      <c r="C440" s="16" t="s">
        <v>951</v>
      </c>
      <c r="D440" s="16" t="s">
        <v>952</v>
      </c>
      <c r="E440" s="16" t="s">
        <v>611</v>
      </c>
      <c r="F440" s="16" t="s">
        <v>680</v>
      </c>
      <c r="G440" s="16" t="s">
        <v>954</v>
      </c>
      <c r="H440" s="17">
        <v>44341</v>
      </c>
      <c r="I440" s="16">
        <v>5</v>
      </c>
      <c r="J440" s="16">
        <v>100</v>
      </c>
      <c r="K440" s="16">
        <v>0</v>
      </c>
      <c r="L440" s="16" t="s">
        <v>490</v>
      </c>
      <c r="M440" s="16" t="s">
        <v>8</v>
      </c>
      <c r="N440" s="16">
        <f t="shared" si="6"/>
        <v>0</v>
      </c>
      <c r="O440" s="22" t="s">
        <v>451</v>
      </c>
    </row>
    <row r="441" spans="1:92" ht="16" x14ac:dyDescent="0.2">
      <c r="A441" s="16">
        <v>992</v>
      </c>
      <c r="B441" s="16" t="s">
        <v>609</v>
      </c>
      <c r="C441" s="16" t="s">
        <v>951</v>
      </c>
      <c r="D441" s="16" t="s">
        <v>952</v>
      </c>
      <c r="E441" s="16" t="s">
        <v>611</v>
      </c>
      <c r="F441" s="16" t="s">
        <v>680</v>
      </c>
      <c r="G441" s="16" t="s">
        <v>954</v>
      </c>
      <c r="H441" s="17">
        <v>44341</v>
      </c>
      <c r="I441" s="16">
        <v>5</v>
      </c>
      <c r="J441" s="16">
        <v>100</v>
      </c>
      <c r="K441" s="16">
        <v>0.72243070619084104</v>
      </c>
      <c r="L441" s="16" t="s">
        <v>490</v>
      </c>
      <c r="M441" s="16" t="s">
        <v>8</v>
      </c>
      <c r="N441" s="16">
        <f t="shared" si="6"/>
        <v>36.121535309542054</v>
      </c>
      <c r="O441" s="22" t="s">
        <v>451</v>
      </c>
    </row>
    <row r="442" spans="1:92" ht="16" x14ac:dyDescent="0.2">
      <c r="A442" s="16">
        <v>999</v>
      </c>
      <c r="B442" s="16" t="s">
        <v>609</v>
      </c>
      <c r="C442" s="16" t="s">
        <v>951</v>
      </c>
      <c r="D442" s="16" t="s">
        <v>952</v>
      </c>
      <c r="E442" s="16" t="s">
        <v>611</v>
      </c>
      <c r="F442" s="16" t="s">
        <v>680</v>
      </c>
      <c r="G442" s="16" t="s">
        <v>955</v>
      </c>
      <c r="H442" s="17">
        <v>44341</v>
      </c>
      <c r="I442" s="16">
        <v>5</v>
      </c>
      <c r="J442" s="16">
        <v>100</v>
      </c>
      <c r="K442" s="16">
        <v>0</v>
      </c>
      <c r="L442" s="16" t="s">
        <v>490</v>
      </c>
      <c r="M442" s="16" t="s">
        <v>8</v>
      </c>
      <c r="N442" s="16">
        <f t="shared" si="6"/>
        <v>0</v>
      </c>
      <c r="O442" s="22" t="s">
        <v>451</v>
      </c>
    </row>
    <row r="443" spans="1:92" ht="16" x14ac:dyDescent="0.2">
      <c r="A443" s="16">
        <v>1006</v>
      </c>
      <c r="B443" s="16" t="s">
        <v>609</v>
      </c>
      <c r="C443" s="16" t="s">
        <v>951</v>
      </c>
      <c r="D443" s="16" t="s">
        <v>952</v>
      </c>
      <c r="E443" s="16" t="s">
        <v>611</v>
      </c>
      <c r="F443" s="16" t="s">
        <v>680</v>
      </c>
      <c r="G443" s="16" t="s">
        <v>955</v>
      </c>
      <c r="H443" s="17">
        <v>44341</v>
      </c>
      <c r="I443" s="16">
        <v>5</v>
      </c>
      <c r="J443" s="16">
        <v>100</v>
      </c>
      <c r="K443" s="16">
        <v>0.60900603597640302</v>
      </c>
      <c r="L443" s="16" t="s">
        <v>490</v>
      </c>
      <c r="M443" s="16" t="s">
        <v>8</v>
      </c>
      <c r="N443" s="16">
        <f t="shared" si="6"/>
        <v>30.450301798820153</v>
      </c>
      <c r="O443" s="22" t="s">
        <v>451</v>
      </c>
    </row>
    <row r="444" spans="1:92" ht="16" x14ac:dyDescent="0.2">
      <c r="A444" s="16">
        <v>1013</v>
      </c>
      <c r="B444" s="16" t="s">
        <v>609</v>
      </c>
      <c r="C444" s="16" t="s">
        <v>951</v>
      </c>
      <c r="D444" s="16" t="s">
        <v>952</v>
      </c>
      <c r="E444" s="16" t="s">
        <v>611</v>
      </c>
      <c r="F444" s="16" t="s">
        <v>680</v>
      </c>
      <c r="G444" s="16" t="s">
        <v>955</v>
      </c>
      <c r="H444" s="17">
        <v>44341</v>
      </c>
      <c r="I444" s="16">
        <v>5</v>
      </c>
      <c r="J444" s="16">
        <v>100</v>
      </c>
      <c r="K444" s="16">
        <v>0</v>
      </c>
      <c r="L444" s="16" t="s">
        <v>490</v>
      </c>
      <c r="M444" s="16" t="s">
        <v>8</v>
      </c>
      <c r="N444" s="16">
        <f t="shared" si="6"/>
        <v>0</v>
      </c>
      <c r="O444" s="22" t="s">
        <v>451</v>
      </c>
    </row>
    <row r="445" spans="1:92" ht="16" x14ac:dyDescent="0.2">
      <c r="A445" s="18">
        <v>979</v>
      </c>
      <c r="B445" s="18" t="s">
        <v>613</v>
      </c>
      <c r="C445" s="18" t="s">
        <v>956</v>
      </c>
      <c r="D445" s="18" t="s">
        <v>957</v>
      </c>
      <c r="E445" s="18" t="s">
        <v>615</v>
      </c>
      <c r="F445" s="18" t="s">
        <v>680</v>
      </c>
      <c r="G445" s="18" t="s">
        <v>958</v>
      </c>
      <c r="H445" s="19">
        <v>44341</v>
      </c>
      <c r="I445" s="18">
        <v>5</v>
      </c>
      <c r="J445" s="18">
        <v>100</v>
      </c>
      <c r="K445" s="18">
        <v>0</v>
      </c>
      <c r="L445" s="18" t="s">
        <v>490</v>
      </c>
      <c r="M445" s="18" t="s">
        <v>8</v>
      </c>
      <c r="N445" s="18">
        <f t="shared" si="6"/>
        <v>0</v>
      </c>
      <c r="O445" s="20" t="s">
        <v>451</v>
      </c>
    </row>
    <row r="446" spans="1:92" ht="16" x14ac:dyDescent="0.2">
      <c r="A446" s="18">
        <v>986</v>
      </c>
      <c r="B446" s="18" t="s">
        <v>613</v>
      </c>
      <c r="C446" s="18" t="s">
        <v>956</v>
      </c>
      <c r="D446" s="18" t="s">
        <v>957</v>
      </c>
      <c r="E446" s="18" t="s">
        <v>615</v>
      </c>
      <c r="F446" s="18" t="s">
        <v>680</v>
      </c>
      <c r="G446" s="18" t="s">
        <v>958</v>
      </c>
      <c r="H446" s="19">
        <v>44341</v>
      </c>
      <c r="I446" s="18">
        <v>5</v>
      </c>
      <c r="J446" s="18">
        <v>100</v>
      </c>
      <c r="K446" s="18">
        <v>0</v>
      </c>
      <c r="L446" s="18" t="s">
        <v>490</v>
      </c>
      <c r="M446" s="18" t="s">
        <v>8</v>
      </c>
      <c r="N446" s="18">
        <f t="shared" si="6"/>
        <v>0</v>
      </c>
      <c r="O446" s="20" t="s">
        <v>451</v>
      </c>
    </row>
    <row r="447" spans="1:92" ht="16" x14ac:dyDescent="0.2">
      <c r="A447" s="18">
        <v>993</v>
      </c>
      <c r="B447" s="18" t="s">
        <v>613</v>
      </c>
      <c r="C447" s="18" t="s">
        <v>956</v>
      </c>
      <c r="D447" s="18" t="s">
        <v>957</v>
      </c>
      <c r="E447" s="18" t="s">
        <v>615</v>
      </c>
      <c r="F447" s="18" t="s">
        <v>680</v>
      </c>
      <c r="G447" s="18" t="s">
        <v>958</v>
      </c>
      <c r="H447" s="19">
        <v>44341</v>
      </c>
      <c r="I447" s="18">
        <v>5</v>
      </c>
      <c r="J447" s="18">
        <v>100</v>
      </c>
      <c r="K447" s="18">
        <v>0</v>
      </c>
      <c r="L447" s="18" t="s">
        <v>490</v>
      </c>
      <c r="M447" s="18" t="s">
        <v>8</v>
      </c>
      <c r="N447" s="18">
        <f t="shared" si="6"/>
        <v>0</v>
      </c>
      <c r="O447" s="20" t="s">
        <v>451</v>
      </c>
    </row>
    <row r="448" spans="1:92" ht="16" x14ac:dyDescent="0.2">
      <c r="A448" s="18">
        <v>1000</v>
      </c>
      <c r="B448" s="18" t="s">
        <v>613</v>
      </c>
      <c r="C448" s="18" t="s">
        <v>956</v>
      </c>
      <c r="D448" s="18" t="s">
        <v>957</v>
      </c>
      <c r="E448" s="18" t="s">
        <v>615</v>
      </c>
      <c r="F448" s="18" t="s">
        <v>680</v>
      </c>
      <c r="G448" s="18" t="s">
        <v>959</v>
      </c>
      <c r="H448" s="19">
        <v>44341</v>
      </c>
      <c r="I448" s="18">
        <v>5</v>
      </c>
      <c r="J448" s="18">
        <v>100</v>
      </c>
      <c r="K448" s="18">
        <v>0</v>
      </c>
      <c r="L448" s="18" t="s">
        <v>490</v>
      </c>
      <c r="M448" s="18" t="s">
        <v>8</v>
      </c>
      <c r="N448" s="18">
        <f t="shared" si="6"/>
        <v>0</v>
      </c>
      <c r="O448" s="20" t="s">
        <v>451</v>
      </c>
    </row>
    <row r="449" spans="1:15" ht="16" x14ac:dyDescent="0.2">
      <c r="A449" s="18">
        <v>1007</v>
      </c>
      <c r="B449" s="18" t="s">
        <v>613</v>
      </c>
      <c r="C449" s="18" t="s">
        <v>956</v>
      </c>
      <c r="D449" s="18" t="s">
        <v>957</v>
      </c>
      <c r="E449" s="18" t="s">
        <v>615</v>
      </c>
      <c r="F449" s="18" t="s">
        <v>680</v>
      </c>
      <c r="G449" s="18" t="s">
        <v>959</v>
      </c>
      <c r="H449" s="19">
        <v>44341</v>
      </c>
      <c r="I449" s="18">
        <v>5</v>
      </c>
      <c r="J449" s="18">
        <v>100</v>
      </c>
      <c r="K449" s="18">
        <v>0</v>
      </c>
      <c r="L449" s="18" t="s">
        <v>490</v>
      </c>
      <c r="M449" s="18" t="s">
        <v>8</v>
      </c>
      <c r="N449" s="18">
        <f t="shared" si="6"/>
        <v>0</v>
      </c>
      <c r="O449" s="20" t="s">
        <v>451</v>
      </c>
    </row>
    <row r="450" spans="1:15" ht="16" x14ac:dyDescent="0.2">
      <c r="A450" s="18">
        <v>1014</v>
      </c>
      <c r="B450" s="18" t="s">
        <v>613</v>
      </c>
      <c r="C450" s="18" t="s">
        <v>956</v>
      </c>
      <c r="D450" s="18" t="s">
        <v>957</v>
      </c>
      <c r="E450" s="18" t="s">
        <v>615</v>
      </c>
      <c r="F450" s="18" t="s">
        <v>680</v>
      </c>
      <c r="G450" s="18" t="s">
        <v>959</v>
      </c>
      <c r="H450" s="19">
        <v>44341</v>
      </c>
      <c r="I450" s="18">
        <v>5</v>
      </c>
      <c r="J450" s="18">
        <v>100</v>
      </c>
      <c r="K450" s="18">
        <v>0</v>
      </c>
      <c r="L450" s="18" t="s">
        <v>490</v>
      </c>
      <c r="M450" s="18" t="s">
        <v>8</v>
      </c>
      <c r="N450" s="18">
        <f t="shared" si="6"/>
        <v>0</v>
      </c>
      <c r="O450" s="20" t="s">
        <v>451</v>
      </c>
    </row>
    <row r="451" spans="1:15" ht="16" x14ac:dyDescent="0.2">
      <c r="A451" s="18">
        <v>980</v>
      </c>
      <c r="B451" s="18" t="s">
        <v>613</v>
      </c>
      <c r="C451" s="18" t="s">
        <v>956</v>
      </c>
      <c r="D451" s="18" t="s">
        <v>957</v>
      </c>
      <c r="E451" s="18" t="s">
        <v>615</v>
      </c>
      <c r="F451" s="18" t="s">
        <v>680</v>
      </c>
      <c r="G451" s="18" t="s">
        <v>960</v>
      </c>
      <c r="H451" s="19">
        <v>44341</v>
      </c>
      <c r="I451" s="18">
        <v>5</v>
      </c>
      <c r="J451" s="18">
        <v>100</v>
      </c>
      <c r="K451" s="18">
        <v>0</v>
      </c>
      <c r="L451" s="18" t="s">
        <v>490</v>
      </c>
      <c r="M451" s="18" t="s">
        <v>8</v>
      </c>
      <c r="N451" s="18">
        <f t="shared" si="6"/>
        <v>0</v>
      </c>
      <c r="O451" s="20" t="s">
        <v>451</v>
      </c>
    </row>
    <row r="452" spans="1:15" ht="16" x14ac:dyDescent="0.2">
      <c r="A452" s="18">
        <v>987</v>
      </c>
      <c r="B452" s="18" t="s">
        <v>613</v>
      </c>
      <c r="C452" s="18" t="s">
        <v>956</v>
      </c>
      <c r="D452" s="18" t="s">
        <v>957</v>
      </c>
      <c r="E452" s="18" t="s">
        <v>615</v>
      </c>
      <c r="F452" s="18" t="s">
        <v>680</v>
      </c>
      <c r="G452" s="18" t="s">
        <v>960</v>
      </c>
      <c r="H452" s="19">
        <v>44341</v>
      </c>
      <c r="I452" s="18">
        <v>5</v>
      </c>
      <c r="J452" s="18">
        <v>100</v>
      </c>
      <c r="K452" s="18">
        <v>0</v>
      </c>
      <c r="L452" s="18" t="s">
        <v>490</v>
      </c>
      <c r="M452" s="18" t="s">
        <v>8</v>
      </c>
      <c r="N452" s="18">
        <f t="shared" ref="N452:N471" si="7">K452*I452*(1000/J452)</f>
        <v>0</v>
      </c>
      <c r="O452" s="20" t="s">
        <v>451</v>
      </c>
    </row>
    <row r="453" spans="1:15" ht="16" x14ac:dyDescent="0.2">
      <c r="A453" s="18">
        <v>994</v>
      </c>
      <c r="B453" s="18" t="s">
        <v>613</v>
      </c>
      <c r="C453" s="18" t="s">
        <v>956</v>
      </c>
      <c r="D453" s="18" t="s">
        <v>957</v>
      </c>
      <c r="E453" s="18" t="s">
        <v>615</v>
      </c>
      <c r="F453" s="18" t="s">
        <v>680</v>
      </c>
      <c r="G453" s="18" t="s">
        <v>960</v>
      </c>
      <c r="H453" s="19">
        <v>44341</v>
      </c>
      <c r="I453" s="18">
        <v>5</v>
      </c>
      <c r="J453" s="18">
        <v>100</v>
      </c>
      <c r="K453" s="18">
        <v>0</v>
      </c>
      <c r="L453" s="18" t="s">
        <v>490</v>
      </c>
      <c r="M453" s="18" t="s">
        <v>8</v>
      </c>
      <c r="N453" s="18">
        <f t="shared" si="7"/>
        <v>0</v>
      </c>
      <c r="O453" s="20" t="s">
        <v>451</v>
      </c>
    </row>
    <row r="454" spans="1:15" ht="16" x14ac:dyDescent="0.2">
      <c r="A454" s="16">
        <v>1001</v>
      </c>
      <c r="B454" s="16" t="s">
        <v>617</v>
      </c>
      <c r="C454" s="16" t="s">
        <v>961</v>
      </c>
      <c r="D454" s="16" t="s">
        <v>962</v>
      </c>
      <c r="E454" s="16" t="s">
        <v>619</v>
      </c>
      <c r="F454" s="16" t="s">
        <v>680</v>
      </c>
      <c r="G454" s="16" t="s">
        <v>963</v>
      </c>
      <c r="H454" s="17">
        <v>44341</v>
      </c>
      <c r="I454" s="16">
        <v>5</v>
      </c>
      <c r="J454" s="16">
        <v>100</v>
      </c>
      <c r="K454" s="16">
        <v>0</v>
      </c>
      <c r="L454" s="16" t="s">
        <v>490</v>
      </c>
      <c r="M454" s="16" t="s">
        <v>8</v>
      </c>
      <c r="N454" s="16">
        <f t="shared" si="7"/>
        <v>0</v>
      </c>
      <c r="O454" s="22" t="s">
        <v>451</v>
      </c>
    </row>
    <row r="455" spans="1:15" ht="16" x14ac:dyDescent="0.2">
      <c r="A455" s="16">
        <v>1008</v>
      </c>
      <c r="B455" s="16" t="s">
        <v>617</v>
      </c>
      <c r="C455" s="16" t="s">
        <v>961</v>
      </c>
      <c r="D455" s="16" t="s">
        <v>962</v>
      </c>
      <c r="E455" s="16" t="s">
        <v>619</v>
      </c>
      <c r="F455" s="16" t="s">
        <v>680</v>
      </c>
      <c r="G455" s="16" t="s">
        <v>963</v>
      </c>
      <c r="H455" s="17">
        <v>44341</v>
      </c>
      <c r="I455" s="16">
        <v>5</v>
      </c>
      <c r="J455" s="16">
        <v>100</v>
      </c>
      <c r="K455" s="16">
        <v>0</v>
      </c>
      <c r="L455" s="16" t="s">
        <v>490</v>
      </c>
      <c r="M455" s="16" t="s">
        <v>8</v>
      </c>
      <c r="N455" s="16">
        <f t="shared" si="7"/>
        <v>0</v>
      </c>
      <c r="O455" s="22" t="s">
        <v>451</v>
      </c>
    </row>
    <row r="456" spans="1:15" ht="16" x14ac:dyDescent="0.2">
      <c r="A456" s="16">
        <v>1015</v>
      </c>
      <c r="B456" s="16" t="s">
        <v>617</v>
      </c>
      <c r="C456" s="16" t="s">
        <v>961</v>
      </c>
      <c r="D456" s="16" t="s">
        <v>962</v>
      </c>
      <c r="E456" s="16" t="s">
        <v>619</v>
      </c>
      <c r="F456" s="16" t="s">
        <v>680</v>
      </c>
      <c r="G456" s="16" t="s">
        <v>963</v>
      </c>
      <c r="H456" s="17">
        <v>44341</v>
      </c>
      <c r="I456" s="16">
        <v>5</v>
      </c>
      <c r="J456" s="16">
        <v>100</v>
      </c>
      <c r="K456" s="16">
        <v>0</v>
      </c>
      <c r="L456" s="16" t="s">
        <v>490</v>
      </c>
      <c r="M456" s="16" t="s">
        <v>8</v>
      </c>
      <c r="N456" s="16">
        <f t="shared" si="7"/>
        <v>0</v>
      </c>
      <c r="O456" s="22" t="s">
        <v>451</v>
      </c>
    </row>
    <row r="457" spans="1:15" ht="16" x14ac:dyDescent="0.2">
      <c r="A457" s="16">
        <v>981</v>
      </c>
      <c r="B457" s="16" t="s">
        <v>617</v>
      </c>
      <c r="C457" s="16" t="s">
        <v>961</v>
      </c>
      <c r="D457" s="16" t="s">
        <v>962</v>
      </c>
      <c r="E457" s="16" t="s">
        <v>619</v>
      </c>
      <c r="F457" s="16" t="s">
        <v>680</v>
      </c>
      <c r="G457" s="16" t="s">
        <v>964</v>
      </c>
      <c r="H457" s="17">
        <v>44341</v>
      </c>
      <c r="I457" s="16">
        <v>5</v>
      </c>
      <c r="J457" s="16">
        <v>100</v>
      </c>
      <c r="K457" s="16">
        <v>0</v>
      </c>
      <c r="L457" s="16" t="s">
        <v>490</v>
      </c>
      <c r="M457" s="16" t="s">
        <v>8</v>
      </c>
      <c r="N457" s="16">
        <f t="shared" si="7"/>
        <v>0</v>
      </c>
      <c r="O457" s="22" t="s">
        <v>451</v>
      </c>
    </row>
    <row r="458" spans="1:15" ht="16" x14ac:dyDescent="0.2">
      <c r="A458" s="16">
        <v>988</v>
      </c>
      <c r="B458" s="16" t="s">
        <v>617</v>
      </c>
      <c r="C458" s="16" t="s">
        <v>961</v>
      </c>
      <c r="D458" s="16" t="s">
        <v>962</v>
      </c>
      <c r="E458" s="16" t="s">
        <v>619</v>
      </c>
      <c r="F458" s="16" t="s">
        <v>680</v>
      </c>
      <c r="G458" s="16" t="s">
        <v>964</v>
      </c>
      <c r="H458" s="17">
        <v>44341</v>
      </c>
      <c r="I458" s="16">
        <v>5</v>
      </c>
      <c r="J458" s="16">
        <v>100</v>
      </c>
      <c r="K458" s="16">
        <v>0</v>
      </c>
      <c r="L458" s="16" t="s">
        <v>490</v>
      </c>
      <c r="M458" s="16" t="s">
        <v>8</v>
      </c>
      <c r="N458" s="16">
        <f t="shared" si="7"/>
        <v>0</v>
      </c>
      <c r="O458" s="22" t="s">
        <v>451</v>
      </c>
    </row>
    <row r="459" spans="1:15" ht="16" x14ac:dyDescent="0.2">
      <c r="A459" s="16">
        <v>995</v>
      </c>
      <c r="B459" s="16" t="s">
        <v>617</v>
      </c>
      <c r="C459" s="16" t="s">
        <v>961</v>
      </c>
      <c r="D459" s="16" t="s">
        <v>962</v>
      </c>
      <c r="E459" s="16" t="s">
        <v>619</v>
      </c>
      <c r="F459" s="16" t="s">
        <v>680</v>
      </c>
      <c r="G459" s="16" t="s">
        <v>964</v>
      </c>
      <c r="H459" s="17">
        <v>44341</v>
      </c>
      <c r="I459" s="16">
        <v>5</v>
      </c>
      <c r="J459" s="16">
        <v>100</v>
      </c>
      <c r="K459" s="16">
        <v>0</v>
      </c>
      <c r="L459" s="16" t="s">
        <v>490</v>
      </c>
      <c r="M459" s="16" t="s">
        <v>8</v>
      </c>
      <c r="N459" s="16">
        <f t="shared" si="7"/>
        <v>0</v>
      </c>
      <c r="O459" s="22" t="s">
        <v>451</v>
      </c>
    </row>
    <row r="460" spans="1:15" ht="16" x14ac:dyDescent="0.2">
      <c r="A460" s="16">
        <v>1002</v>
      </c>
      <c r="B460" s="16" t="s">
        <v>617</v>
      </c>
      <c r="C460" s="16" t="s">
        <v>961</v>
      </c>
      <c r="D460" s="16" t="s">
        <v>962</v>
      </c>
      <c r="E460" s="16" t="s">
        <v>619</v>
      </c>
      <c r="F460" s="16" t="s">
        <v>680</v>
      </c>
      <c r="G460" s="16" t="s">
        <v>965</v>
      </c>
      <c r="H460" s="17">
        <v>44341</v>
      </c>
      <c r="I460" s="16">
        <v>5</v>
      </c>
      <c r="J460" s="16">
        <v>100</v>
      </c>
      <c r="K460" s="16">
        <v>0</v>
      </c>
      <c r="L460" s="16" t="s">
        <v>490</v>
      </c>
      <c r="M460" s="16" t="s">
        <v>8</v>
      </c>
      <c r="N460" s="16">
        <f t="shared" si="7"/>
        <v>0</v>
      </c>
      <c r="O460" s="22" t="s">
        <v>451</v>
      </c>
    </row>
    <row r="461" spans="1:15" ht="16" x14ac:dyDescent="0.2">
      <c r="A461" s="16">
        <v>1009</v>
      </c>
      <c r="B461" s="16" t="s">
        <v>617</v>
      </c>
      <c r="C461" s="16" t="s">
        <v>961</v>
      </c>
      <c r="D461" s="16" t="s">
        <v>962</v>
      </c>
      <c r="E461" s="16" t="s">
        <v>619</v>
      </c>
      <c r="F461" s="16" t="s">
        <v>680</v>
      </c>
      <c r="G461" s="16" t="s">
        <v>965</v>
      </c>
      <c r="H461" s="17">
        <v>44341</v>
      </c>
      <c r="I461" s="16">
        <v>5</v>
      </c>
      <c r="J461" s="16">
        <v>100</v>
      </c>
      <c r="K461" s="16">
        <v>0</v>
      </c>
      <c r="L461" s="16" t="s">
        <v>490</v>
      </c>
      <c r="M461" s="16" t="s">
        <v>8</v>
      </c>
      <c r="N461" s="16">
        <f t="shared" si="7"/>
        <v>0</v>
      </c>
      <c r="O461" s="22" t="s">
        <v>451</v>
      </c>
    </row>
    <row r="462" spans="1:15" ht="16" x14ac:dyDescent="0.2">
      <c r="A462" s="16">
        <v>1016</v>
      </c>
      <c r="B462" s="16" t="s">
        <v>617</v>
      </c>
      <c r="C462" s="16" t="s">
        <v>961</v>
      </c>
      <c r="D462" s="16" t="s">
        <v>962</v>
      </c>
      <c r="E462" s="16" t="s">
        <v>619</v>
      </c>
      <c r="F462" s="16" t="s">
        <v>680</v>
      </c>
      <c r="G462" s="16" t="s">
        <v>965</v>
      </c>
      <c r="H462" s="17">
        <v>44341</v>
      </c>
      <c r="I462" s="16">
        <v>5</v>
      </c>
      <c r="J462" s="16">
        <v>100</v>
      </c>
      <c r="K462" s="16">
        <v>0</v>
      </c>
      <c r="L462" s="16" t="s">
        <v>490</v>
      </c>
      <c r="M462" s="16" t="s">
        <v>8</v>
      </c>
      <c r="N462" s="16">
        <f t="shared" si="7"/>
        <v>0</v>
      </c>
      <c r="O462" s="22" t="s">
        <v>451</v>
      </c>
    </row>
    <row r="463" spans="1:15" ht="16" x14ac:dyDescent="0.2">
      <c r="A463" s="18">
        <v>982</v>
      </c>
      <c r="B463" s="18" t="s">
        <v>621</v>
      </c>
      <c r="C463" s="18" t="s">
        <v>961</v>
      </c>
      <c r="D463" s="18" t="s">
        <v>966</v>
      </c>
      <c r="E463" s="18" t="s">
        <v>619</v>
      </c>
      <c r="F463" s="18" t="s">
        <v>680</v>
      </c>
      <c r="G463" s="18" t="s">
        <v>967</v>
      </c>
      <c r="H463" s="19">
        <v>44341</v>
      </c>
      <c r="I463" s="18">
        <v>5</v>
      </c>
      <c r="J463" s="18">
        <v>100</v>
      </c>
      <c r="K463" s="18">
        <v>0</v>
      </c>
      <c r="L463" s="18" t="s">
        <v>490</v>
      </c>
      <c r="M463" s="18" t="s">
        <v>8</v>
      </c>
      <c r="N463" s="18">
        <f t="shared" si="7"/>
        <v>0</v>
      </c>
      <c r="O463" s="20" t="s">
        <v>451</v>
      </c>
    </row>
    <row r="464" spans="1:15" ht="16" x14ac:dyDescent="0.2">
      <c r="A464" s="18">
        <v>989</v>
      </c>
      <c r="B464" s="18" t="s">
        <v>621</v>
      </c>
      <c r="C464" s="18" t="s">
        <v>961</v>
      </c>
      <c r="D464" s="18" t="s">
        <v>966</v>
      </c>
      <c r="E464" s="18" t="s">
        <v>619</v>
      </c>
      <c r="F464" s="18" t="s">
        <v>680</v>
      </c>
      <c r="G464" s="18" t="s">
        <v>967</v>
      </c>
      <c r="H464" s="19">
        <v>44341</v>
      </c>
      <c r="I464" s="18">
        <v>5</v>
      </c>
      <c r="J464" s="18">
        <v>100</v>
      </c>
      <c r="K464" s="18">
        <v>0</v>
      </c>
      <c r="L464" s="18" t="s">
        <v>490</v>
      </c>
      <c r="M464" s="18" t="s">
        <v>8</v>
      </c>
      <c r="N464" s="18">
        <f t="shared" si="7"/>
        <v>0</v>
      </c>
      <c r="O464" s="20" t="s">
        <v>451</v>
      </c>
    </row>
    <row r="465" spans="1:15" ht="16" x14ac:dyDescent="0.2">
      <c r="A465" s="18">
        <v>996</v>
      </c>
      <c r="B465" s="18" t="s">
        <v>621</v>
      </c>
      <c r="C465" s="18" t="s">
        <v>961</v>
      </c>
      <c r="D465" s="18" t="s">
        <v>966</v>
      </c>
      <c r="E465" s="18" t="s">
        <v>619</v>
      </c>
      <c r="F465" s="18" t="s">
        <v>680</v>
      </c>
      <c r="G465" s="18" t="s">
        <v>967</v>
      </c>
      <c r="H465" s="19">
        <v>44341</v>
      </c>
      <c r="I465" s="18">
        <v>5</v>
      </c>
      <c r="J465" s="18">
        <v>100</v>
      </c>
      <c r="K465" s="18">
        <v>0</v>
      </c>
      <c r="L465" s="18" t="s">
        <v>490</v>
      </c>
      <c r="M465" s="18" t="s">
        <v>8</v>
      </c>
      <c r="N465" s="18">
        <f t="shared" si="7"/>
        <v>0</v>
      </c>
      <c r="O465" s="20" t="s">
        <v>451</v>
      </c>
    </row>
    <row r="466" spans="1:15" ht="16" x14ac:dyDescent="0.2">
      <c r="A466" s="18">
        <v>1003</v>
      </c>
      <c r="B466" s="18" t="s">
        <v>621</v>
      </c>
      <c r="C466" s="18" t="s">
        <v>961</v>
      </c>
      <c r="D466" s="18" t="s">
        <v>966</v>
      </c>
      <c r="E466" s="18" t="s">
        <v>619</v>
      </c>
      <c r="F466" s="18" t="s">
        <v>680</v>
      </c>
      <c r="G466" s="18" t="s">
        <v>968</v>
      </c>
      <c r="H466" s="19">
        <v>44341</v>
      </c>
      <c r="I466" s="18">
        <v>5</v>
      </c>
      <c r="J466" s="18">
        <v>100</v>
      </c>
      <c r="K466" s="18">
        <v>1.8660395775030001</v>
      </c>
      <c r="L466" s="18" t="s">
        <v>490</v>
      </c>
      <c r="M466" s="18" t="s">
        <v>8</v>
      </c>
      <c r="N466" s="18">
        <f t="shared" si="7"/>
        <v>93.301978875149999</v>
      </c>
      <c r="O466" s="20" t="s">
        <v>451</v>
      </c>
    </row>
    <row r="467" spans="1:15" ht="16" x14ac:dyDescent="0.2">
      <c r="A467" s="18">
        <v>1010</v>
      </c>
      <c r="B467" s="18" t="s">
        <v>621</v>
      </c>
      <c r="C467" s="18" t="s">
        <v>961</v>
      </c>
      <c r="D467" s="18" t="s">
        <v>966</v>
      </c>
      <c r="E467" s="18" t="s">
        <v>619</v>
      </c>
      <c r="F467" s="18" t="s">
        <v>680</v>
      </c>
      <c r="G467" s="18" t="s">
        <v>968</v>
      </c>
      <c r="H467" s="19">
        <v>44341</v>
      </c>
      <c r="I467" s="18">
        <v>5</v>
      </c>
      <c r="J467" s="18">
        <v>100</v>
      </c>
      <c r="K467" s="18">
        <v>0</v>
      </c>
      <c r="L467" s="18" t="s">
        <v>490</v>
      </c>
      <c r="M467" s="18" t="s">
        <v>8</v>
      </c>
      <c r="N467" s="18">
        <f t="shared" si="7"/>
        <v>0</v>
      </c>
      <c r="O467" s="20" t="s">
        <v>451</v>
      </c>
    </row>
    <row r="468" spans="1:15" ht="16" x14ac:dyDescent="0.2">
      <c r="A468" s="18">
        <v>1017</v>
      </c>
      <c r="B468" s="18" t="s">
        <v>621</v>
      </c>
      <c r="C468" s="18" t="s">
        <v>961</v>
      </c>
      <c r="D468" s="18" t="s">
        <v>966</v>
      </c>
      <c r="E468" s="18" t="s">
        <v>619</v>
      </c>
      <c r="F468" s="18" t="s">
        <v>680</v>
      </c>
      <c r="G468" s="18" t="s">
        <v>968</v>
      </c>
      <c r="H468" s="19">
        <v>44341</v>
      </c>
      <c r="I468" s="18">
        <v>5</v>
      </c>
      <c r="J468" s="18">
        <v>100</v>
      </c>
      <c r="K468" s="18">
        <v>0</v>
      </c>
      <c r="L468" s="18" t="s">
        <v>490</v>
      </c>
      <c r="M468" s="18" t="s">
        <v>8</v>
      </c>
      <c r="N468" s="18">
        <f t="shared" si="7"/>
        <v>0</v>
      </c>
      <c r="O468" s="20" t="s">
        <v>451</v>
      </c>
    </row>
    <row r="469" spans="1:15" ht="16" x14ac:dyDescent="0.2">
      <c r="A469" s="18">
        <v>1108</v>
      </c>
      <c r="B469" s="18" t="s">
        <v>621</v>
      </c>
      <c r="C469" s="18" t="s">
        <v>961</v>
      </c>
      <c r="D469" s="18" t="s">
        <v>966</v>
      </c>
      <c r="E469" s="18" t="s">
        <v>619</v>
      </c>
      <c r="F469" s="18" t="s">
        <v>680</v>
      </c>
      <c r="G469" s="18" t="s">
        <v>969</v>
      </c>
      <c r="H469" s="19">
        <v>44341</v>
      </c>
      <c r="I469" s="18">
        <v>5</v>
      </c>
      <c r="J469" s="18">
        <v>100</v>
      </c>
      <c r="K469" s="18">
        <v>0</v>
      </c>
      <c r="L469" s="18" t="s">
        <v>490</v>
      </c>
      <c r="M469" s="18" t="s">
        <v>8</v>
      </c>
      <c r="N469" s="18">
        <f t="shared" si="7"/>
        <v>0</v>
      </c>
      <c r="O469" s="20" t="s">
        <v>451</v>
      </c>
    </row>
    <row r="470" spans="1:15" ht="16" x14ac:dyDescent="0.2">
      <c r="A470" s="18">
        <v>1115</v>
      </c>
      <c r="B470" s="18" t="s">
        <v>621</v>
      </c>
      <c r="C470" s="18" t="s">
        <v>961</v>
      </c>
      <c r="D470" s="18" t="s">
        <v>966</v>
      </c>
      <c r="E470" s="18" t="s">
        <v>619</v>
      </c>
      <c r="F470" s="18" t="s">
        <v>680</v>
      </c>
      <c r="G470" s="18" t="s">
        <v>969</v>
      </c>
      <c r="H470" s="19">
        <v>44341</v>
      </c>
      <c r="I470" s="18">
        <v>5</v>
      </c>
      <c r="J470" s="18">
        <v>100</v>
      </c>
      <c r="K470" s="18">
        <v>0</v>
      </c>
      <c r="L470" s="18" t="s">
        <v>490</v>
      </c>
      <c r="M470" s="18" t="s">
        <v>8</v>
      </c>
      <c r="N470" s="18">
        <f t="shared" si="7"/>
        <v>0</v>
      </c>
      <c r="O470" s="20" t="s">
        <v>451</v>
      </c>
    </row>
    <row r="471" spans="1:15" ht="16" x14ac:dyDescent="0.2">
      <c r="A471" s="18">
        <v>1122</v>
      </c>
      <c r="B471" s="18" t="s">
        <v>621</v>
      </c>
      <c r="C471" s="18" t="s">
        <v>961</v>
      </c>
      <c r="D471" s="18" t="s">
        <v>966</v>
      </c>
      <c r="E471" s="18" t="s">
        <v>619</v>
      </c>
      <c r="F471" s="18" t="s">
        <v>680</v>
      </c>
      <c r="G471" s="18" t="s">
        <v>969</v>
      </c>
      <c r="H471" s="19">
        <v>44341</v>
      </c>
      <c r="I471" s="18">
        <v>5</v>
      </c>
      <c r="J471" s="18">
        <v>100</v>
      </c>
      <c r="K471" s="18">
        <v>0</v>
      </c>
      <c r="L471" s="18" t="s">
        <v>490</v>
      </c>
      <c r="M471" s="18" t="s">
        <v>8</v>
      </c>
      <c r="N471" s="18">
        <f t="shared" si="7"/>
        <v>0</v>
      </c>
      <c r="O471" s="20" t="s">
        <v>451</v>
      </c>
    </row>
    <row r="472" spans="1:15" ht="16" x14ac:dyDescent="0.2">
      <c r="H472" s="15"/>
    </row>
    <row r="473" spans="1:15" ht="16" x14ac:dyDescent="0.2">
      <c r="H473" s="15"/>
    </row>
    <row r="474" spans="1:15" ht="16" x14ac:dyDescent="0.2">
      <c r="H474" s="15"/>
    </row>
    <row r="475" spans="1:15" ht="16" x14ac:dyDescent="0.2">
      <c r="H475" s="15"/>
    </row>
    <row r="476" spans="1:15" ht="16" x14ac:dyDescent="0.2">
      <c r="H476" s="15"/>
    </row>
    <row r="477" spans="1:15" ht="16" x14ac:dyDescent="0.2">
      <c r="H477" s="15"/>
    </row>
    <row r="478" spans="1:15" ht="16" x14ac:dyDescent="0.2">
      <c r="H478" s="15"/>
    </row>
    <row r="479" spans="1:15" ht="16" x14ac:dyDescent="0.2">
      <c r="H479" s="15"/>
    </row>
    <row r="480" spans="1:15" ht="16" x14ac:dyDescent="0.2">
      <c r="H480" s="15"/>
    </row>
    <row r="481" spans="8:8" ht="16" x14ac:dyDescent="0.2">
      <c r="H481" s="15"/>
    </row>
    <row r="482" spans="8:8" ht="16" x14ac:dyDescent="0.2">
      <c r="H482" s="15"/>
    </row>
    <row r="483" spans="8:8" ht="16" x14ac:dyDescent="0.2">
      <c r="H483" s="15"/>
    </row>
    <row r="484" spans="8:8" ht="16" x14ac:dyDescent="0.2">
      <c r="H484" s="15"/>
    </row>
    <row r="485" spans="8:8" ht="16" x14ac:dyDescent="0.2">
      <c r="H485" s="15"/>
    </row>
    <row r="486" spans="8:8" ht="16" x14ac:dyDescent="0.2">
      <c r="H486" s="15"/>
    </row>
    <row r="487" spans="8:8" ht="16" x14ac:dyDescent="0.2">
      <c r="H487" s="15"/>
    </row>
    <row r="488" spans="8:8" ht="16" x14ac:dyDescent="0.2">
      <c r="H488" s="15"/>
    </row>
    <row r="489" spans="8:8" ht="16" x14ac:dyDescent="0.2">
      <c r="H489" s="15"/>
    </row>
    <row r="490" spans="8:8" ht="16" x14ac:dyDescent="0.2">
      <c r="H490" s="15"/>
    </row>
    <row r="491" spans="8:8" ht="16" x14ac:dyDescent="0.2">
      <c r="H491" s="15"/>
    </row>
    <row r="492" spans="8:8" ht="16" x14ac:dyDescent="0.2">
      <c r="H492" s="15"/>
    </row>
    <row r="493" spans="8:8" ht="16" x14ac:dyDescent="0.2">
      <c r="H493" s="15"/>
    </row>
    <row r="494" spans="8:8" ht="16" x14ac:dyDescent="0.2">
      <c r="H494" s="15"/>
    </row>
    <row r="495" spans="8:8" ht="16" x14ac:dyDescent="0.2">
      <c r="H495" s="15"/>
    </row>
    <row r="496" spans="8:8" ht="16" x14ac:dyDescent="0.2">
      <c r="H496" s="15"/>
    </row>
    <row r="497" spans="8:8" ht="16" x14ac:dyDescent="0.2">
      <c r="H497" s="15"/>
    </row>
    <row r="498" spans="8:8" ht="16" x14ac:dyDescent="0.2">
      <c r="H498" s="15"/>
    </row>
    <row r="499" spans="8:8" ht="16" x14ac:dyDescent="0.2">
      <c r="H499" s="15"/>
    </row>
    <row r="500" spans="8:8" ht="16" x14ac:dyDescent="0.2">
      <c r="H500" s="15"/>
    </row>
    <row r="501" spans="8:8" ht="16" x14ac:dyDescent="0.2">
      <c r="H501" s="15"/>
    </row>
    <row r="502" spans="8:8" ht="16" x14ac:dyDescent="0.2">
      <c r="H502" s="15"/>
    </row>
    <row r="503" spans="8:8" ht="16" x14ac:dyDescent="0.2">
      <c r="H503" s="15"/>
    </row>
    <row r="504" spans="8:8" ht="16" x14ac:dyDescent="0.2">
      <c r="H504" s="15"/>
    </row>
    <row r="505" spans="8:8" ht="16" x14ac:dyDescent="0.2">
      <c r="H505" s="15"/>
    </row>
    <row r="506" spans="8:8" ht="16" x14ac:dyDescent="0.2">
      <c r="H506" s="15"/>
    </row>
    <row r="507" spans="8:8" ht="16" x14ac:dyDescent="0.2">
      <c r="H507" s="15"/>
    </row>
    <row r="508" spans="8:8" ht="16" x14ac:dyDescent="0.2">
      <c r="H508" s="15"/>
    </row>
    <row r="509" spans="8:8" ht="16" x14ac:dyDescent="0.2">
      <c r="H509" s="15"/>
    </row>
    <row r="510" spans="8:8" ht="16" x14ac:dyDescent="0.2">
      <c r="H510" s="15"/>
    </row>
    <row r="511" spans="8:8" ht="16" x14ac:dyDescent="0.2">
      <c r="H511" s="15"/>
    </row>
    <row r="512" spans="8:8" ht="16" x14ac:dyDescent="0.2">
      <c r="H512" s="15"/>
    </row>
    <row r="513" spans="8:8" ht="16" x14ac:dyDescent="0.2">
      <c r="H513" s="15"/>
    </row>
    <row r="514" spans="8:8" ht="16" x14ac:dyDescent="0.2">
      <c r="H514" s="15"/>
    </row>
    <row r="515" spans="8:8" ht="16" x14ac:dyDescent="0.2">
      <c r="H515" s="15"/>
    </row>
    <row r="516" spans="8:8" ht="16" x14ac:dyDescent="0.2">
      <c r="H516" s="15"/>
    </row>
    <row r="517" spans="8:8" ht="16" x14ac:dyDescent="0.2">
      <c r="H517" s="15"/>
    </row>
    <row r="518" spans="8:8" ht="16" x14ac:dyDescent="0.2">
      <c r="H518" s="15"/>
    </row>
    <row r="519" spans="8:8" ht="16" x14ac:dyDescent="0.2">
      <c r="H519" s="15"/>
    </row>
    <row r="520" spans="8:8" ht="16" x14ac:dyDescent="0.2">
      <c r="H520" s="15"/>
    </row>
    <row r="521" spans="8:8" ht="16" x14ac:dyDescent="0.2">
      <c r="H521" s="15"/>
    </row>
    <row r="522" spans="8:8" ht="16" x14ac:dyDescent="0.2">
      <c r="H522" s="15"/>
    </row>
    <row r="523" spans="8:8" ht="16" x14ac:dyDescent="0.2">
      <c r="H523" s="15"/>
    </row>
    <row r="524" spans="8:8" ht="16" x14ac:dyDescent="0.2">
      <c r="H524" s="15"/>
    </row>
    <row r="525" spans="8:8" ht="16" x14ac:dyDescent="0.2">
      <c r="H525" s="15"/>
    </row>
    <row r="526" spans="8:8" ht="16" x14ac:dyDescent="0.2">
      <c r="H526" s="15"/>
    </row>
    <row r="527" spans="8:8" ht="16" x14ac:dyDescent="0.2">
      <c r="H527" s="15"/>
    </row>
    <row r="528" spans="8:8" ht="16" x14ac:dyDescent="0.2">
      <c r="H528" s="15"/>
    </row>
    <row r="529" spans="8:8" ht="16" x14ac:dyDescent="0.2">
      <c r="H529" s="15"/>
    </row>
    <row r="530" spans="8:8" ht="16" x14ac:dyDescent="0.2">
      <c r="H530" s="15"/>
    </row>
    <row r="531" spans="8:8" ht="16" x14ac:dyDescent="0.2">
      <c r="H531" s="15"/>
    </row>
    <row r="532" spans="8:8" ht="16" x14ac:dyDescent="0.2">
      <c r="H532" s="15"/>
    </row>
    <row r="533" spans="8:8" ht="16" x14ac:dyDescent="0.2">
      <c r="H533" s="15"/>
    </row>
    <row r="534" spans="8:8" ht="16" x14ac:dyDescent="0.2">
      <c r="H534" s="15"/>
    </row>
    <row r="535" spans="8:8" ht="16" x14ac:dyDescent="0.2">
      <c r="H535" s="15"/>
    </row>
    <row r="536" spans="8:8" ht="16" x14ac:dyDescent="0.2">
      <c r="H536" s="15"/>
    </row>
    <row r="537" spans="8:8" ht="16" x14ac:dyDescent="0.2">
      <c r="H537" s="15"/>
    </row>
    <row r="538" spans="8:8" ht="16" x14ac:dyDescent="0.2">
      <c r="H538" s="15"/>
    </row>
    <row r="539" spans="8:8" ht="16" x14ac:dyDescent="0.2">
      <c r="H539" s="15"/>
    </row>
    <row r="540" spans="8:8" ht="16" x14ac:dyDescent="0.2">
      <c r="H540" s="15"/>
    </row>
    <row r="541" spans="8:8" ht="16" x14ac:dyDescent="0.2">
      <c r="H541" s="15"/>
    </row>
    <row r="542" spans="8:8" ht="16" x14ac:dyDescent="0.2">
      <c r="H542" s="15"/>
    </row>
    <row r="543" spans="8:8" ht="16" x14ac:dyDescent="0.2">
      <c r="H543" s="15"/>
    </row>
    <row r="544" spans="8:8" ht="16" x14ac:dyDescent="0.2">
      <c r="H544" s="15"/>
    </row>
    <row r="545" spans="8:8" ht="16" x14ac:dyDescent="0.2">
      <c r="H545" s="15"/>
    </row>
    <row r="546" spans="8:8" ht="16" x14ac:dyDescent="0.2">
      <c r="H546" s="15"/>
    </row>
    <row r="547" spans="8:8" ht="16" x14ac:dyDescent="0.2">
      <c r="H547" s="15"/>
    </row>
    <row r="548" spans="8:8" ht="16" x14ac:dyDescent="0.2">
      <c r="H548" s="15"/>
    </row>
    <row r="549" spans="8:8" ht="16" x14ac:dyDescent="0.2">
      <c r="H549" s="15"/>
    </row>
    <row r="550" spans="8:8" ht="16" x14ac:dyDescent="0.2">
      <c r="H550" s="15"/>
    </row>
    <row r="551" spans="8:8" ht="16" x14ac:dyDescent="0.2">
      <c r="H551" s="15"/>
    </row>
    <row r="552" spans="8:8" ht="16" x14ac:dyDescent="0.2">
      <c r="H552" s="15"/>
    </row>
    <row r="553" spans="8:8" ht="16" x14ac:dyDescent="0.2">
      <c r="H553" s="15"/>
    </row>
    <row r="554" spans="8:8" ht="16" x14ac:dyDescent="0.2">
      <c r="H554" s="15"/>
    </row>
    <row r="555" spans="8:8" ht="16" x14ac:dyDescent="0.2">
      <c r="H555" s="15"/>
    </row>
    <row r="556" spans="8:8" ht="16" x14ac:dyDescent="0.2">
      <c r="H556" s="15"/>
    </row>
    <row r="557" spans="8:8" ht="16" x14ac:dyDescent="0.2">
      <c r="H557" s="15"/>
    </row>
    <row r="558" spans="8:8" ht="16" x14ac:dyDescent="0.2">
      <c r="H558" s="15"/>
    </row>
    <row r="559" spans="8:8" ht="16" x14ac:dyDescent="0.2">
      <c r="H559" s="15"/>
    </row>
    <row r="560" spans="8:8" ht="16" x14ac:dyDescent="0.2">
      <c r="H560" s="15"/>
    </row>
    <row r="561" spans="8:8" ht="16" x14ac:dyDescent="0.2">
      <c r="H561" s="15"/>
    </row>
    <row r="562" spans="8:8" ht="16" x14ac:dyDescent="0.2">
      <c r="H562" s="15"/>
    </row>
    <row r="563" spans="8:8" ht="16" x14ac:dyDescent="0.2">
      <c r="H563" s="15"/>
    </row>
    <row r="564" spans="8:8" ht="16" x14ac:dyDescent="0.2">
      <c r="H564" s="15"/>
    </row>
    <row r="565" spans="8:8" ht="16" x14ac:dyDescent="0.2">
      <c r="H565" s="15"/>
    </row>
    <row r="566" spans="8:8" ht="16" x14ac:dyDescent="0.2">
      <c r="H566" s="15"/>
    </row>
    <row r="567" spans="8:8" ht="16" x14ac:dyDescent="0.2">
      <c r="H567" s="15"/>
    </row>
    <row r="568" spans="8:8" ht="16" x14ac:dyDescent="0.2">
      <c r="H568" s="15"/>
    </row>
    <row r="569" spans="8:8" ht="16" x14ac:dyDescent="0.2">
      <c r="H569" s="15"/>
    </row>
    <row r="570" spans="8:8" ht="16" x14ac:dyDescent="0.2">
      <c r="H570" s="15"/>
    </row>
    <row r="571" spans="8:8" ht="16" x14ac:dyDescent="0.2">
      <c r="H571" s="15"/>
    </row>
    <row r="572" spans="8:8" ht="16" x14ac:dyDescent="0.2">
      <c r="H572" s="15"/>
    </row>
    <row r="573" spans="8:8" ht="16" x14ac:dyDescent="0.2">
      <c r="H573" s="15"/>
    </row>
    <row r="574" spans="8:8" ht="16" x14ac:dyDescent="0.2">
      <c r="H574" s="15"/>
    </row>
    <row r="575" spans="8:8" ht="16" x14ac:dyDescent="0.2">
      <c r="H575" s="15"/>
    </row>
    <row r="576" spans="8:8" ht="16" x14ac:dyDescent="0.2">
      <c r="H576" s="15"/>
    </row>
    <row r="577" spans="8:8" ht="16" x14ac:dyDescent="0.2">
      <c r="H577" s="15"/>
    </row>
    <row r="578" spans="8:8" ht="16" x14ac:dyDescent="0.2">
      <c r="H578" s="15"/>
    </row>
    <row r="579" spans="8:8" ht="16" x14ac:dyDescent="0.2">
      <c r="H579" s="15"/>
    </row>
    <row r="580" spans="8:8" ht="16" x14ac:dyDescent="0.2">
      <c r="H580" s="15"/>
    </row>
    <row r="581" spans="8:8" ht="16" x14ac:dyDescent="0.2">
      <c r="H581" s="15"/>
    </row>
    <row r="582" spans="8:8" ht="16" x14ac:dyDescent="0.2">
      <c r="H582" s="15"/>
    </row>
    <row r="583" spans="8:8" ht="16" x14ac:dyDescent="0.2">
      <c r="H583" s="15"/>
    </row>
    <row r="584" spans="8:8" ht="16" x14ac:dyDescent="0.2">
      <c r="H584" s="15"/>
    </row>
    <row r="585" spans="8:8" ht="16" x14ac:dyDescent="0.2">
      <c r="H585" s="15"/>
    </row>
    <row r="586" spans="8:8" ht="16" x14ac:dyDescent="0.2">
      <c r="H586" s="15"/>
    </row>
    <row r="587" spans="8:8" ht="16" x14ac:dyDescent="0.2">
      <c r="H587" s="15"/>
    </row>
    <row r="588" spans="8:8" ht="16" x14ac:dyDescent="0.2">
      <c r="H588" s="15"/>
    </row>
    <row r="589" spans="8:8" ht="16" x14ac:dyDescent="0.2">
      <c r="H589" s="15"/>
    </row>
    <row r="590" spans="8:8" ht="16" x14ac:dyDescent="0.2">
      <c r="H590" s="15"/>
    </row>
    <row r="591" spans="8:8" ht="16" x14ac:dyDescent="0.2">
      <c r="H591" s="15"/>
    </row>
    <row r="592" spans="8:8" ht="16" x14ac:dyDescent="0.2">
      <c r="H592" s="15"/>
    </row>
    <row r="593" spans="8:8" ht="16" x14ac:dyDescent="0.2">
      <c r="H593" s="15"/>
    </row>
    <row r="594" spans="8:8" ht="16" x14ac:dyDescent="0.2">
      <c r="H594" s="15"/>
    </row>
    <row r="595" spans="8:8" ht="16" x14ac:dyDescent="0.2">
      <c r="H595" s="15"/>
    </row>
    <row r="596" spans="8:8" ht="16" x14ac:dyDescent="0.2">
      <c r="H596" s="15"/>
    </row>
    <row r="597" spans="8:8" ht="16" x14ac:dyDescent="0.2">
      <c r="H597" s="15"/>
    </row>
    <row r="598" spans="8:8" ht="16" x14ac:dyDescent="0.2">
      <c r="H598" s="15"/>
    </row>
    <row r="599" spans="8:8" ht="16" x14ac:dyDescent="0.2">
      <c r="H599" s="15"/>
    </row>
    <row r="600" spans="8:8" ht="16" x14ac:dyDescent="0.2">
      <c r="H600" s="15"/>
    </row>
    <row r="601" spans="8:8" ht="16" x14ac:dyDescent="0.2">
      <c r="H601" s="15"/>
    </row>
    <row r="602" spans="8:8" ht="16" x14ac:dyDescent="0.2">
      <c r="H602" s="15"/>
    </row>
    <row r="603" spans="8:8" ht="16" x14ac:dyDescent="0.2">
      <c r="H603" s="15"/>
    </row>
    <row r="604" spans="8:8" ht="16" x14ac:dyDescent="0.2">
      <c r="H604" s="15"/>
    </row>
    <row r="605" spans="8:8" ht="16" x14ac:dyDescent="0.2">
      <c r="H605" s="15"/>
    </row>
    <row r="606" spans="8:8" ht="16" x14ac:dyDescent="0.2">
      <c r="H606" s="15"/>
    </row>
    <row r="607" spans="8:8" ht="16" x14ac:dyDescent="0.2">
      <c r="H607" s="15"/>
    </row>
    <row r="608" spans="8:8" ht="16" x14ac:dyDescent="0.2">
      <c r="H608" s="15"/>
    </row>
    <row r="609" spans="8:8" ht="16" x14ac:dyDescent="0.2">
      <c r="H609" s="15"/>
    </row>
    <row r="610" spans="8:8" ht="16" x14ac:dyDescent="0.2">
      <c r="H610" s="15"/>
    </row>
    <row r="611" spans="8:8" ht="16" x14ac:dyDescent="0.2">
      <c r="H611" s="15"/>
    </row>
    <row r="612" spans="8:8" ht="16" x14ac:dyDescent="0.2">
      <c r="H612" s="15"/>
    </row>
    <row r="613" spans="8:8" ht="16" x14ac:dyDescent="0.2">
      <c r="H613" s="15"/>
    </row>
    <row r="614" spans="8:8" ht="16" x14ac:dyDescent="0.2">
      <c r="H614" s="15"/>
    </row>
    <row r="615" spans="8:8" ht="16" x14ac:dyDescent="0.2">
      <c r="H615" s="15"/>
    </row>
    <row r="616" spans="8:8" ht="16" x14ac:dyDescent="0.2">
      <c r="H616" s="15"/>
    </row>
    <row r="617" spans="8:8" ht="16" x14ac:dyDescent="0.2">
      <c r="H617" s="15"/>
    </row>
    <row r="618" spans="8:8" ht="16" x14ac:dyDescent="0.2">
      <c r="H618" s="15"/>
    </row>
    <row r="619" spans="8:8" ht="16" x14ac:dyDescent="0.2">
      <c r="H619" s="15"/>
    </row>
    <row r="620" spans="8:8" ht="16" x14ac:dyDescent="0.2">
      <c r="H620" s="15"/>
    </row>
    <row r="621" spans="8:8" ht="16" x14ac:dyDescent="0.2">
      <c r="H621" s="15"/>
    </row>
    <row r="622" spans="8:8" ht="16" x14ac:dyDescent="0.2">
      <c r="H622" s="15"/>
    </row>
    <row r="623" spans="8:8" ht="16" x14ac:dyDescent="0.2">
      <c r="H623" s="15"/>
    </row>
    <row r="624" spans="8:8" ht="16" x14ac:dyDescent="0.2">
      <c r="H624" s="15"/>
    </row>
    <row r="625" spans="8:8" ht="16" x14ac:dyDescent="0.2">
      <c r="H625" s="15"/>
    </row>
    <row r="626" spans="8:8" ht="16" x14ac:dyDescent="0.2">
      <c r="H626" s="15"/>
    </row>
    <row r="627" spans="8:8" ht="16" x14ac:dyDescent="0.2">
      <c r="H627" s="15"/>
    </row>
    <row r="628" spans="8:8" ht="16" x14ac:dyDescent="0.2">
      <c r="H628" s="15"/>
    </row>
    <row r="629" spans="8:8" ht="16" x14ac:dyDescent="0.2">
      <c r="H629" s="15"/>
    </row>
    <row r="630" spans="8:8" ht="16" x14ac:dyDescent="0.2">
      <c r="H630" s="15"/>
    </row>
    <row r="631" spans="8:8" ht="16" x14ac:dyDescent="0.2">
      <c r="H631" s="15"/>
    </row>
    <row r="632" spans="8:8" ht="16" x14ac:dyDescent="0.2">
      <c r="H632" s="15"/>
    </row>
    <row r="633" spans="8:8" ht="16" x14ac:dyDescent="0.2">
      <c r="H633" s="15"/>
    </row>
    <row r="634" spans="8:8" ht="16" x14ac:dyDescent="0.2">
      <c r="H634" s="15"/>
    </row>
    <row r="635" spans="8:8" ht="16" x14ac:dyDescent="0.2">
      <c r="H635" s="15"/>
    </row>
    <row r="636" spans="8:8" ht="16" x14ac:dyDescent="0.2">
      <c r="H636" s="15"/>
    </row>
    <row r="637" spans="8:8" ht="16" x14ac:dyDescent="0.2">
      <c r="H637" s="15"/>
    </row>
    <row r="638" spans="8:8" ht="16" x14ac:dyDescent="0.2">
      <c r="H638" s="15"/>
    </row>
    <row r="639" spans="8:8" ht="16" x14ac:dyDescent="0.2">
      <c r="H639" s="15"/>
    </row>
    <row r="640" spans="8:8" ht="16" x14ac:dyDescent="0.2">
      <c r="H640" s="15"/>
    </row>
    <row r="641" spans="8:8" ht="16" x14ac:dyDescent="0.2">
      <c r="H641" s="15"/>
    </row>
    <row r="642" spans="8:8" ht="16" x14ac:dyDescent="0.2">
      <c r="H642" s="15"/>
    </row>
    <row r="643" spans="8:8" ht="16" x14ac:dyDescent="0.2">
      <c r="H643" s="15"/>
    </row>
    <row r="644" spans="8:8" ht="16" x14ac:dyDescent="0.2">
      <c r="H644" s="15"/>
    </row>
    <row r="645" spans="8:8" ht="16" x14ac:dyDescent="0.2">
      <c r="H645" s="15"/>
    </row>
    <row r="646" spans="8:8" ht="16" x14ac:dyDescent="0.2">
      <c r="H646" s="15"/>
    </row>
    <row r="647" spans="8:8" ht="16" x14ac:dyDescent="0.2">
      <c r="H647" s="15"/>
    </row>
    <row r="648" spans="8:8" ht="16" x14ac:dyDescent="0.2">
      <c r="H648" s="15"/>
    </row>
    <row r="649" spans="8:8" ht="16" x14ac:dyDescent="0.2">
      <c r="H649" s="15"/>
    </row>
    <row r="650" spans="8:8" ht="16" x14ac:dyDescent="0.2">
      <c r="H650" s="15"/>
    </row>
    <row r="651" spans="8:8" ht="16" x14ac:dyDescent="0.2">
      <c r="H651" s="15"/>
    </row>
    <row r="652" spans="8:8" ht="16" x14ac:dyDescent="0.2">
      <c r="H652" s="15"/>
    </row>
    <row r="653" spans="8:8" ht="16" x14ac:dyDescent="0.2">
      <c r="H653" s="15"/>
    </row>
    <row r="654" spans="8:8" ht="16" x14ac:dyDescent="0.2">
      <c r="H654" s="15"/>
    </row>
    <row r="655" spans="8:8" ht="16" x14ac:dyDescent="0.2">
      <c r="H655" s="15"/>
    </row>
    <row r="656" spans="8:8" ht="16" x14ac:dyDescent="0.2">
      <c r="H656" s="15"/>
    </row>
    <row r="657" spans="8:8" ht="16" x14ac:dyDescent="0.2">
      <c r="H657" s="15"/>
    </row>
    <row r="658" spans="8:8" ht="16" x14ac:dyDescent="0.2">
      <c r="H658" s="15"/>
    </row>
    <row r="659" spans="8:8" ht="16" x14ac:dyDescent="0.2">
      <c r="H659" s="15"/>
    </row>
    <row r="660" spans="8:8" ht="16" x14ac:dyDescent="0.2">
      <c r="H660" s="15"/>
    </row>
    <row r="661" spans="8:8" ht="16" x14ac:dyDescent="0.2">
      <c r="H661" s="15"/>
    </row>
    <row r="662" spans="8:8" ht="16" x14ac:dyDescent="0.2">
      <c r="H662" s="15"/>
    </row>
    <row r="663" spans="8:8" ht="16" x14ac:dyDescent="0.2">
      <c r="H663" s="15"/>
    </row>
    <row r="664" spans="8:8" ht="16" x14ac:dyDescent="0.2">
      <c r="H664" s="15"/>
    </row>
    <row r="665" spans="8:8" ht="16" x14ac:dyDescent="0.2">
      <c r="H665" s="15"/>
    </row>
    <row r="666" spans="8:8" ht="16" x14ac:dyDescent="0.2">
      <c r="H666" s="15"/>
    </row>
    <row r="667" spans="8:8" ht="16" x14ac:dyDescent="0.2">
      <c r="H667" s="15"/>
    </row>
    <row r="668" spans="8:8" ht="16" x14ac:dyDescent="0.2">
      <c r="H668" s="15"/>
    </row>
    <row r="669" spans="8:8" ht="16" x14ac:dyDescent="0.2">
      <c r="H669" s="15"/>
    </row>
    <row r="670" spans="8:8" ht="16" x14ac:dyDescent="0.2">
      <c r="H670" s="15"/>
    </row>
    <row r="671" spans="8:8" ht="16" x14ac:dyDescent="0.2">
      <c r="H671" s="15"/>
    </row>
    <row r="672" spans="8:8" ht="16" x14ac:dyDescent="0.2">
      <c r="H672" s="15"/>
    </row>
    <row r="673" spans="8:8" ht="16" x14ac:dyDescent="0.2">
      <c r="H673" s="15"/>
    </row>
    <row r="674" spans="8:8" ht="16" x14ac:dyDescent="0.2">
      <c r="H674" s="15"/>
    </row>
    <row r="675" spans="8:8" ht="16" x14ac:dyDescent="0.2">
      <c r="H675" s="15"/>
    </row>
    <row r="676" spans="8:8" ht="16" x14ac:dyDescent="0.2">
      <c r="H676" s="15"/>
    </row>
    <row r="677" spans="8:8" ht="16" x14ac:dyDescent="0.2">
      <c r="H677" s="15"/>
    </row>
    <row r="678" spans="8:8" ht="16" x14ac:dyDescent="0.2">
      <c r="H678" s="15"/>
    </row>
    <row r="679" spans="8:8" ht="16" x14ac:dyDescent="0.2">
      <c r="H679" s="15"/>
    </row>
    <row r="680" spans="8:8" ht="16" x14ac:dyDescent="0.2">
      <c r="H680" s="15"/>
    </row>
    <row r="681" spans="8:8" ht="16" x14ac:dyDescent="0.2">
      <c r="H681" s="15"/>
    </row>
    <row r="682" spans="8:8" ht="16" x14ac:dyDescent="0.2">
      <c r="H682" s="15"/>
    </row>
    <row r="683" spans="8:8" ht="16" x14ac:dyDescent="0.2">
      <c r="H683" s="15"/>
    </row>
    <row r="684" spans="8:8" ht="16" x14ac:dyDescent="0.2">
      <c r="H684" s="15"/>
    </row>
    <row r="685" spans="8:8" ht="16" x14ac:dyDescent="0.2">
      <c r="H685" s="15"/>
    </row>
    <row r="686" spans="8:8" ht="16" x14ac:dyDescent="0.2">
      <c r="H686" s="15"/>
    </row>
    <row r="687" spans="8:8" ht="16" x14ac:dyDescent="0.2">
      <c r="H687" s="15"/>
    </row>
    <row r="688" spans="8:8" ht="16" x14ac:dyDescent="0.2">
      <c r="H688" s="15"/>
    </row>
    <row r="689" spans="8:8" ht="16" x14ac:dyDescent="0.2">
      <c r="H689" s="15"/>
    </row>
    <row r="690" spans="8:8" ht="16" x14ac:dyDescent="0.2">
      <c r="H690" s="15"/>
    </row>
    <row r="691" spans="8:8" ht="16" x14ac:dyDescent="0.2">
      <c r="H691" s="15"/>
    </row>
    <row r="692" spans="8:8" ht="16" x14ac:dyDescent="0.2">
      <c r="H692" s="15"/>
    </row>
    <row r="693" spans="8:8" ht="16" x14ac:dyDescent="0.2">
      <c r="H693" s="15"/>
    </row>
    <row r="694" spans="8:8" ht="16" x14ac:dyDescent="0.2">
      <c r="H694" s="15"/>
    </row>
    <row r="695" spans="8:8" ht="16" x14ac:dyDescent="0.2">
      <c r="H695" s="15"/>
    </row>
    <row r="696" spans="8:8" ht="16" x14ac:dyDescent="0.2">
      <c r="H696" s="15"/>
    </row>
    <row r="697" spans="8:8" ht="16" x14ac:dyDescent="0.2">
      <c r="H697" s="15"/>
    </row>
    <row r="698" spans="8:8" ht="16" x14ac:dyDescent="0.2">
      <c r="H698" s="15"/>
    </row>
    <row r="699" spans="8:8" ht="16" x14ac:dyDescent="0.2">
      <c r="H699" s="15"/>
    </row>
    <row r="700" spans="8:8" ht="16" x14ac:dyDescent="0.2">
      <c r="H700" s="15"/>
    </row>
    <row r="701" spans="8:8" ht="16" x14ac:dyDescent="0.2">
      <c r="H701" s="15"/>
    </row>
    <row r="702" spans="8:8" ht="16" x14ac:dyDescent="0.2">
      <c r="H702" s="15"/>
    </row>
    <row r="703" spans="8:8" ht="16" x14ac:dyDescent="0.2">
      <c r="H703" s="15"/>
    </row>
    <row r="704" spans="8:8" ht="16" x14ac:dyDescent="0.2">
      <c r="H704" s="15"/>
    </row>
    <row r="705" spans="8:8" ht="16" x14ac:dyDescent="0.2">
      <c r="H705" s="15"/>
    </row>
    <row r="706" spans="8:8" ht="16" x14ac:dyDescent="0.2">
      <c r="H706" s="15"/>
    </row>
    <row r="707" spans="8:8" ht="16" x14ac:dyDescent="0.2">
      <c r="H707" s="15"/>
    </row>
    <row r="708" spans="8:8" ht="16" x14ac:dyDescent="0.2">
      <c r="H708" s="15"/>
    </row>
    <row r="709" spans="8:8" ht="16" x14ac:dyDescent="0.2">
      <c r="H709" s="15"/>
    </row>
    <row r="710" spans="8:8" ht="16" x14ac:dyDescent="0.2">
      <c r="H710" s="15"/>
    </row>
    <row r="711" spans="8:8" ht="16" x14ac:dyDescent="0.2">
      <c r="H711" s="15"/>
    </row>
    <row r="712" spans="8:8" ht="16" x14ac:dyDescent="0.2">
      <c r="H712" s="15"/>
    </row>
    <row r="713" spans="8:8" ht="16" x14ac:dyDescent="0.2">
      <c r="H713" s="15"/>
    </row>
    <row r="714" spans="8:8" ht="16" x14ac:dyDescent="0.2">
      <c r="H714" s="15"/>
    </row>
    <row r="715" spans="8:8" ht="16" x14ac:dyDescent="0.2">
      <c r="H715" s="15"/>
    </row>
    <row r="716" spans="8:8" ht="16" x14ac:dyDescent="0.2">
      <c r="H716" s="15"/>
    </row>
    <row r="717" spans="8:8" ht="16" x14ac:dyDescent="0.2">
      <c r="H717" s="15"/>
    </row>
    <row r="718" spans="8:8" ht="16" x14ac:dyDescent="0.2">
      <c r="H718" s="15"/>
    </row>
    <row r="719" spans="8:8" ht="16" x14ac:dyDescent="0.2">
      <c r="H719" s="15"/>
    </row>
    <row r="720" spans="8:8" ht="16" x14ac:dyDescent="0.2">
      <c r="H720" s="15"/>
    </row>
    <row r="721" spans="8:8" ht="16" x14ac:dyDescent="0.2">
      <c r="H721" s="15"/>
    </row>
    <row r="722" spans="8:8" ht="16" x14ac:dyDescent="0.2">
      <c r="H722" s="15"/>
    </row>
    <row r="723" spans="8:8" ht="16" x14ac:dyDescent="0.2">
      <c r="H723" s="15"/>
    </row>
    <row r="724" spans="8:8" ht="16" x14ac:dyDescent="0.2">
      <c r="H724" s="15"/>
    </row>
    <row r="725" spans="8:8" ht="16" x14ac:dyDescent="0.2">
      <c r="H725" s="15"/>
    </row>
    <row r="726" spans="8:8" ht="16" x14ac:dyDescent="0.2">
      <c r="H726" s="15"/>
    </row>
    <row r="727" spans="8:8" ht="16" x14ac:dyDescent="0.2">
      <c r="H727" s="15"/>
    </row>
    <row r="728" spans="8:8" ht="16" x14ac:dyDescent="0.2">
      <c r="H728" s="15"/>
    </row>
    <row r="729" spans="8:8" ht="16" x14ac:dyDescent="0.2">
      <c r="H729" s="15"/>
    </row>
    <row r="730" spans="8:8" ht="16" x14ac:dyDescent="0.2">
      <c r="H730" s="15"/>
    </row>
    <row r="731" spans="8:8" ht="16" x14ac:dyDescent="0.2">
      <c r="H731" s="15"/>
    </row>
    <row r="732" spans="8:8" ht="16" x14ac:dyDescent="0.2">
      <c r="H732" s="15"/>
    </row>
    <row r="733" spans="8:8" ht="16" x14ac:dyDescent="0.2">
      <c r="H733" s="15"/>
    </row>
    <row r="734" spans="8:8" ht="16" x14ac:dyDescent="0.2">
      <c r="H734" s="15"/>
    </row>
    <row r="735" spans="8:8" ht="16" x14ac:dyDescent="0.2">
      <c r="H735" s="15"/>
    </row>
    <row r="736" spans="8:8" ht="16" x14ac:dyDescent="0.2">
      <c r="H736" s="15"/>
    </row>
    <row r="737" spans="8:8" ht="16" x14ac:dyDescent="0.2">
      <c r="H737" s="15"/>
    </row>
    <row r="738" spans="8:8" ht="16" x14ac:dyDescent="0.2">
      <c r="H738" s="15"/>
    </row>
    <row r="739" spans="8:8" ht="16" x14ac:dyDescent="0.2">
      <c r="H739" s="15"/>
    </row>
    <row r="740" spans="8:8" ht="16" x14ac:dyDescent="0.2">
      <c r="H740" s="15"/>
    </row>
    <row r="741" spans="8:8" ht="16" x14ac:dyDescent="0.2">
      <c r="H741" s="15"/>
    </row>
    <row r="742" spans="8:8" ht="16" x14ac:dyDescent="0.2">
      <c r="H742" s="15"/>
    </row>
    <row r="743" spans="8:8" ht="16" x14ac:dyDescent="0.2">
      <c r="H743" s="15"/>
    </row>
    <row r="744" spans="8:8" ht="16" x14ac:dyDescent="0.2">
      <c r="H744" s="15"/>
    </row>
    <row r="745" spans="8:8" ht="16" x14ac:dyDescent="0.2">
      <c r="H745" s="15"/>
    </row>
    <row r="746" spans="8:8" ht="16" x14ac:dyDescent="0.2">
      <c r="H746" s="15"/>
    </row>
    <row r="747" spans="8:8" ht="16" x14ac:dyDescent="0.2">
      <c r="H747" s="15"/>
    </row>
    <row r="748" spans="8:8" ht="16" x14ac:dyDescent="0.2">
      <c r="H748" s="15"/>
    </row>
    <row r="749" spans="8:8" ht="16" x14ac:dyDescent="0.2">
      <c r="H749" s="15"/>
    </row>
    <row r="750" spans="8:8" ht="16" x14ac:dyDescent="0.2">
      <c r="H750" s="15"/>
    </row>
    <row r="751" spans="8:8" ht="16" x14ac:dyDescent="0.2">
      <c r="H751" s="15"/>
    </row>
    <row r="752" spans="8:8" ht="16" x14ac:dyDescent="0.2">
      <c r="H752" s="15"/>
    </row>
    <row r="753" spans="8:8" ht="16" x14ac:dyDescent="0.2">
      <c r="H753" s="15"/>
    </row>
    <row r="754" spans="8:8" ht="16" x14ac:dyDescent="0.2">
      <c r="H754" s="15"/>
    </row>
    <row r="755" spans="8:8" ht="16" x14ac:dyDescent="0.2">
      <c r="H755" s="15"/>
    </row>
    <row r="756" spans="8:8" ht="16" x14ac:dyDescent="0.2">
      <c r="H756" s="15"/>
    </row>
    <row r="757" spans="8:8" ht="16" x14ac:dyDescent="0.2">
      <c r="H757" s="15"/>
    </row>
    <row r="758" spans="8:8" ht="16" x14ac:dyDescent="0.2">
      <c r="H758" s="15"/>
    </row>
    <row r="759" spans="8:8" ht="16" x14ac:dyDescent="0.2">
      <c r="H759" s="15"/>
    </row>
    <row r="760" spans="8:8" ht="16" x14ac:dyDescent="0.2">
      <c r="H760" s="15"/>
    </row>
    <row r="761" spans="8:8" ht="16" x14ac:dyDescent="0.2">
      <c r="H761" s="15"/>
    </row>
    <row r="762" spans="8:8" ht="16" x14ac:dyDescent="0.2">
      <c r="H762" s="15"/>
    </row>
    <row r="763" spans="8:8" ht="16" x14ac:dyDescent="0.2">
      <c r="H763" s="15"/>
    </row>
    <row r="764" spans="8:8" ht="16" x14ac:dyDescent="0.2">
      <c r="H764" s="15"/>
    </row>
    <row r="765" spans="8:8" ht="16" x14ac:dyDescent="0.2">
      <c r="H765" s="15"/>
    </row>
    <row r="766" spans="8:8" ht="16" x14ac:dyDescent="0.2">
      <c r="H766" s="15"/>
    </row>
    <row r="767" spans="8:8" ht="16" x14ac:dyDescent="0.2">
      <c r="H767" s="15"/>
    </row>
    <row r="768" spans="8:8" ht="16" x14ac:dyDescent="0.2">
      <c r="H768" s="15"/>
    </row>
    <row r="769" spans="8:8" ht="16" x14ac:dyDescent="0.2">
      <c r="H769" s="15"/>
    </row>
    <row r="770" spans="8:8" ht="16" x14ac:dyDescent="0.2">
      <c r="H770" s="15"/>
    </row>
    <row r="771" spans="8:8" ht="16" x14ac:dyDescent="0.2">
      <c r="H771" s="15"/>
    </row>
    <row r="772" spans="8:8" ht="16" x14ac:dyDescent="0.2">
      <c r="H772" s="15"/>
    </row>
    <row r="773" spans="8:8" ht="16" x14ac:dyDescent="0.2">
      <c r="H773" s="15"/>
    </row>
    <row r="774" spans="8:8" ht="16" x14ac:dyDescent="0.2">
      <c r="H774" s="15"/>
    </row>
    <row r="775" spans="8:8" ht="16" x14ac:dyDescent="0.2">
      <c r="H775" s="15"/>
    </row>
    <row r="776" spans="8:8" ht="16" x14ac:dyDescent="0.2">
      <c r="H776" s="15"/>
    </row>
    <row r="777" spans="8:8" ht="16" x14ac:dyDescent="0.2">
      <c r="H777" s="15"/>
    </row>
    <row r="778" spans="8:8" ht="16" x14ac:dyDescent="0.2">
      <c r="H778" s="15"/>
    </row>
    <row r="779" spans="8:8" ht="16" x14ac:dyDescent="0.2">
      <c r="H779" s="15"/>
    </row>
    <row r="780" spans="8:8" ht="16" x14ac:dyDescent="0.2">
      <c r="H780" s="15"/>
    </row>
    <row r="781" spans="8:8" ht="16" x14ac:dyDescent="0.2">
      <c r="H781" s="15"/>
    </row>
    <row r="782" spans="8:8" ht="16" x14ac:dyDescent="0.2">
      <c r="H782" s="15"/>
    </row>
    <row r="783" spans="8:8" ht="16" x14ac:dyDescent="0.2">
      <c r="H783" s="15"/>
    </row>
    <row r="784" spans="8:8" ht="16" x14ac:dyDescent="0.2">
      <c r="H784" s="15"/>
    </row>
    <row r="785" spans="8:8" ht="16" x14ac:dyDescent="0.2">
      <c r="H785" s="15"/>
    </row>
    <row r="786" spans="8:8" ht="16" x14ac:dyDescent="0.2">
      <c r="H786" s="15"/>
    </row>
    <row r="787" spans="8:8" ht="16" x14ac:dyDescent="0.2">
      <c r="H787" s="15"/>
    </row>
    <row r="788" spans="8:8" ht="16" x14ac:dyDescent="0.2">
      <c r="H788" s="15"/>
    </row>
    <row r="789" spans="8:8" ht="16" x14ac:dyDescent="0.2">
      <c r="H789" s="15"/>
    </row>
    <row r="790" spans="8:8" ht="16" x14ac:dyDescent="0.2">
      <c r="H790" s="15"/>
    </row>
    <row r="791" spans="8:8" ht="16" x14ac:dyDescent="0.2">
      <c r="H791" s="15"/>
    </row>
    <row r="792" spans="8:8" ht="16" x14ac:dyDescent="0.2">
      <c r="H792" s="15"/>
    </row>
    <row r="793" spans="8:8" ht="16" x14ac:dyDescent="0.2">
      <c r="H793" s="15"/>
    </row>
    <row r="794" spans="8:8" ht="16" x14ac:dyDescent="0.2">
      <c r="H794" s="15"/>
    </row>
    <row r="795" spans="8:8" ht="16" x14ac:dyDescent="0.2">
      <c r="H795" s="15"/>
    </row>
    <row r="796" spans="8:8" ht="16" x14ac:dyDescent="0.2">
      <c r="H796" s="15"/>
    </row>
    <row r="797" spans="8:8" ht="16" x14ac:dyDescent="0.2">
      <c r="H797" s="15"/>
    </row>
    <row r="798" spans="8:8" ht="16" x14ac:dyDescent="0.2">
      <c r="H798" s="15"/>
    </row>
    <row r="799" spans="8:8" ht="16" x14ac:dyDescent="0.2">
      <c r="H799" s="15"/>
    </row>
    <row r="800" spans="8:8" ht="16" x14ac:dyDescent="0.2">
      <c r="H800" s="15"/>
    </row>
    <row r="801" spans="8:8" ht="16" x14ac:dyDescent="0.2">
      <c r="H801" s="15"/>
    </row>
    <row r="802" spans="8:8" ht="16" x14ac:dyDescent="0.2">
      <c r="H802" s="15"/>
    </row>
    <row r="803" spans="8:8" ht="16" x14ac:dyDescent="0.2">
      <c r="H803" s="15"/>
    </row>
    <row r="804" spans="8:8" ht="16" x14ac:dyDescent="0.2">
      <c r="H804" s="15"/>
    </row>
    <row r="805" spans="8:8" ht="16" x14ac:dyDescent="0.2">
      <c r="H805" s="15"/>
    </row>
    <row r="806" spans="8:8" ht="16" x14ac:dyDescent="0.2">
      <c r="H806" s="15"/>
    </row>
    <row r="807" spans="8:8" ht="16" x14ac:dyDescent="0.2">
      <c r="H807" s="15"/>
    </row>
    <row r="808" spans="8:8" ht="16" x14ac:dyDescent="0.2">
      <c r="H808" s="15"/>
    </row>
    <row r="809" spans="8:8" ht="16" x14ac:dyDescent="0.2">
      <c r="H809" s="15"/>
    </row>
    <row r="810" spans="8:8" ht="16" x14ac:dyDescent="0.2">
      <c r="H810" s="15"/>
    </row>
    <row r="811" spans="8:8" ht="16" x14ac:dyDescent="0.2">
      <c r="H811" s="15"/>
    </row>
    <row r="812" spans="8:8" ht="16" x14ac:dyDescent="0.2">
      <c r="H812" s="15"/>
    </row>
    <row r="813" spans="8:8" ht="16" x14ac:dyDescent="0.2">
      <c r="H813" s="15"/>
    </row>
    <row r="814" spans="8:8" ht="16" x14ac:dyDescent="0.2">
      <c r="H814" s="15"/>
    </row>
    <row r="815" spans="8:8" ht="16" x14ac:dyDescent="0.2">
      <c r="H815" s="15"/>
    </row>
    <row r="816" spans="8:8" ht="16" x14ac:dyDescent="0.2">
      <c r="H816" s="15"/>
    </row>
    <row r="817" spans="8:8" ht="16" x14ac:dyDescent="0.2">
      <c r="H817" s="15"/>
    </row>
    <row r="818" spans="8:8" ht="16" x14ac:dyDescent="0.2">
      <c r="H818" s="15"/>
    </row>
    <row r="819" spans="8:8" ht="16" x14ac:dyDescent="0.2">
      <c r="H819" s="15"/>
    </row>
    <row r="820" spans="8:8" ht="16" x14ac:dyDescent="0.2">
      <c r="H820" s="15"/>
    </row>
    <row r="821" spans="8:8" ht="16" x14ac:dyDescent="0.2">
      <c r="H821" s="15"/>
    </row>
    <row r="822" spans="8:8" ht="16" x14ac:dyDescent="0.2">
      <c r="H822" s="15"/>
    </row>
    <row r="823" spans="8:8" ht="16" x14ac:dyDescent="0.2">
      <c r="H823" s="15"/>
    </row>
    <row r="824" spans="8:8" ht="16" x14ac:dyDescent="0.2">
      <c r="H824" s="15"/>
    </row>
    <row r="825" spans="8:8" ht="16" x14ac:dyDescent="0.2">
      <c r="H825" s="15"/>
    </row>
    <row r="826" spans="8:8" ht="16" x14ac:dyDescent="0.2">
      <c r="H826" s="15"/>
    </row>
    <row r="827" spans="8:8" ht="16" x14ac:dyDescent="0.2">
      <c r="H827" s="15"/>
    </row>
    <row r="828" spans="8:8" ht="16" x14ac:dyDescent="0.2">
      <c r="H828" s="15"/>
    </row>
    <row r="829" spans="8:8" ht="16" x14ac:dyDescent="0.2">
      <c r="H829" s="15"/>
    </row>
    <row r="830" spans="8:8" ht="16" x14ac:dyDescent="0.2">
      <c r="H830" s="15"/>
    </row>
    <row r="831" spans="8:8" ht="16" x14ac:dyDescent="0.2">
      <c r="H831" s="15"/>
    </row>
    <row r="832" spans="8:8" ht="16" x14ac:dyDescent="0.2">
      <c r="H832" s="15"/>
    </row>
    <row r="833" spans="8:8" ht="16" x14ac:dyDescent="0.2">
      <c r="H833" s="15"/>
    </row>
    <row r="834" spans="8:8" ht="16" x14ac:dyDescent="0.2">
      <c r="H834" s="15"/>
    </row>
    <row r="835" spans="8:8" ht="16" x14ac:dyDescent="0.2">
      <c r="H835" s="15"/>
    </row>
    <row r="836" spans="8:8" ht="16" x14ac:dyDescent="0.2">
      <c r="H836" s="15"/>
    </row>
    <row r="837" spans="8:8" ht="16" x14ac:dyDescent="0.2">
      <c r="H837" s="15"/>
    </row>
    <row r="838" spans="8:8" ht="16" x14ac:dyDescent="0.2">
      <c r="H838" s="15"/>
    </row>
    <row r="839" spans="8:8" ht="16" x14ac:dyDescent="0.2">
      <c r="H839" s="15"/>
    </row>
    <row r="840" spans="8:8" ht="16" x14ac:dyDescent="0.2">
      <c r="H840" s="15"/>
    </row>
    <row r="841" spans="8:8" ht="16" x14ac:dyDescent="0.2">
      <c r="H841" s="15"/>
    </row>
    <row r="842" spans="8:8" ht="16" x14ac:dyDescent="0.2">
      <c r="H842" s="15"/>
    </row>
    <row r="843" spans="8:8" ht="16" x14ac:dyDescent="0.2">
      <c r="H843" s="15"/>
    </row>
    <row r="844" spans="8:8" ht="16" x14ac:dyDescent="0.2">
      <c r="H844" s="15"/>
    </row>
    <row r="845" spans="8:8" ht="16" x14ac:dyDescent="0.2">
      <c r="H845" s="15"/>
    </row>
    <row r="846" spans="8:8" ht="16" x14ac:dyDescent="0.2">
      <c r="H846" s="15"/>
    </row>
    <row r="847" spans="8:8" ht="16" x14ac:dyDescent="0.2">
      <c r="H847" s="15"/>
    </row>
    <row r="848" spans="8:8" ht="16" x14ac:dyDescent="0.2">
      <c r="H848" s="15"/>
    </row>
    <row r="849" spans="8:8" ht="16" x14ac:dyDescent="0.2">
      <c r="H849" s="15"/>
    </row>
    <row r="850" spans="8:8" ht="16" x14ac:dyDescent="0.2">
      <c r="H850" s="15"/>
    </row>
    <row r="851" spans="8:8" ht="16" x14ac:dyDescent="0.2">
      <c r="H851" s="15"/>
    </row>
    <row r="852" spans="8:8" ht="16" x14ac:dyDescent="0.2">
      <c r="H852" s="15"/>
    </row>
    <row r="853" spans="8:8" ht="16" x14ac:dyDescent="0.2">
      <c r="H853" s="15"/>
    </row>
    <row r="854" spans="8:8" ht="16" x14ac:dyDescent="0.2">
      <c r="H854" s="15"/>
    </row>
    <row r="855" spans="8:8" ht="16" x14ac:dyDescent="0.2">
      <c r="H855" s="15"/>
    </row>
    <row r="856" spans="8:8" ht="16" x14ac:dyDescent="0.2">
      <c r="H856" s="15"/>
    </row>
    <row r="857" spans="8:8" ht="16" x14ac:dyDescent="0.2">
      <c r="H857" s="15"/>
    </row>
    <row r="858" spans="8:8" ht="16" x14ac:dyDescent="0.2">
      <c r="H858" s="15"/>
    </row>
    <row r="859" spans="8:8" ht="16" x14ac:dyDescent="0.2">
      <c r="H859" s="15"/>
    </row>
    <row r="860" spans="8:8" ht="16" x14ac:dyDescent="0.2">
      <c r="H860" s="15"/>
    </row>
    <row r="861" spans="8:8" ht="16" x14ac:dyDescent="0.2">
      <c r="H861" s="15"/>
    </row>
    <row r="862" spans="8:8" ht="16" x14ac:dyDescent="0.2">
      <c r="H862" s="15"/>
    </row>
    <row r="863" spans="8:8" ht="16" x14ac:dyDescent="0.2">
      <c r="H863" s="15"/>
    </row>
    <row r="864" spans="8:8" ht="16" x14ac:dyDescent="0.2">
      <c r="H864" s="15"/>
    </row>
    <row r="865" spans="8:8" ht="16" x14ac:dyDescent="0.2">
      <c r="H865" s="15"/>
    </row>
    <row r="866" spans="8:8" ht="16" x14ac:dyDescent="0.2">
      <c r="H866" s="15"/>
    </row>
    <row r="867" spans="8:8" ht="16" x14ac:dyDescent="0.2">
      <c r="H867" s="15"/>
    </row>
    <row r="868" spans="8:8" ht="16" x14ac:dyDescent="0.2">
      <c r="H868" s="15"/>
    </row>
    <row r="869" spans="8:8" ht="16" x14ac:dyDescent="0.2">
      <c r="H869" s="15"/>
    </row>
    <row r="870" spans="8:8" ht="16" x14ac:dyDescent="0.2">
      <c r="H870" s="15"/>
    </row>
    <row r="871" spans="8:8" ht="16" x14ac:dyDescent="0.2">
      <c r="H871" s="15"/>
    </row>
    <row r="872" spans="8:8" ht="16" x14ac:dyDescent="0.2">
      <c r="H872" s="15"/>
    </row>
    <row r="873" spans="8:8" ht="16" x14ac:dyDescent="0.2">
      <c r="H873" s="15"/>
    </row>
    <row r="874" spans="8:8" ht="16" x14ac:dyDescent="0.2">
      <c r="H874" s="15"/>
    </row>
    <row r="875" spans="8:8" ht="16" x14ac:dyDescent="0.2">
      <c r="H875" s="15"/>
    </row>
    <row r="876" spans="8:8" ht="16" x14ac:dyDescent="0.2">
      <c r="H876" s="15"/>
    </row>
    <row r="877" spans="8:8" ht="16" x14ac:dyDescent="0.2">
      <c r="H877" s="15"/>
    </row>
    <row r="878" spans="8:8" ht="16" x14ac:dyDescent="0.2">
      <c r="H878" s="15"/>
    </row>
    <row r="879" spans="8:8" ht="16" x14ac:dyDescent="0.2">
      <c r="H879" s="15"/>
    </row>
    <row r="880" spans="8:8" ht="16" x14ac:dyDescent="0.2">
      <c r="H880" s="15"/>
    </row>
    <row r="881" spans="8:8" ht="16" x14ac:dyDescent="0.2">
      <c r="H881" s="15"/>
    </row>
    <row r="882" spans="8:8" ht="16" x14ac:dyDescent="0.2">
      <c r="H882" s="15"/>
    </row>
    <row r="883" spans="8:8" ht="16" x14ac:dyDescent="0.2">
      <c r="H883" s="15"/>
    </row>
    <row r="884" spans="8:8" ht="16" x14ac:dyDescent="0.2">
      <c r="H884" s="15"/>
    </row>
    <row r="885" spans="8:8" ht="16" x14ac:dyDescent="0.2">
      <c r="H885" s="15"/>
    </row>
    <row r="886" spans="8:8" ht="16" x14ac:dyDescent="0.2">
      <c r="H886" s="15"/>
    </row>
    <row r="887" spans="8:8" ht="16" x14ac:dyDescent="0.2">
      <c r="H887" s="15"/>
    </row>
    <row r="888" spans="8:8" ht="16" x14ac:dyDescent="0.2">
      <c r="H888" s="15"/>
    </row>
    <row r="889" spans="8:8" ht="16" x14ac:dyDescent="0.2">
      <c r="H889" s="15"/>
    </row>
    <row r="890" spans="8:8" ht="16" x14ac:dyDescent="0.2">
      <c r="H890" s="15"/>
    </row>
    <row r="891" spans="8:8" ht="16" x14ac:dyDescent="0.2">
      <c r="H891" s="15"/>
    </row>
    <row r="892" spans="8:8" ht="16" x14ac:dyDescent="0.2">
      <c r="H892" s="15"/>
    </row>
    <row r="893" spans="8:8" ht="16" x14ac:dyDescent="0.2">
      <c r="H893" s="15"/>
    </row>
    <row r="894" spans="8:8" ht="16" x14ac:dyDescent="0.2">
      <c r="H894" s="15"/>
    </row>
    <row r="895" spans="8:8" ht="16" x14ac:dyDescent="0.2">
      <c r="H895" s="15"/>
    </row>
    <row r="896" spans="8:8" ht="16" x14ac:dyDescent="0.2">
      <c r="H896" s="15"/>
    </row>
    <row r="897" spans="8:8" ht="16" x14ac:dyDescent="0.2">
      <c r="H897" s="15"/>
    </row>
    <row r="898" spans="8:8" ht="16" x14ac:dyDescent="0.2">
      <c r="H898" s="15"/>
    </row>
    <row r="899" spans="8:8" ht="16" x14ac:dyDescent="0.2">
      <c r="H899" s="15"/>
    </row>
    <row r="900" spans="8:8" ht="16" x14ac:dyDescent="0.2">
      <c r="H900" s="15"/>
    </row>
    <row r="901" spans="8:8" ht="16" x14ac:dyDescent="0.2">
      <c r="H901" s="15"/>
    </row>
    <row r="902" spans="8:8" ht="16" x14ac:dyDescent="0.2">
      <c r="H902" s="15"/>
    </row>
    <row r="903" spans="8:8" ht="16" x14ac:dyDescent="0.2">
      <c r="H903" s="15"/>
    </row>
    <row r="904" spans="8:8" ht="16" x14ac:dyDescent="0.2">
      <c r="H904" s="15"/>
    </row>
    <row r="905" spans="8:8" ht="16" x14ac:dyDescent="0.2">
      <c r="H905" s="15"/>
    </row>
    <row r="906" spans="8:8" ht="16" x14ac:dyDescent="0.2">
      <c r="H906" s="15"/>
    </row>
    <row r="907" spans="8:8" ht="16" x14ac:dyDescent="0.2">
      <c r="H907" s="15"/>
    </row>
    <row r="908" spans="8:8" ht="16" x14ac:dyDescent="0.2">
      <c r="H908" s="15"/>
    </row>
    <row r="909" spans="8:8" ht="16" x14ac:dyDescent="0.2">
      <c r="H909" s="15"/>
    </row>
    <row r="910" spans="8:8" ht="16" x14ac:dyDescent="0.2">
      <c r="H910" s="15"/>
    </row>
    <row r="911" spans="8:8" ht="16" x14ac:dyDescent="0.2">
      <c r="H911" s="15"/>
    </row>
    <row r="912" spans="8:8" ht="16" x14ac:dyDescent="0.2">
      <c r="H912" s="15"/>
    </row>
    <row r="913" spans="8:8" ht="16" x14ac:dyDescent="0.2">
      <c r="H913" s="15"/>
    </row>
    <row r="914" spans="8:8" ht="16" x14ac:dyDescent="0.2">
      <c r="H914" s="15"/>
    </row>
    <row r="915" spans="8:8" ht="16" x14ac:dyDescent="0.2">
      <c r="H915" s="15"/>
    </row>
    <row r="916" spans="8:8" ht="16" x14ac:dyDescent="0.2">
      <c r="H916" s="15"/>
    </row>
    <row r="917" spans="8:8" ht="16" x14ac:dyDescent="0.2">
      <c r="H917" s="15"/>
    </row>
    <row r="918" spans="8:8" ht="16" x14ac:dyDescent="0.2">
      <c r="H918" s="15"/>
    </row>
    <row r="919" spans="8:8" ht="16" x14ac:dyDescent="0.2">
      <c r="H919" s="15"/>
    </row>
    <row r="920" spans="8:8" ht="16" x14ac:dyDescent="0.2">
      <c r="H920" s="15"/>
    </row>
    <row r="921" spans="8:8" ht="16" x14ac:dyDescent="0.2">
      <c r="H921" s="15"/>
    </row>
    <row r="922" spans="8:8" ht="16" x14ac:dyDescent="0.2">
      <c r="H922" s="15"/>
    </row>
    <row r="923" spans="8:8" ht="16" x14ac:dyDescent="0.2">
      <c r="H923" s="15"/>
    </row>
    <row r="924" spans="8:8" ht="16" x14ac:dyDescent="0.2">
      <c r="H924" s="15"/>
    </row>
    <row r="925" spans="8:8" ht="16" x14ac:dyDescent="0.2">
      <c r="H925" s="15"/>
    </row>
    <row r="926" spans="8:8" ht="16" x14ac:dyDescent="0.2">
      <c r="H926" s="15"/>
    </row>
    <row r="927" spans="8:8" ht="16" x14ac:dyDescent="0.2">
      <c r="H927" s="15"/>
    </row>
    <row r="928" spans="8:8" ht="16" x14ac:dyDescent="0.2">
      <c r="H928" s="15"/>
    </row>
    <row r="929" spans="8:8" ht="16" x14ac:dyDescent="0.2">
      <c r="H929" s="15"/>
    </row>
    <row r="930" spans="8:8" ht="16" x14ac:dyDescent="0.2">
      <c r="H930" s="15"/>
    </row>
    <row r="931" spans="8:8" ht="16" x14ac:dyDescent="0.2">
      <c r="H931" s="15"/>
    </row>
    <row r="932" spans="8:8" ht="16" x14ac:dyDescent="0.2">
      <c r="H932" s="15"/>
    </row>
    <row r="933" spans="8:8" ht="16" x14ac:dyDescent="0.2">
      <c r="H933" s="15"/>
    </row>
    <row r="934" spans="8:8" ht="16" x14ac:dyDescent="0.2">
      <c r="H934" s="15"/>
    </row>
    <row r="935" spans="8:8" ht="16" x14ac:dyDescent="0.2">
      <c r="H935" s="15"/>
    </row>
    <row r="936" spans="8:8" ht="16" x14ac:dyDescent="0.2">
      <c r="H936" s="15"/>
    </row>
    <row r="937" spans="8:8" ht="16" x14ac:dyDescent="0.2">
      <c r="H937" s="15"/>
    </row>
    <row r="938" spans="8:8" ht="16" x14ac:dyDescent="0.2">
      <c r="H938" s="15"/>
    </row>
    <row r="939" spans="8:8" ht="16" x14ac:dyDescent="0.2">
      <c r="H939" s="15"/>
    </row>
    <row r="940" spans="8:8" ht="16" x14ac:dyDescent="0.2">
      <c r="H940" s="15"/>
    </row>
    <row r="941" spans="8:8" ht="16" x14ac:dyDescent="0.2">
      <c r="H941" s="15"/>
    </row>
    <row r="942" spans="8:8" ht="16" x14ac:dyDescent="0.2">
      <c r="H942" s="15"/>
    </row>
    <row r="943" spans="8:8" ht="16" x14ac:dyDescent="0.2">
      <c r="H943" s="15"/>
    </row>
    <row r="944" spans="8:8" ht="16" x14ac:dyDescent="0.2">
      <c r="H944" s="15"/>
    </row>
    <row r="945" spans="8:8" ht="16" x14ac:dyDescent="0.2">
      <c r="H945" s="15"/>
    </row>
    <row r="946" spans="8:8" ht="16" x14ac:dyDescent="0.2">
      <c r="H946" s="15"/>
    </row>
    <row r="947" spans="8:8" ht="16" x14ac:dyDescent="0.2">
      <c r="H947" s="15"/>
    </row>
    <row r="948" spans="8:8" ht="16" x14ac:dyDescent="0.2">
      <c r="H948" s="15"/>
    </row>
    <row r="949" spans="8:8" ht="16" x14ac:dyDescent="0.2">
      <c r="H949" s="15"/>
    </row>
    <row r="950" spans="8:8" ht="16" x14ac:dyDescent="0.2">
      <c r="H950" s="15"/>
    </row>
    <row r="951" spans="8:8" ht="16" x14ac:dyDescent="0.2">
      <c r="H951" s="15"/>
    </row>
    <row r="952" spans="8:8" ht="16" x14ac:dyDescent="0.2">
      <c r="H952" s="15"/>
    </row>
    <row r="953" spans="8:8" ht="16" x14ac:dyDescent="0.2">
      <c r="H953" s="15"/>
    </row>
    <row r="954" spans="8:8" ht="16" x14ac:dyDescent="0.2">
      <c r="H954" s="15"/>
    </row>
    <row r="955" spans="8:8" ht="16" x14ac:dyDescent="0.2">
      <c r="H955" s="15"/>
    </row>
    <row r="956" spans="8:8" ht="16" x14ac:dyDescent="0.2">
      <c r="H956" s="15"/>
    </row>
    <row r="957" spans="8:8" ht="16" x14ac:dyDescent="0.2">
      <c r="H957" s="15"/>
    </row>
    <row r="958" spans="8:8" ht="16" x14ac:dyDescent="0.2">
      <c r="H958" s="15"/>
    </row>
    <row r="959" spans="8:8" ht="16" x14ac:dyDescent="0.2">
      <c r="H959" s="15"/>
    </row>
    <row r="960" spans="8:8" ht="16" x14ac:dyDescent="0.2">
      <c r="H960" s="15"/>
    </row>
    <row r="961" spans="8:8" ht="16" x14ac:dyDescent="0.2">
      <c r="H961" s="15"/>
    </row>
    <row r="962" spans="8:8" ht="16" x14ac:dyDescent="0.2">
      <c r="H962" s="15"/>
    </row>
    <row r="963" spans="8:8" ht="16" x14ac:dyDescent="0.2">
      <c r="H963" s="15"/>
    </row>
    <row r="964" spans="8:8" ht="16" x14ac:dyDescent="0.2">
      <c r="H964" s="15"/>
    </row>
    <row r="965" spans="8:8" ht="16" x14ac:dyDescent="0.2">
      <c r="H965" s="15"/>
    </row>
    <row r="966" spans="8:8" ht="16" x14ac:dyDescent="0.2">
      <c r="H966" s="15"/>
    </row>
    <row r="967" spans="8:8" ht="16" x14ac:dyDescent="0.2">
      <c r="H967" s="15"/>
    </row>
    <row r="968" spans="8:8" ht="16" x14ac:dyDescent="0.2">
      <c r="H968" s="15"/>
    </row>
    <row r="969" spans="8:8" ht="16" x14ac:dyDescent="0.2">
      <c r="H969" s="15"/>
    </row>
    <row r="970" spans="8:8" ht="16" x14ac:dyDescent="0.2">
      <c r="H970" s="15"/>
    </row>
    <row r="971" spans="8:8" ht="16" x14ac:dyDescent="0.2">
      <c r="H971" s="15"/>
    </row>
    <row r="972" spans="8:8" ht="16" x14ac:dyDescent="0.2">
      <c r="H972" s="15"/>
    </row>
    <row r="973" spans="8:8" ht="16" x14ac:dyDescent="0.2">
      <c r="H973" s="15"/>
    </row>
    <row r="974" spans="8:8" ht="16" x14ac:dyDescent="0.2">
      <c r="H974" s="15"/>
    </row>
    <row r="975" spans="8:8" ht="16" x14ac:dyDescent="0.2">
      <c r="H975" s="15"/>
    </row>
    <row r="976" spans="8:8" ht="16" x14ac:dyDescent="0.2">
      <c r="H976" s="15"/>
    </row>
    <row r="977" spans="8:8" ht="16" x14ac:dyDescent="0.2">
      <c r="H977" s="15"/>
    </row>
    <row r="978" spans="8:8" ht="16" x14ac:dyDescent="0.2">
      <c r="H978" s="15"/>
    </row>
    <row r="979" spans="8:8" ht="16" x14ac:dyDescent="0.2">
      <c r="H979" s="15"/>
    </row>
    <row r="980" spans="8:8" ht="16" x14ac:dyDescent="0.2">
      <c r="H980" s="15"/>
    </row>
    <row r="981" spans="8:8" ht="16" x14ac:dyDescent="0.2">
      <c r="H981" s="15"/>
    </row>
    <row r="982" spans="8:8" ht="16" x14ac:dyDescent="0.2">
      <c r="H982" s="15"/>
    </row>
    <row r="983" spans="8:8" ht="16" x14ac:dyDescent="0.2">
      <c r="H983" s="15"/>
    </row>
    <row r="984" spans="8:8" ht="16" x14ac:dyDescent="0.2">
      <c r="H984" s="15"/>
    </row>
    <row r="985" spans="8:8" ht="16" x14ac:dyDescent="0.2">
      <c r="H985" s="15"/>
    </row>
    <row r="986" spans="8:8" ht="16" x14ac:dyDescent="0.2">
      <c r="H986" s="15"/>
    </row>
    <row r="987" spans="8:8" ht="16" x14ac:dyDescent="0.2">
      <c r="H987" s="15"/>
    </row>
    <row r="988" spans="8:8" ht="16" x14ac:dyDescent="0.2">
      <c r="H988" s="15"/>
    </row>
    <row r="989" spans="8:8" ht="16" x14ac:dyDescent="0.2">
      <c r="H989" s="15"/>
    </row>
    <row r="990" spans="8:8" ht="16" x14ac:dyDescent="0.2">
      <c r="H990" s="15"/>
    </row>
    <row r="991" spans="8:8" ht="16" x14ac:dyDescent="0.2">
      <c r="H991" s="15"/>
    </row>
    <row r="992" spans="8:8" ht="16" x14ac:dyDescent="0.2">
      <c r="H992" s="15"/>
    </row>
    <row r="993" spans="8:8" ht="16" x14ac:dyDescent="0.2">
      <c r="H993" s="15"/>
    </row>
    <row r="994" spans="8:8" ht="16" x14ac:dyDescent="0.2">
      <c r="H994" s="15"/>
    </row>
    <row r="995" spans="8:8" ht="16" x14ac:dyDescent="0.2">
      <c r="H995" s="15"/>
    </row>
    <row r="996" spans="8:8" ht="16" x14ac:dyDescent="0.2">
      <c r="H996" s="15"/>
    </row>
    <row r="997" spans="8:8" ht="16" x14ac:dyDescent="0.2">
      <c r="H997" s="15"/>
    </row>
    <row r="998" spans="8:8" ht="16" x14ac:dyDescent="0.2">
      <c r="H998" s="15"/>
    </row>
    <row r="999" spans="8:8" ht="16" x14ac:dyDescent="0.2">
      <c r="H999" s="15"/>
    </row>
    <row r="1000" spans="8:8" ht="16" x14ac:dyDescent="0.2">
      <c r="H1000" s="15"/>
    </row>
    <row r="1001" spans="8:8" ht="16" x14ac:dyDescent="0.2">
      <c r="H1001" s="15"/>
    </row>
    <row r="1002" spans="8:8" ht="16" x14ac:dyDescent="0.2">
      <c r="H1002" s="15"/>
    </row>
    <row r="1003" spans="8:8" ht="16" x14ac:dyDescent="0.2">
      <c r="H1003" s="15"/>
    </row>
    <row r="1004" spans="8:8" ht="16" x14ac:dyDescent="0.2">
      <c r="H1004" s="15"/>
    </row>
    <row r="1005" spans="8:8" ht="16" x14ac:dyDescent="0.2">
      <c r="H1005" s="15"/>
    </row>
    <row r="1006" spans="8:8" ht="16" x14ac:dyDescent="0.2">
      <c r="H1006" s="15"/>
    </row>
    <row r="1007" spans="8:8" ht="16" x14ac:dyDescent="0.2">
      <c r="H1007" s="15"/>
    </row>
    <row r="1008" spans="8:8" ht="16" x14ac:dyDescent="0.2">
      <c r="H1008" s="15"/>
    </row>
    <row r="1009" spans="8:8" ht="16" x14ac:dyDescent="0.2">
      <c r="H1009" s="15"/>
    </row>
    <row r="1010" spans="8:8" ht="16" x14ac:dyDescent="0.2">
      <c r="H1010" s="15"/>
    </row>
    <row r="1011" spans="8:8" ht="16" x14ac:dyDescent="0.2">
      <c r="H1011" s="15"/>
    </row>
    <row r="1012" spans="8:8" ht="16" x14ac:dyDescent="0.2">
      <c r="H1012" s="15"/>
    </row>
    <row r="1013" spans="8:8" ht="16" x14ac:dyDescent="0.2">
      <c r="H1013" s="15"/>
    </row>
    <row r="1014" spans="8:8" ht="16" x14ac:dyDescent="0.2">
      <c r="H1014" s="15"/>
    </row>
    <row r="1015" spans="8:8" ht="16" x14ac:dyDescent="0.2">
      <c r="H1015" s="15"/>
    </row>
    <row r="1016" spans="8:8" ht="16" x14ac:dyDescent="0.2">
      <c r="H1016" s="15"/>
    </row>
    <row r="1017" spans="8:8" ht="16" x14ac:dyDescent="0.2">
      <c r="H1017" s="15"/>
    </row>
    <row r="1018" spans="8:8" ht="16" x14ac:dyDescent="0.2">
      <c r="H1018" s="15"/>
    </row>
    <row r="1019" spans="8:8" ht="16" x14ac:dyDescent="0.2">
      <c r="H1019" s="15"/>
    </row>
    <row r="1020" spans="8:8" ht="16" x14ac:dyDescent="0.2">
      <c r="H1020" s="15"/>
    </row>
    <row r="1021" spans="8:8" ht="16" x14ac:dyDescent="0.2">
      <c r="H1021" s="15"/>
    </row>
    <row r="1022" spans="8:8" ht="16" x14ac:dyDescent="0.2">
      <c r="H1022" s="15"/>
    </row>
    <row r="1023" spans="8:8" ht="16" x14ac:dyDescent="0.2">
      <c r="H1023" s="15"/>
    </row>
    <row r="1024" spans="8:8" ht="16" x14ac:dyDescent="0.2">
      <c r="H1024" s="15"/>
    </row>
    <row r="1025" spans="8:8" ht="16" x14ac:dyDescent="0.2">
      <c r="H1025" s="15"/>
    </row>
    <row r="1026" spans="8:8" ht="16" x14ac:dyDescent="0.2">
      <c r="H1026" s="15"/>
    </row>
    <row r="1027" spans="8:8" ht="16" x14ac:dyDescent="0.2">
      <c r="H1027" s="15"/>
    </row>
    <row r="1028" spans="8:8" ht="16" x14ac:dyDescent="0.2">
      <c r="H1028" s="15"/>
    </row>
    <row r="1029" spans="8:8" ht="16" x14ac:dyDescent="0.2">
      <c r="H1029" s="15"/>
    </row>
    <row r="1030" spans="8:8" ht="16" x14ac:dyDescent="0.2">
      <c r="H1030" s="15"/>
    </row>
    <row r="1031" spans="8:8" ht="16" x14ac:dyDescent="0.2">
      <c r="H1031" s="15"/>
    </row>
    <row r="1032" spans="8:8" ht="16" x14ac:dyDescent="0.2">
      <c r="H1032" s="15"/>
    </row>
    <row r="1033" spans="8:8" ht="16" x14ac:dyDescent="0.2">
      <c r="H1033" s="15"/>
    </row>
    <row r="1034" spans="8:8" ht="16" x14ac:dyDescent="0.2">
      <c r="H1034" s="15"/>
    </row>
    <row r="1035" spans="8:8" ht="16" x14ac:dyDescent="0.2">
      <c r="H1035" s="15"/>
    </row>
    <row r="1036" spans="8:8" ht="16" x14ac:dyDescent="0.2">
      <c r="H1036" s="15"/>
    </row>
    <row r="1037" spans="8:8" ht="16" x14ac:dyDescent="0.2">
      <c r="H1037" s="15"/>
    </row>
    <row r="1038" spans="8:8" ht="16" x14ac:dyDescent="0.2">
      <c r="H1038" s="15"/>
    </row>
    <row r="1039" spans="8:8" ht="16" x14ac:dyDescent="0.2">
      <c r="H1039" s="15"/>
    </row>
    <row r="1040" spans="8:8" ht="16" x14ac:dyDescent="0.2">
      <c r="H1040" s="15"/>
    </row>
    <row r="1041" spans="8:8" ht="16" x14ac:dyDescent="0.2">
      <c r="H1041" s="15"/>
    </row>
    <row r="1042" spans="8:8" ht="16" x14ac:dyDescent="0.2">
      <c r="H1042" s="15"/>
    </row>
    <row r="1043" spans="8:8" ht="16" x14ac:dyDescent="0.2">
      <c r="H1043" s="15"/>
    </row>
    <row r="1044" spans="8:8" ht="16" x14ac:dyDescent="0.2">
      <c r="H1044" s="15"/>
    </row>
    <row r="1045" spans="8:8" ht="16" x14ac:dyDescent="0.2">
      <c r="H1045" s="15"/>
    </row>
    <row r="1046" spans="8:8" ht="16" x14ac:dyDescent="0.2">
      <c r="H1046" s="15"/>
    </row>
    <row r="1047" spans="8:8" ht="16" x14ac:dyDescent="0.2">
      <c r="H1047" s="15"/>
    </row>
    <row r="1048" spans="8:8" ht="16" x14ac:dyDescent="0.2">
      <c r="H1048" s="15"/>
    </row>
    <row r="1049" spans="8:8" ht="16" x14ac:dyDescent="0.2">
      <c r="H1049" s="15"/>
    </row>
    <row r="1050" spans="8:8" ht="16" x14ac:dyDescent="0.2">
      <c r="H1050" s="15"/>
    </row>
    <row r="1051" spans="8:8" ht="16" x14ac:dyDescent="0.2">
      <c r="H1051" s="15"/>
    </row>
    <row r="1052" spans="8:8" ht="16" x14ac:dyDescent="0.2">
      <c r="H1052" s="15"/>
    </row>
    <row r="1053" spans="8:8" ht="16" x14ac:dyDescent="0.2">
      <c r="H1053" s="15"/>
    </row>
    <row r="1054" spans="8:8" ht="16" x14ac:dyDescent="0.2">
      <c r="H1054" s="15"/>
    </row>
    <row r="1055" spans="8:8" ht="16" x14ac:dyDescent="0.2">
      <c r="H1055" s="15"/>
    </row>
    <row r="1056" spans="8:8" ht="16" x14ac:dyDescent="0.2">
      <c r="H1056" s="15"/>
    </row>
    <row r="1057" spans="8:8" ht="16" x14ac:dyDescent="0.2">
      <c r="H1057" s="15"/>
    </row>
    <row r="1058" spans="8:8" ht="16" x14ac:dyDescent="0.2">
      <c r="H1058" s="15"/>
    </row>
    <row r="1059" spans="8:8" ht="16" x14ac:dyDescent="0.2">
      <c r="H1059" s="15"/>
    </row>
    <row r="1060" spans="8:8" ht="16" x14ac:dyDescent="0.2">
      <c r="H1060" s="15"/>
    </row>
    <row r="1061" spans="8:8" ht="16" x14ac:dyDescent="0.2">
      <c r="H1061" s="15"/>
    </row>
    <row r="1062" spans="8:8" ht="16" x14ac:dyDescent="0.2">
      <c r="H1062" s="15"/>
    </row>
    <row r="1063" spans="8:8" ht="16" x14ac:dyDescent="0.2">
      <c r="H1063" s="15"/>
    </row>
    <row r="1064" spans="8:8" ht="16" x14ac:dyDescent="0.2">
      <c r="H1064" s="15"/>
    </row>
    <row r="1065" spans="8:8" ht="16" x14ac:dyDescent="0.2">
      <c r="H1065" s="15"/>
    </row>
    <row r="1066" spans="8:8" ht="16" x14ac:dyDescent="0.2">
      <c r="H1066" s="15"/>
    </row>
    <row r="1067" spans="8:8" ht="16" x14ac:dyDescent="0.2">
      <c r="H1067" s="15"/>
    </row>
    <row r="1068" spans="8:8" ht="16" x14ac:dyDescent="0.2">
      <c r="H1068" s="15"/>
    </row>
    <row r="1069" spans="8:8" ht="16" x14ac:dyDescent="0.2">
      <c r="H1069" s="15"/>
    </row>
    <row r="1070" spans="8:8" ht="16" x14ac:dyDescent="0.2">
      <c r="H1070" s="15"/>
    </row>
    <row r="1071" spans="8:8" ht="16" x14ac:dyDescent="0.2">
      <c r="H1071" s="15"/>
    </row>
    <row r="1072" spans="8:8" ht="16" x14ac:dyDescent="0.2">
      <c r="H1072" s="15"/>
    </row>
    <row r="1073" spans="8:8" ht="16" x14ac:dyDescent="0.2">
      <c r="H1073" s="15"/>
    </row>
    <row r="1074" spans="8:8" ht="16" x14ac:dyDescent="0.2">
      <c r="H1074" s="15"/>
    </row>
    <row r="1075" spans="8:8" ht="16" x14ac:dyDescent="0.2">
      <c r="H1075" s="15"/>
    </row>
    <row r="1076" spans="8:8" ht="16" x14ac:dyDescent="0.2">
      <c r="H1076" s="15"/>
    </row>
    <row r="1077" spans="8:8" ht="16" x14ac:dyDescent="0.2">
      <c r="H1077" s="15"/>
    </row>
    <row r="1078" spans="8:8" ht="16" x14ac:dyDescent="0.2">
      <c r="H1078" s="15"/>
    </row>
    <row r="1079" spans="8:8" ht="16" x14ac:dyDescent="0.2">
      <c r="H1079" s="15"/>
    </row>
    <row r="1080" spans="8:8" ht="16" x14ac:dyDescent="0.2">
      <c r="H1080" s="15"/>
    </row>
    <row r="1081" spans="8:8" ht="16" x14ac:dyDescent="0.2">
      <c r="H1081" s="15"/>
    </row>
    <row r="1082" spans="8:8" ht="16" x14ac:dyDescent="0.2">
      <c r="H1082" s="15"/>
    </row>
    <row r="1083" spans="8:8" ht="16" x14ac:dyDescent="0.2">
      <c r="H1083" s="15"/>
    </row>
    <row r="1084" spans="8:8" ht="16" x14ac:dyDescent="0.2">
      <c r="H1084" s="15"/>
    </row>
    <row r="1085" spans="8:8" ht="16" x14ac:dyDescent="0.2">
      <c r="H1085" s="15"/>
    </row>
    <row r="1086" spans="8:8" ht="16" x14ac:dyDescent="0.2">
      <c r="H1086" s="15"/>
    </row>
    <row r="1087" spans="8:8" ht="16" x14ac:dyDescent="0.2">
      <c r="H1087" s="15"/>
    </row>
    <row r="1088" spans="8:8" ht="16" x14ac:dyDescent="0.2">
      <c r="H1088" s="15"/>
    </row>
    <row r="1089" spans="8:8" ht="16" x14ac:dyDescent="0.2">
      <c r="H1089" s="15"/>
    </row>
    <row r="1090" spans="8:8" ht="16" x14ac:dyDescent="0.2">
      <c r="H1090" s="15"/>
    </row>
    <row r="1091" spans="8:8" ht="16" x14ac:dyDescent="0.2">
      <c r="H1091" s="15"/>
    </row>
    <row r="1092" spans="8:8" ht="16" x14ac:dyDescent="0.2">
      <c r="H1092" s="15"/>
    </row>
    <row r="1093" spans="8:8" ht="16" x14ac:dyDescent="0.2">
      <c r="H1093" s="15"/>
    </row>
    <row r="1094" spans="8:8" ht="16" x14ac:dyDescent="0.2">
      <c r="H1094" s="15"/>
    </row>
    <row r="1095" spans="8:8" ht="16" x14ac:dyDescent="0.2">
      <c r="H1095" s="15"/>
    </row>
    <row r="1096" spans="8:8" ht="16" x14ac:dyDescent="0.2">
      <c r="H1096" s="15"/>
    </row>
    <row r="1097" spans="8:8" ht="16" x14ac:dyDescent="0.2">
      <c r="H1097" s="15"/>
    </row>
    <row r="1098" spans="8:8" ht="16" x14ac:dyDescent="0.2">
      <c r="H1098" s="15"/>
    </row>
    <row r="1099" spans="8:8" ht="16" x14ac:dyDescent="0.2">
      <c r="H1099" s="15"/>
    </row>
    <row r="1100" spans="8:8" ht="16" x14ac:dyDescent="0.2">
      <c r="H1100" s="15"/>
    </row>
    <row r="1101" spans="8:8" ht="16" x14ac:dyDescent="0.2">
      <c r="H1101" s="15"/>
    </row>
    <row r="1102" spans="8:8" ht="16" x14ac:dyDescent="0.2">
      <c r="H1102" s="15"/>
    </row>
    <row r="1103" spans="8:8" ht="16" x14ac:dyDescent="0.2">
      <c r="H1103" s="15"/>
    </row>
    <row r="1104" spans="8:8" ht="16" x14ac:dyDescent="0.2">
      <c r="H1104" s="15"/>
    </row>
    <row r="1105" spans="8:8" ht="16" x14ac:dyDescent="0.2">
      <c r="H1105" s="15"/>
    </row>
    <row r="1106" spans="8:8" ht="16" x14ac:dyDescent="0.2">
      <c r="H1106" s="15"/>
    </row>
    <row r="1107" spans="8:8" ht="16" x14ac:dyDescent="0.2">
      <c r="H1107" s="15"/>
    </row>
    <row r="1108" spans="8:8" ht="16" x14ac:dyDescent="0.2">
      <c r="H1108" s="15"/>
    </row>
    <row r="1109" spans="8:8" ht="16" x14ac:dyDescent="0.2">
      <c r="H1109" s="15"/>
    </row>
    <row r="1110" spans="8:8" ht="16" x14ac:dyDescent="0.2">
      <c r="H1110" s="15"/>
    </row>
    <row r="1111" spans="8:8" ht="16" x14ac:dyDescent="0.2">
      <c r="H1111" s="15"/>
    </row>
    <row r="1112" spans="8:8" ht="16" x14ac:dyDescent="0.2">
      <c r="H1112" s="15"/>
    </row>
    <row r="1113" spans="8:8" ht="16" x14ac:dyDescent="0.2">
      <c r="H1113" s="15"/>
    </row>
    <row r="1114" spans="8:8" ht="16" x14ac:dyDescent="0.2">
      <c r="H1114" s="15"/>
    </row>
    <row r="1115" spans="8:8" ht="16" x14ac:dyDescent="0.2">
      <c r="H1115" s="15"/>
    </row>
    <row r="1116" spans="8:8" ht="16" x14ac:dyDescent="0.2">
      <c r="H1116" s="15"/>
    </row>
    <row r="1117" spans="8:8" ht="16" x14ac:dyDescent="0.2">
      <c r="H1117" s="15"/>
    </row>
    <row r="1118" spans="8:8" ht="16" x14ac:dyDescent="0.2">
      <c r="H1118" s="15"/>
    </row>
    <row r="1119" spans="8:8" ht="16" x14ac:dyDescent="0.2">
      <c r="H1119" s="15"/>
    </row>
    <row r="1120" spans="8:8" ht="16" x14ac:dyDescent="0.2">
      <c r="H1120" s="15"/>
    </row>
    <row r="1121" spans="8:8" ht="16" x14ac:dyDescent="0.2">
      <c r="H1121" s="15"/>
    </row>
    <row r="1122" spans="8:8" ht="16" x14ac:dyDescent="0.2">
      <c r="H1122" s="15"/>
    </row>
    <row r="1123" spans="8:8" ht="16" x14ac:dyDescent="0.2">
      <c r="H1123" s="15"/>
    </row>
    <row r="1124" spans="8:8" ht="16" x14ac:dyDescent="0.2">
      <c r="H1124" s="15"/>
    </row>
    <row r="1125" spans="8:8" ht="16" x14ac:dyDescent="0.2">
      <c r="H1125" s="15"/>
    </row>
    <row r="1126" spans="8:8" ht="16" x14ac:dyDescent="0.2">
      <c r="H1126" s="15"/>
    </row>
    <row r="1127" spans="8:8" ht="16" x14ac:dyDescent="0.2">
      <c r="H1127" s="15"/>
    </row>
    <row r="1128" spans="8:8" ht="16" x14ac:dyDescent="0.2">
      <c r="H1128" s="15"/>
    </row>
    <row r="1129" spans="8:8" ht="16" x14ac:dyDescent="0.2">
      <c r="H1129" s="15"/>
    </row>
    <row r="1130" spans="8:8" ht="16" x14ac:dyDescent="0.2">
      <c r="H1130" s="15"/>
    </row>
    <row r="1131" spans="8:8" ht="16" x14ac:dyDescent="0.2">
      <c r="H1131" s="15"/>
    </row>
    <row r="1132" spans="8:8" ht="16" x14ac:dyDescent="0.2">
      <c r="H1132" s="15"/>
    </row>
    <row r="1133" spans="8:8" ht="16" x14ac:dyDescent="0.2">
      <c r="H1133" s="15"/>
    </row>
    <row r="1134" spans="8:8" ht="16" x14ac:dyDescent="0.2">
      <c r="H1134" s="15"/>
    </row>
    <row r="1135" spans="8:8" ht="16" x14ac:dyDescent="0.2">
      <c r="H1135" s="15"/>
    </row>
    <row r="1136" spans="8:8" ht="16" x14ac:dyDescent="0.2">
      <c r="H1136" s="15"/>
    </row>
    <row r="1137" spans="8:8" ht="16" x14ac:dyDescent="0.2">
      <c r="H1137" s="15"/>
    </row>
    <row r="1138" spans="8:8" ht="16" x14ac:dyDescent="0.2">
      <c r="H1138" s="15"/>
    </row>
    <row r="1139" spans="8:8" ht="16" x14ac:dyDescent="0.2">
      <c r="H1139" s="15"/>
    </row>
    <row r="1140" spans="8:8" ht="16" x14ac:dyDescent="0.2">
      <c r="H1140" s="15"/>
    </row>
  </sheetData>
  <sortState xmlns:xlrd2="http://schemas.microsoft.com/office/spreadsheetml/2017/richdata2" ref="A4:O471">
    <sortCondition ref="I4:I471"/>
    <sortCondition ref="B4:B471"/>
    <sortCondition ref="G4:G471"/>
    <sortCondition ref="A4:A471"/>
  </sortState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2"/>
  <sheetViews>
    <sheetView zoomScale="80" zoomScaleNormal="80" workbookViewId="0"/>
  </sheetViews>
  <sheetFormatPr baseColWidth="10" defaultColWidth="8.5" defaultRowHeight="15.75" customHeight="1" x14ac:dyDescent="0.2"/>
  <cols>
    <col min="1" max="1" width="13.1640625" customWidth="1"/>
    <col min="2" max="2" width="29.5" customWidth="1"/>
    <col min="3" max="3" width="14.33203125" style="26" customWidth="1"/>
    <col min="4" max="4" width="15.6640625" style="27" customWidth="1"/>
    <col min="5" max="5" width="12.6640625" style="28" customWidth="1"/>
  </cols>
  <sheetData>
    <row r="1" spans="1:5" ht="16" x14ac:dyDescent="0.2">
      <c r="A1" s="6" t="s">
        <v>8014</v>
      </c>
    </row>
    <row r="3" spans="1:5" ht="33" customHeight="1" x14ac:dyDescent="0.2">
      <c r="A3" s="29" t="s">
        <v>345</v>
      </c>
      <c r="B3" s="29" t="s">
        <v>344</v>
      </c>
      <c r="C3" s="30" t="s">
        <v>980</v>
      </c>
      <c r="D3" s="31" t="s">
        <v>981</v>
      </c>
      <c r="E3" s="32" t="s">
        <v>982</v>
      </c>
    </row>
    <row r="4" spans="1:5" ht="16" x14ac:dyDescent="0.2">
      <c r="A4" t="s">
        <v>366</v>
      </c>
      <c r="B4" s="33" t="s">
        <v>26</v>
      </c>
      <c r="C4" s="26">
        <v>1000000</v>
      </c>
      <c r="D4" s="27" t="s">
        <v>983</v>
      </c>
      <c r="E4" s="28">
        <v>17.780637825167599</v>
      </c>
    </row>
    <row r="5" spans="1:5" ht="16" x14ac:dyDescent="0.2">
      <c r="A5" t="s">
        <v>366</v>
      </c>
      <c r="B5" s="33" t="s">
        <v>26</v>
      </c>
      <c r="C5" s="26">
        <v>100000</v>
      </c>
      <c r="D5" s="27" t="s">
        <v>983</v>
      </c>
      <c r="E5" s="28">
        <v>20.990953805614598</v>
      </c>
    </row>
    <row r="6" spans="1:5" ht="16" x14ac:dyDescent="0.2">
      <c r="A6" t="s">
        <v>366</v>
      </c>
      <c r="B6" s="33" t="s">
        <v>26</v>
      </c>
      <c r="C6" s="26">
        <v>10000</v>
      </c>
      <c r="D6" s="27" t="s">
        <v>983</v>
      </c>
      <c r="E6" s="28">
        <v>24.436120391681701</v>
      </c>
    </row>
    <row r="7" spans="1:5" ht="16" x14ac:dyDescent="0.2">
      <c r="A7" t="s">
        <v>366</v>
      </c>
      <c r="B7" s="33" t="s">
        <v>26</v>
      </c>
      <c r="C7" s="26">
        <v>1000</v>
      </c>
      <c r="D7" s="27" t="s">
        <v>983</v>
      </c>
      <c r="E7" s="28">
        <v>27.6258808383845</v>
      </c>
    </row>
    <row r="8" spans="1:5" ht="16" x14ac:dyDescent="0.2">
      <c r="A8" t="s">
        <v>366</v>
      </c>
      <c r="B8" s="33" t="s">
        <v>26</v>
      </c>
      <c r="C8" s="26">
        <v>100</v>
      </c>
      <c r="D8" s="27" t="s">
        <v>983</v>
      </c>
      <c r="E8" s="28">
        <v>31.149254413024899</v>
      </c>
    </row>
    <row r="9" spans="1:5" ht="16" x14ac:dyDescent="0.2">
      <c r="A9" t="s">
        <v>366</v>
      </c>
      <c r="B9" s="33" t="s">
        <v>26</v>
      </c>
      <c r="C9" s="26">
        <v>10</v>
      </c>
      <c r="D9" s="27" t="s">
        <v>984</v>
      </c>
      <c r="E9" s="28">
        <v>34.8299953454137</v>
      </c>
    </row>
    <row r="10" spans="1:5" ht="16" x14ac:dyDescent="0.2">
      <c r="A10" t="s">
        <v>366</v>
      </c>
      <c r="B10" s="33" t="s">
        <v>26</v>
      </c>
      <c r="C10" s="26">
        <v>1</v>
      </c>
      <c r="D10" s="27" t="s">
        <v>985</v>
      </c>
      <c r="E10" s="28" t="s">
        <v>8</v>
      </c>
    </row>
    <row r="11" spans="1:5" ht="16" x14ac:dyDescent="0.2">
      <c r="A11" t="s">
        <v>352</v>
      </c>
      <c r="B11" s="33" t="s">
        <v>73</v>
      </c>
      <c r="C11" s="26">
        <v>1000000</v>
      </c>
      <c r="D11" s="27" t="s">
        <v>983</v>
      </c>
      <c r="E11" s="28">
        <v>16.203029058422199</v>
      </c>
    </row>
    <row r="12" spans="1:5" ht="16" x14ac:dyDescent="0.2">
      <c r="A12" t="s">
        <v>352</v>
      </c>
      <c r="B12" s="33" t="s">
        <v>73</v>
      </c>
      <c r="C12" s="26">
        <v>100000</v>
      </c>
      <c r="D12" s="27" t="s">
        <v>983</v>
      </c>
      <c r="E12" s="28">
        <v>19.594646420095799</v>
      </c>
    </row>
    <row r="13" spans="1:5" ht="16" x14ac:dyDescent="0.2">
      <c r="A13" t="s">
        <v>352</v>
      </c>
      <c r="B13" s="33" t="s">
        <v>73</v>
      </c>
      <c r="C13" s="26">
        <v>10000</v>
      </c>
      <c r="D13" s="27" t="s">
        <v>983</v>
      </c>
      <c r="E13" s="28">
        <v>22.9521803705275</v>
      </c>
    </row>
    <row r="14" spans="1:5" ht="16" x14ac:dyDescent="0.2">
      <c r="A14" t="s">
        <v>352</v>
      </c>
      <c r="B14" s="33" t="s">
        <v>73</v>
      </c>
      <c r="C14" s="26">
        <v>1000</v>
      </c>
      <c r="D14" s="27" t="s">
        <v>983</v>
      </c>
      <c r="E14" s="28">
        <v>26.316014417766599</v>
      </c>
    </row>
    <row r="15" spans="1:5" ht="16" x14ac:dyDescent="0.2">
      <c r="A15" t="s">
        <v>352</v>
      </c>
      <c r="B15" s="33" t="s">
        <v>73</v>
      </c>
      <c r="C15" s="26">
        <v>100</v>
      </c>
      <c r="D15" s="27" t="s">
        <v>983</v>
      </c>
      <c r="E15" s="28">
        <v>30.146334826572701</v>
      </c>
    </row>
    <row r="16" spans="1:5" ht="16" x14ac:dyDescent="0.2">
      <c r="A16" t="s">
        <v>352</v>
      </c>
      <c r="B16" s="33" t="s">
        <v>73</v>
      </c>
      <c r="C16" s="26">
        <v>10</v>
      </c>
      <c r="D16" s="27" t="s">
        <v>984</v>
      </c>
      <c r="E16" s="28">
        <v>34.539044346810101</v>
      </c>
    </row>
    <row r="17" spans="1:5" ht="16" x14ac:dyDescent="0.2">
      <c r="A17" t="s">
        <v>352</v>
      </c>
      <c r="B17" s="33" t="s">
        <v>73</v>
      </c>
      <c r="C17" s="26">
        <v>1</v>
      </c>
      <c r="D17" s="27" t="s">
        <v>986</v>
      </c>
      <c r="E17" s="28">
        <v>35.079287358174398</v>
      </c>
    </row>
    <row r="18" spans="1:5" ht="16" x14ac:dyDescent="0.2">
      <c r="A18" t="s">
        <v>377</v>
      </c>
      <c r="B18" s="33" t="s">
        <v>69</v>
      </c>
      <c r="C18" s="26">
        <v>1000000</v>
      </c>
      <c r="D18" s="27" t="s">
        <v>983</v>
      </c>
      <c r="E18" s="28">
        <v>15.936400787520499</v>
      </c>
    </row>
    <row r="19" spans="1:5" ht="16" x14ac:dyDescent="0.2">
      <c r="A19" t="s">
        <v>377</v>
      </c>
      <c r="B19" s="33" t="s">
        <v>69</v>
      </c>
      <c r="C19" s="26">
        <v>100000</v>
      </c>
      <c r="D19" s="27" t="s">
        <v>983</v>
      </c>
      <c r="E19" s="28">
        <v>19.1209426291915</v>
      </c>
    </row>
    <row r="20" spans="1:5" ht="16" x14ac:dyDescent="0.2">
      <c r="A20" t="s">
        <v>377</v>
      </c>
      <c r="B20" s="33" t="s">
        <v>69</v>
      </c>
      <c r="C20" s="26">
        <v>10000</v>
      </c>
      <c r="D20" s="27" t="s">
        <v>983</v>
      </c>
      <c r="E20" s="28">
        <v>22.86676805814</v>
      </c>
    </row>
    <row r="21" spans="1:5" ht="16" x14ac:dyDescent="0.2">
      <c r="A21" t="s">
        <v>377</v>
      </c>
      <c r="B21" s="33" t="s">
        <v>69</v>
      </c>
      <c r="C21" s="26">
        <v>1000</v>
      </c>
      <c r="D21" s="27" t="s">
        <v>983</v>
      </c>
      <c r="E21" s="28">
        <v>26.249387896445299</v>
      </c>
    </row>
    <row r="22" spans="1:5" ht="16" x14ac:dyDescent="0.2">
      <c r="A22" t="s">
        <v>377</v>
      </c>
      <c r="B22" s="33" t="s">
        <v>69</v>
      </c>
      <c r="C22" s="26">
        <v>100</v>
      </c>
      <c r="D22" s="27" t="s">
        <v>984</v>
      </c>
      <c r="E22" s="28">
        <v>30.0598673671192</v>
      </c>
    </row>
    <row r="23" spans="1:5" ht="16" x14ac:dyDescent="0.2">
      <c r="A23" t="s">
        <v>377</v>
      </c>
      <c r="B23" s="33" t="s">
        <v>69</v>
      </c>
      <c r="C23" s="26">
        <v>10</v>
      </c>
      <c r="D23" s="27" t="s">
        <v>987</v>
      </c>
      <c r="E23" s="28">
        <v>33.327005584992001</v>
      </c>
    </row>
    <row r="24" spans="1:5" ht="16" x14ac:dyDescent="0.2">
      <c r="A24" t="s">
        <v>377</v>
      </c>
      <c r="B24" s="33" t="s">
        <v>69</v>
      </c>
      <c r="C24" s="26">
        <v>1</v>
      </c>
      <c r="D24" s="27" t="s">
        <v>988</v>
      </c>
      <c r="E24" s="28">
        <v>35.109445917956897</v>
      </c>
    </row>
    <row r="25" spans="1:5" ht="16" x14ac:dyDescent="0.2">
      <c r="A25" t="s">
        <v>366</v>
      </c>
      <c r="B25" s="33" t="s">
        <v>69</v>
      </c>
      <c r="C25" s="26">
        <v>100000000</v>
      </c>
      <c r="D25" s="27" t="s">
        <v>989</v>
      </c>
      <c r="E25" s="28" t="s">
        <v>8</v>
      </c>
    </row>
    <row r="26" spans="1:5" ht="16" x14ac:dyDescent="0.2">
      <c r="A26" t="s">
        <v>366</v>
      </c>
      <c r="B26" s="33" t="s">
        <v>69</v>
      </c>
      <c r="C26" s="26">
        <v>10000000</v>
      </c>
      <c r="D26" s="27" t="s">
        <v>989</v>
      </c>
      <c r="E26" s="28" t="s">
        <v>8</v>
      </c>
    </row>
    <row r="27" spans="1:5" ht="16" x14ac:dyDescent="0.2">
      <c r="A27" t="s">
        <v>366</v>
      </c>
      <c r="B27" s="33" t="s">
        <v>69</v>
      </c>
      <c r="C27" s="26">
        <v>1000000</v>
      </c>
      <c r="D27" s="27" t="s">
        <v>989</v>
      </c>
      <c r="E27" s="28" t="s">
        <v>8</v>
      </c>
    </row>
    <row r="28" spans="1:5" ht="16" x14ac:dyDescent="0.2">
      <c r="A28" t="s">
        <v>366</v>
      </c>
      <c r="B28" s="33" t="s">
        <v>69</v>
      </c>
      <c r="C28" s="26">
        <v>100000</v>
      </c>
      <c r="D28" s="27" t="s">
        <v>989</v>
      </c>
      <c r="E28" s="28" t="s">
        <v>8</v>
      </c>
    </row>
    <row r="29" spans="1:5" ht="16" x14ac:dyDescent="0.2">
      <c r="A29" t="s">
        <v>366</v>
      </c>
      <c r="B29" s="33" t="s">
        <v>69</v>
      </c>
      <c r="C29" s="26">
        <v>10000</v>
      </c>
      <c r="D29" s="27" t="s">
        <v>989</v>
      </c>
      <c r="E29" s="28" t="s">
        <v>8</v>
      </c>
    </row>
    <row r="30" spans="1:5" ht="16" x14ac:dyDescent="0.2">
      <c r="A30" t="s">
        <v>366</v>
      </c>
      <c r="B30" s="33" t="s">
        <v>69</v>
      </c>
      <c r="C30" s="26">
        <v>1000</v>
      </c>
      <c r="D30" s="27" t="s">
        <v>989</v>
      </c>
      <c r="E30" s="28" t="s">
        <v>8</v>
      </c>
    </row>
    <row r="31" spans="1:5" ht="16" x14ac:dyDescent="0.2">
      <c r="A31" t="s">
        <v>366</v>
      </c>
      <c r="B31" s="33" t="s">
        <v>69</v>
      </c>
      <c r="C31" s="26">
        <v>100</v>
      </c>
      <c r="D31" s="27" t="s">
        <v>989</v>
      </c>
      <c r="E31" s="28" t="s">
        <v>8</v>
      </c>
    </row>
    <row r="32" spans="1:5" ht="16" x14ac:dyDescent="0.2">
      <c r="A32" t="s">
        <v>366</v>
      </c>
      <c r="B32" s="33" t="s">
        <v>73</v>
      </c>
      <c r="C32" s="26">
        <v>100000000</v>
      </c>
      <c r="D32" s="27" t="s">
        <v>989</v>
      </c>
      <c r="E32" s="28" t="s">
        <v>8</v>
      </c>
    </row>
    <row r="33" spans="1:5" ht="16" x14ac:dyDescent="0.2">
      <c r="A33" t="s">
        <v>366</v>
      </c>
      <c r="B33" s="33" t="s">
        <v>73</v>
      </c>
      <c r="C33" s="26">
        <v>10000000</v>
      </c>
      <c r="D33" s="27" t="s">
        <v>989</v>
      </c>
      <c r="E33" s="28" t="s">
        <v>8</v>
      </c>
    </row>
    <row r="34" spans="1:5" ht="16" x14ac:dyDescent="0.2">
      <c r="A34" t="s">
        <v>366</v>
      </c>
      <c r="B34" s="33" t="s">
        <v>73</v>
      </c>
      <c r="C34" s="26">
        <v>1000000</v>
      </c>
      <c r="D34" s="27" t="s">
        <v>989</v>
      </c>
      <c r="E34" s="28" t="s">
        <v>8</v>
      </c>
    </row>
    <row r="35" spans="1:5" ht="16" x14ac:dyDescent="0.2">
      <c r="A35" t="s">
        <v>366</v>
      </c>
      <c r="B35" s="33" t="s">
        <v>73</v>
      </c>
      <c r="C35" s="26">
        <v>100000</v>
      </c>
      <c r="D35" s="27" t="s">
        <v>989</v>
      </c>
      <c r="E35" s="28" t="s">
        <v>8</v>
      </c>
    </row>
    <row r="36" spans="1:5" ht="16" x14ac:dyDescent="0.2">
      <c r="A36" t="s">
        <v>366</v>
      </c>
      <c r="B36" s="33" t="s">
        <v>73</v>
      </c>
      <c r="C36" s="26">
        <v>10000</v>
      </c>
      <c r="D36" s="27" t="s">
        <v>989</v>
      </c>
      <c r="E36" s="28" t="s">
        <v>8</v>
      </c>
    </row>
    <row r="37" spans="1:5" ht="16" x14ac:dyDescent="0.2">
      <c r="A37" t="s">
        <v>366</v>
      </c>
      <c r="B37" s="33" t="s">
        <v>73</v>
      </c>
      <c r="C37" s="26">
        <v>1000</v>
      </c>
      <c r="D37" s="27" t="s">
        <v>989</v>
      </c>
      <c r="E37" s="28" t="s">
        <v>8</v>
      </c>
    </row>
    <row r="38" spans="1:5" ht="16" x14ac:dyDescent="0.2">
      <c r="A38" t="s">
        <v>366</v>
      </c>
      <c r="B38" s="33" t="s">
        <v>73</v>
      </c>
      <c r="C38" s="26">
        <v>100</v>
      </c>
      <c r="D38" s="27" t="s">
        <v>989</v>
      </c>
      <c r="E38" s="28" t="s">
        <v>8</v>
      </c>
    </row>
    <row r="39" spans="1:5" ht="16" x14ac:dyDescent="0.2">
      <c r="A39" t="s">
        <v>366</v>
      </c>
      <c r="B39" s="33" t="s">
        <v>990</v>
      </c>
      <c r="C39" s="26">
        <v>100000000</v>
      </c>
      <c r="D39" s="27" t="s">
        <v>989</v>
      </c>
      <c r="E39" s="28" t="s">
        <v>8</v>
      </c>
    </row>
    <row r="40" spans="1:5" ht="16" x14ac:dyDescent="0.2">
      <c r="A40" t="s">
        <v>366</v>
      </c>
      <c r="B40" s="33" t="s">
        <v>990</v>
      </c>
      <c r="C40" s="26">
        <v>10000000</v>
      </c>
      <c r="D40" s="27" t="s">
        <v>989</v>
      </c>
      <c r="E40" s="28" t="s">
        <v>8</v>
      </c>
    </row>
    <row r="41" spans="1:5" ht="16" x14ac:dyDescent="0.2">
      <c r="A41" t="s">
        <v>366</v>
      </c>
      <c r="B41" s="33" t="s">
        <v>990</v>
      </c>
      <c r="C41" s="26">
        <v>1000000</v>
      </c>
      <c r="D41" s="27" t="s">
        <v>989</v>
      </c>
      <c r="E41" s="28" t="s">
        <v>8</v>
      </c>
    </row>
    <row r="42" spans="1:5" ht="16" x14ac:dyDescent="0.2">
      <c r="A42" t="s">
        <v>366</v>
      </c>
      <c r="B42" s="33" t="s">
        <v>990</v>
      </c>
      <c r="C42" s="26">
        <v>100000</v>
      </c>
      <c r="D42" s="27" t="s">
        <v>989</v>
      </c>
      <c r="E42" s="28" t="s">
        <v>8</v>
      </c>
    </row>
    <row r="43" spans="1:5" ht="16" x14ac:dyDescent="0.2">
      <c r="A43" t="s">
        <v>366</v>
      </c>
      <c r="B43" s="33" t="s">
        <v>990</v>
      </c>
      <c r="C43" s="26">
        <v>10000</v>
      </c>
      <c r="D43" s="27" t="s">
        <v>989</v>
      </c>
      <c r="E43" s="28" t="s">
        <v>8</v>
      </c>
    </row>
    <row r="44" spans="1:5" ht="16" x14ac:dyDescent="0.2">
      <c r="A44" t="s">
        <v>366</v>
      </c>
      <c r="B44" s="33" t="s">
        <v>990</v>
      </c>
      <c r="C44" s="26">
        <v>1000</v>
      </c>
      <c r="D44" s="27" t="s">
        <v>989</v>
      </c>
      <c r="E44" s="28" t="s">
        <v>8</v>
      </c>
    </row>
    <row r="45" spans="1:5" ht="16" x14ac:dyDescent="0.2">
      <c r="A45" t="s">
        <v>366</v>
      </c>
      <c r="B45" s="33" t="s">
        <v>990</v>
      </c>
      <c r="C45" s="26">
        <v>100</v>
      </c>
      <c r="D45" s="27" t="s">
        <v>989</v>
      </c>
      <c r="E45" s="28" t="s">
        <v>8</v>
      </c>
    </row>
    <row r="46" spans="1:5" ht="16" x14ac:dyDescent="0.2">
      <c r="A46" t="s">
        <v>366</v>
      </c>
      <c r="B46" s="33" t="s">
        <v>290</v>
      </c>
      <c r="C46" s="26">
        <v>100000000</v>
      </c>
      <c r="D46" s="27" t="s">
        <v>989</v>
      </c>
      <c r="E46" s="28" t="s">
        <v>8</v>
      </c>
    </row>
    <row r="47" spans="1:5" ht="16" x14ac:dyDescent="0.2">
      <c r="A47" t="s">
        <v>366</v>
      </c>
      <c r="B47" s="33" t="s">
        <v>290</v>
      </c>
      <c r="C47" s="26">
        <v>10000000</v>
      </c>
      <c r="D47" s="27" t="s">
        <v>989</v>
      </c>
      <c r="E47" s="28" t="s">
        <v>8</v>
      </c>
    </row>
    <row r="48" spans="1:5" ht="16" x14ac:dyDescent="0.2">
      <c r="A48" t="s">
        <v>366</v>
      </c>
      <c r="B48" s="33" t="s">
        <v>290</v>
      </c>
      <c r="C48" s="26">
        <v>1000000</v>
      </c>
      <c r="D48" s="27" t="s">
        <v>989</v>
      </c>
      <c r="E48" s="28" t="s">
        <v>8</v>
      </c>
    </row>
    <row r="49" spans="1:5" ht="16" x14ac:dyDescent="0.2">
      <c r="A49" t="s">
        <v>366</v>
      </c>
      <c r="B49" s="33" t="s">
        <v>290</v>
      </c>
      <c r="C49" s="26">
        <v>100000</v>
      </c>
      <c r="D49" s="27" t="s">
        <v>989</v>
      </c>
      <c r="E49" s="28" t="s">
        <v>8</v>
      </c>
    </row>
    <row r="50" spans="1:5" ht="16" x14ac:dyDescent="0.2">
      <c r="A50" t="s">
        <v>366</v>
      </c>
      <c r="B50" s="33" t="s">
        <v>290</v>
      </c>
      <c r="C50" s="26">
        <v>10000</v>
      </c>
      <c r="D50" s="27" t="s">
        <v>989</v>
      </c>
      <c r="E50" s="28" t="s">
        <v>8</v>
      </c>
    </row>
    <row r="51" spans="1:5" ht="16" x14ac:dyDescent="0.2">
      <c r="A51" t="s">
        <v>366</v>
      </c>
      <c r="B51" s="33" t="s">
        <v>290</v>
      </c>
      <c r="C51" s="26">
        <v>1000</v>
      </c>
      <c r="D51" s="27" t="s">
        <v>989</v>
      </c>
      <c r="E51" s="28" t="s">
        <v>8</v>
      </c>
    </row>
    <row r="52" spans="1:5" ht="16" x14ac:dyDescent="0.2">
      <c r="A52" t="s">
        <v>366</v>
      </c>
      <c r="B52" s="33" t="s">
        <v>290</v>
      </c>
      <c r="C52" s="26">
        <v>100</v>
      </c>
      <c r="D52" s="27" t="s">
        <v>989</v>
      </c>
      <c r="E52" s="28" t="s">
        <v>8</v>
      </c>
    </row>
    <row r="53" spans="1:5" ht="16" x14ac:dyDescent="0.2">
      <c r="A53" t="s">
        <v>366</v>
      </c>
      <c r="B53" s="33" t="s">
        <v>275</v>
      </c>
      <c r="C53" s="26">
        <v>100000000</v>
      </c>
      <c r="D53" s="27" t="s">
        <v>989</v>
      </c>
      <c r="E53" s="28" t="s">
        <v>8</v>
      </c>
    </row>
    <row r="54" spans="1:5" ht="16" x14ac:dyDescent="0.2">
      <c r="A54" t="s">
        <v>366</v>
      </c>
      <c r="B54" s="33" t="s">
        <v>275</v>
      </c>
      <c r="C54" s="26">
        <v>10000000</v>
      </c>
      <c r="D54" s="27" t="s">
        <v>989</v>
      </c>
      <c r="E54" s="28" t="s">
        <v>8</v>
      </c>
    </row>
    <row r="55" spans="1:5" ht="16" x14ac:dyDescent="0.2">
      <c r="A55" t="s">
        <v>366</v>
      </c>
      <c r="B55" s="33" t="s">
        <v>275</v>
      </c>
      <c r="C55" s="26">
        <v>1000000</v>
      </c>
      <c r="D55" s="27" t="s">
        <v>989</v>
      </c>
      <c r="E55" s="28" t="s">
        <v>8</v>
      </c>
    </row>
    <row r="56" spans="1:5" ht="16" x14ac:dyDescent="0.2">
      <c r="A56" t="s">
        <v>366</v>
      </c>
      <c r="B56" s="33" t="s">
        <v>275</v>
      </c>
      <c r="C56" s="26">
        <v>100000</v>
      </c>
      <c r="D56" s="27" t="s">
        <v>989</v>
      </c>
      <c r="E56" s="28" t="s">
        <v>8</v>
      </c>
    </row>
    <row r="57" spans="1:5" ht="16" x14ac:dyDescent="0.2">
      <c r="A57" t="s">
        <v>366</v>
      </c>
      <c r="B57" s="33" t="s">
        <v>275</v>
      </c>
      <c r="C57" s="26">
        <v>10000</v>
      </c>
      <c r="D57" s="27" t="s">
        <v>989</v>
      </c>
      <c r="E57" s="28" t="s">
        <v>8</v>
      </c>
    </row>
    <row r="58" spans="1:5" ht="16" x14ac:dyDescent="0.2">
      <c r="A58" t="s">
        <v>366</v>
      </c>
      <c r="B58" s="33" t="s">
        <v>275</v>
      </c>
      <c r="C58" s="26">
        <v>1000</v>
      </c>
      <c r="D58" s="27" t="s">
        <v>989</v>
      </c>
      <c r="E58" s="28" t="s">
        <v>8</v>
      </c>
    </row>
    <row r="59" spans="1:5" ht="16" x14ac:dyDescent="0.2">
      <c r="A59" t="s">
        <v>366</v>
      </c>
      <c r="B59" s="33" t="s">
        <v>275</v>
      </c>
      <c r="C59" s="26">
        <v>100</v>
      </c>
      <c r="D59" s="27" t="s">
        <v>989</v>
      </c>
      <c r="E59" s="28" t="s">
        <v>8</v>
      </c>
    </row>
    <row r="60" spans="1:5" ht="16" x14ac:dyDescent="0.2">
      <c r="A60" t="s">
        <v>377</v>
      </c>
      <c r="B60" s="33" t="s">
        <v>26</v>
      </c>
      <c r="C60" s="26">
        <v>100000000</v>
      </c>
      <c r="D60" s="27" t="s">
        <v>989</v>
      </c>
      <c r="E60" s="28" t="s">
        <v>8</v>
      </c>
    </row>
    <row r="61" spans="1:5" ht="16" x14ac:dyDescent="0.2">
      <c r="A61" t="s">
        <v>377</v>
      </c>
      <c r="B61" s="33" t="s">
        <v>26</v>
      </c>
      <c r="C61" s="26">
        <v>10000000</v>
      </c>
      <c r="D61" s="27" t="s">
        <v>989</v>
      </c>
      <c r="E61" s="28" t="s">
        <v>8</v>
      </c>
    </row>
    <row r="62" spans="1:5" ht="16" x14ac:dyDescent="0.2">
      <c r="A62" t="s">
        <v>377</v>
      </c>
      <c r="B62" s="33" t="s">
        <v>26</v>
      </c>
      <c r="C62" s="26">
        <v>1000000</v>
      </c>
      <c r="D62" s="27" t="s">
        <v>989</v>
      </c>
      <c r="E62" s="28" t="s">
        <v>8</v>
      </c>
    </row>
    <row r="63" spans="1:5" ht="16" x14ac:dyDescent="0.2">
      <c r="A63" t="s">
        <v>377</v>
      </c>
      <c r="B63" s="33" t="s">
        <v>26</v>
      </c>
      <c r="C63" s="26">
        <v>100000</v>
      </c>
      <c r="D63" s="27" t="s">
        <v>989</v>
      </c>
      <c r="E63" s="28" t="s">
        <v>8</v>
      </c>
    </row>
    <row r="64" spans="1:5" ht="16" x14ac:dyDescent="0.2">
      <c r="A64" t="s">
        <v>377</v>
      </c>
      <c r="B64" s="33" t="s">
        <v>26</v>
      </c>
      <c r="C64" s="26">
        <v>10000</v>
      </c>
      <c r="D64" s="27" t="s">
        <v>989</v>
      </c>
      <c r="E64" s="28" t="s">
        <v>8</v>
      </c>
    </row>
    <row r="65" spans="1:5" ht="16" x14ac:dyDescent="0.2">
      <c r="A65" t="s">
        <v>377</v>
      </c>
      <c r="B65" s="33" t="s">
        <v>26</v>
      </c>
      <c r="C65" s="26">
        <v>1000</v>
      </c>
      <c r="D65" s="27" t="s">
        <v>989</v>
      </c>
      <c r="E65" s="28" t="s">
        <v>8</v>
      </c>
    </row>
    <row r="66" spans="1:5" ht="16" x14ac:dyDescent="0.2">
      <c r="A66" t="s">
        <v>377</v>
      </c>
      <c r="B66" s="33" t="s">
        <v>26</v>
      </c>
      <c r="C66" s="26">
        <v>100</v>
      </c>
      <c r="D66" s="27" t="s">
        <v>989</v>
      </c>
      <c r="E66" s="28" t="s">
        <v>8</v>
      </c>
    </row>
    <row r="67" spans="1:5" ht="16" x14ac:dyDescent="0.2">
      <c r="A67" t="s">
        <v>377</v>
      </c>
      <c r="B67" s="33" t="s">
        <v>73</v>
      </c>
      <c r="C67" s="26">
        <v>100000000</v>
      </c>
      <c r="D67" s="27" t="s">
        <v>989</v>
      </c>
      <c r="E67" s="28" t="s">
        <v>8</v>
      </c>
    </row>
    <row r="68" spans="1:5" ht="16" x14ac:dyDescent="0.2">
      <c r="A68" t="s">
        <v>377</v>
      </c>
      <c r="B68" s="33" t="s">
        <v>73</v>
      </c>
      <c r="C68" s="26">
        <v>10000000</v>
      </c>
      <c r="D68" s="27" t="s">
        <v>989</v>
      </c>
      <c r="E68" s="28" t="s">
        <v>8</v>
      </c>
    </row>
    <row r="69" spans="1:5" ht="16" x14ac:dyDescent="0.2">
      <c r="A69" t="s">
        <v>377</v>
      </c>
      <c r="B69" s="33" t="s">
        <v>73</v>
      </c>
      <c r="C69" s="26">
        <v>1000000</v>
      </c>
      <c r="D69" s="27" t="s">
        <v>989</v>
      </c>
      <c r="E69" s="28" t="s">
        <v>8</v>
      </c>
    </row>
    <row r="70" spans="1:5" ht="16" x14ac:dyDescent="0.2">
      <c r="A70" t="s">
        <v>377</v>
      </c>
      <c r="B70" s="33" t="s">
        <v>73</v>
      </c>
      <c r="C70" s="26">
        <v>100000</v>
      </c>
      <c r="D70" s="27" t="s">
        <v>989</v>
      </c>
      <c r="E70" s="28" t="s">
        <v>8</v>
      </c>
    </row>
    <row r="71" spans="1:5" ht="16" x14ac:dyDescent="0.2">
      <c r="A71" t="s">
        <v>377</v>
      </c>
      <c r="B71" s="33" t="s">
        <v>73</v>
      </c>
      <c r="C71" s="26">
        <v>10000</v>
      </c>
      <c r="D71" s="27" t="s">
        <v>989</v>
      </c>
      <c r="E71" s="28" t="s">
        <v>8</v>
      </c>
    </row>
    <row r="72" spans="1:5" ht="16" x14ac:dyDescent="0.2">
      <c r="A72" t="s">
        <v>377</v>
      </c>
      <c r="B72" s="33" t="s">
        <v>73</v>
      </c>
      <c r="C72" s="26">
        <v>1000</v>
      </c>
      <c r="D72" s="27" t="s">
        <v>989</v>
      </c>
      <c r="E72" s="28" t="s">
        <v>8</v>
      </c>
    </row>
    <row r="73" spans="1:5" ht="16" x14ac:dyDescent="0.2">
      <c r="A73" t="s">
        <v>377</v>
      </c>
      <c r="B73" s="33" t="s">
        <v>73</v>
      </c>
      <c r="C73" s="26">
        <v>100</v>
      </c>
      <c r="D73" s="27" t="s">
        <v>989</v>
      </c>
      <c r="E73" s="28" t="s">
        <v>8</v>
      </c>
    </row>
    <row r="74" spans="1:5" ht="16" x14ac:dyDescent="0.2">
      <c r="A74" t="s">
        <v>377</v>
      </c>
      <c r="B74" s="33" t="s">
        <v>990</v>
      </c>
      <c r="C74" s="26">
        <v>100000000</v>
      </c>
      <c r="D74" s="27" t="s">
        <v>989</v>
      </c>
      <c r="E74" s="28" t="s">
        <v>8</v>
      </c>
    </row>
    <row r="75" spans="1:5" ht="16" x14ac:dyDescent="0.2">
      <c r="A75" t="s">
        <v>377</v>
      </c>
      <c r="B75" s="33" t="s">
        <v>990</v>
      </c>
      <c r="C75" s="26">
        <v>10000000</v>
      </c>
      <c r="D75" s="27" t="s">
        <v>989</v>
      </c>
      <c r="E75" s="28" t="s">
        <v>8</v>
      </c>
    </row>
    <row r="76" spans="1:5" ht="16" x14ac:dyDescent="0.2">
      <c r="A76" t="s">
        <v>377</v>
      </c>
      <c r="B76" s="33" t="s">
        <v>990</v>
      </c>
      <c r="C76" s="26">
        <v>1000000</v>
      </c>
      <c r="D76" s="27" t="s">
        <v>989</v>
      </c>
      <c r="E76" s="28" t="s">
        <v>8</v>
      </c>
    </row>
    <row r="77" spans="1:5" ht="16" x14ac:dyDescent="0.2">
      <c r="A77" t="s">
        <v>377</v>
      </c>
      <c r="B77" s="33" t="s">
        <v>990</v>
      </c>
      <c r="C77" s="26">
        <v>100000</v>
      </c>
      <c r="D77" s="27" t="s">
        <v>989</v>
      </c>
      <c r="E77" s="28" t="s">
        <v>8</v>
      </c>
    </row>
    <row r="78" spans="1:5" ht="16" x14ac:dyDescent="0.2">
      <c r="A78" t="s">
        <v>377</v>
      </c>
      <c r="B78" s="33" t="s">
        <v>990</v>
      </c>
      <c r="C78" s="26">
        <v>10000</v>
      </c>
      <c r="D78" s="27" t="s">
        <v>989</v>
      </c>
      <c r="E78" s="28" t="s">
        <v>8</v>
      </c>
    </row>
    <row r="79" spans="1:5" ht="16" x14ac:dyDescent="0.2">
      <c r="A79" t="s">
        <v>377</v>
      </c>
      <c r="B79" s="33" t="s">
        <v>990</v>
      </c>
      <c r="C79" s="26">
        <v>1000</v>
      </c>
      <c r="D79" s="27" t="s">
        <v>989</v>
      </c>
      <c r="E79" s="28" t="s">
        <v>8</v>
      </c>
    </row>
    <row r="80" spans="1:5" ht="16" x14ac:dyDescent="0.2">
      <c r="A80" t="s">
        <v>377</v>
      </c>
      <c r="B80" s="33" t="s">
        <v>990</v>
      </c>
      <c r="C80" s="26">
        <v>100</v>
      </c>
      <c r="D80" s="27" t="s">
        <v>989</v>
      </c>
      <c r="E80" s="28" t="s">
        <v>8</v>
      </c>
    </row>
    <row r="81" spans="1:5" ht="16" x14ac:dyDescent="0.2">
      <c r="A81" t="s">
        <v>377</v>
      </c>
      <c r="B81" s="33" t="s">
        <v>275</v>
      </c>
      <c r="C81" s="26">
        <v>100000000</v>
      </c>
      <c r="D81" s="27" t="s">
        <v>989</v>
      </c>
      <c r="E81" s="28" t="s">
        <v>8</v>
      </c>
    </row>
    <row r="82" spans="1:5" ht="16" x14ac:dyDescent="0.2">
      <c r="A82" t="s">
        <v>377</v>
      </c>
      <c r="B82" s="33" t="s">
        <v>275</v>
      </c>
      <c r="C82" s="26">
        <v>10000000</v>
      </c>
      <c r="D82" s="27" t="s">
        <v>989</v>
      </c>
      <c r="E82" s="28" t="s">
        <v>8</v>
      </c>
    </row>
    <row r="83" spans="1:5" ht="16" x14ac:dyDescent="0.2">
      <c r="A83" t="s">
        <v>377</v>
      </c>
      <c r="B83" s="33" t="s">
        <v>275</v>
      </c>
      <c r="C83" s="26">
        <v>1000000</v>
      </c>
      <c r="D83" s="27" t="s">
        <v>989</v>
      </c>
      <c r="E83" s="28" t="s">
        <v>8</v>
      </c>
    </row>
    <row r="84" spans="1:5" ht="16" x14ac:dyDescent="0.2">
      <c r="A84" t="s">
        <v>377</v>
      </c>
      <c r="B84" s="33" t="s">
        <v>275</v>
      </c>
      <c r="C84" s="26">
        <v>100000</v>
      </c>
      <c r="D84" s="27" t="s">
        <v>989</v>
      </c>
      <c r="E84" s="28" t="s">
        <v>8</v>
      </c>
    </row>
    <row r="85" spans="1:5" ht="16" x14ac:dyDescent="0.2">
      <c r="A85" t="s">
        <v>377</v>
      </c>
      <c r="B85" s="33" t="s">
        <v>275</v>
      </c>
      <c r="C85" s="26">
        <v>10000</v>
      </c>
      <c r="D85" s="27" t="s">
        <v>989</v>
      </c>
      <c r="E85" s="28" t="s">
        <v>8</v>
      </c>
    </row>
    <row r="86" spans="1:5" ht="16" x14ac:dyDescent="0.2">
      <c r="A86" t="s">
        <v>377</v>
      </c>
      <c r="B86" s="33" t="s">
        <v>275</v>
      </c>
      <c r="C86" s="26">
        <v>1000</v>
      </c>
      <c r="D86" s="27" t="s">
        <v>989</v>
      </c>
      <c r="E86" s="28" t="s">
        <v>8</v>
      </c>
    </row>
    <row r="87" spans="1:5" ht="16" x14ac:dyDescent="0.2">
      <c r="A87" t="s">
        <v>377</v>
      </c>
      <c r="B87" s="33" t="s">
        <v>275</v>
      </c>
      <c r="C87" s="26">
        <v>100</v>
      </c>
      <c r="D87" s="27" t="s">
        <v>989</v>
      </c>
      <c r="E87" s="28" t="s">
        <v>8</v>
      </c>
    </row>
    <row r="88" spans="1:5" ht="16" x14ac:dyDescent="0.2">
      <c r="A88" t="s">
        <v>352</v>
      </c>
      <c r="B88" s="33" t="s">
        <v>69</v>
      </c>
      <c r="C88" s="26">
        <v>100000000</v>
      </c>
      <c r="D88" s="27" t="s">
        <v>991</v>
      </c>
      <c r="E88" s="28">
        <v>34.96</v>
      </c>
    </row>
    <row r="89" spans="1:5" ht="16" x14ac:dyDescent="0.2">
      <c r="A89" t="s">
        <v>352</v>
      </c>
      <c r="B89" s="33" t="s">
        <v>69</v>
      </c>
      <c r="C89" s="26">
        <v>10000000</v>
      </c>
      <c r="D89" s="27" t="s">
        <v>991</v>
      </c>
      <c r="E89" s="28">
        <v>38.22</v>
      </c>
    </row>
    <row r="90" spans="1:5" ht="16" x14ac:dyDescent="0.2">
      <c r="A90" t="s">
        <v>352</v>
      </c>
      <c r="B90" s="33" t="s">
        <v>69</v>
      </c>
      <c r="C90" s="26">
        <v>1000000</v>
      </c>
      <c r="D90" s="27" t="s">
        <v>992</v>
      </c>
      <c r="E90" s="28">
        <v>40.01</v>
      </c>
    </row>
    <row r="91" spans="1:5" ht="16" x14ac:dyDescent="0.2">
      <c r="A91" t="s">
        <v>352</v>
      </c>
      <c r="B91" s="33" t="s">
        <v>69</v>
      </c>
      <c r="C91" s="26">
        <v>100000</v>
      </c>
      <c r="D91" s="27" t="s">
        <v>989</v>
      </c>
      <c r="E91" s="28" t="s">
        <v>8</v>
      </c>
    </row>
    <row r="92" spans="1:5" ht="16" x14ac:dyDescent="0.2">
      <c r="A92" t="s">
        <v>352</v>
      </c>
      <c r="B92" s="33" t="s">
        <v>69</v>
      </c>
      <c r="C92" s="26">
        <v>10000</v>
      </c>
      <c r="D92" s="27" t="s">
        <v>989</v>
      </c>
      <c r="E92" s="28" t="s">
        <v>8</v>
      </c>
    </row>
    <row r="93" spans="1:5" ht="16" x14ac:dyDescent="0.2">
      <c r="A93" t="s">
        <v>352</v>
      </c>
      <c r="B93" s="33" t="s">
        <v>69</v>
      </c>
      <c r="C93" s="26">
        <v>1000</v>
      </c>
      <c r="D93" s="27" t="s">
        <v>989</v>
      </c>
      <c r="E93" s="28" t="s">
        <v>8</v>
      </c>
    </row>
    <row r="94" spans="1:5" ht="16" x14ac:dyDescent="0.2">
      <c r="A94" t="s">
        <v>352</v>
      </c>
      <c r="B94" s="33" t="s">
        <v>69</v>
      </c>
      <c r="C94" s="26">
        <v>100</v>
      </c>
      <c r="D94" s="27" t="s">
        <v>989</v>
      </c>
      <c r="E94" s="28" t="s">
        <v>8</v>
      </c>
    </row>
    <row r="95" spans="1:5" ht="16" x14ac:dyDescent="0.2">
      <c r="A95" t="s">
        <v>352</v>
      </c>
      <c r="B95" s="33" t="s">
        <v>26</v>
      </c>
      <c r="C95" s="26">
        <v>100000000</v>
      </c>
      <c r="D95" s="27" t="s">
        <v>989</v>
      </c>
      <c r="E95" s="28" t="s">
        <v>8</v>
      </c>
    </row>
    <row r="96" spans="1:5" ht="16" x14ac:dyDescent="0.2">
      <c r="A96" t="s">
        <v>352</v>
      </c>
      <c r="B96" s="33" t="s">
        <v>26</v>
      </c>
      <c r="C96" s="26">
        <v>10000000</v>
      </c>
      <c r="D96" s="27" t="s">
        <v>989</v>
      </c>
      <c r="E96" s="28" t="s">
        <v>8</v>
      </c>
    </row>
    <row r="97" spans="1:5" ht="16" x14ac:dyDescent="0.2">
      <c r="A97" t="s">
        <v>352</v>
      </c>
      <c r="B97" s="33" t="s">
        <v>26</v>
      </c>
      <c r="C97" s="26">
        <v>1000000</v>
      </c>
      <c r="D97" s="27" t="s">
        <v>989</v>
      </c>
      <c r="E97" s="28" t="s">
        <v>8</v>
      </c>
    </row>
    <row r="98" spans="1:5" ht="16" x14ac:dyDescent="0.2">
      <c r="A98" t="s">
        <v>352</v>
      </c>
      <c r="B98" s="33" t="s">
        <v>26</v>
      </c>
      <c r="C98" s="26">
        <v>100000</v>
      </c>
      <c r="D98" s="27" t="s">
        <v>989</v>
      </c>
      <c r="E98" s="28" t="s">
        <v>8</v>
      </c>
    </row>
    <row r="99" spans="1:5" ht="16" x14ac:dyDescent="0.2">
      <c r="A99" t="s">
        <v>352</v>
      </c>
      <c r="B99" s="33" t="s">
        <v>26</v>
      </c>
      <c r="C99" s="26">
        <v>10000</v>
      </c>
      <c r="D99" s="27" t="s">
        <v>989</v>
      </c>
      <c r="E99" s="28" t="s">
        <v>8</v>
      </c>
    </row>
    <row r="100" spans="1:5" ht="16" x14ac:dyDescent="0.2">
      <c r="A100" t="s">
        <v>352</v>
      </c>
      <c r="B100" s="33" t="s">
        <v>26</v>
      </c>
      <c r="C100" s="26">
        <v>1000</v>
      </c>
      <c r="D100" s="27" t="s">
        <v>989</v>
      </c>
      <c r="E100" s="28" t="s">
        <v>8</v>
      </c>
    </row>
    <row r="101" spans="1:5" ht="16" x14ac:dyDescent="0.2">
      <c r="A101" t="s">
        <v>352</v>
      </c>
      <c r="B101" s="33" t="s">
        <v>26</v>
      </c>
      <c r="C101" s="26">
        <v>100</v>
      </c>
      <c r="D101" s="27" t="s">
        <v>989</v>
      </c>
      <c r="E101" s="28" t="s">
        <v>8</v>
      </c>
    </row>
    <row r="102" spans="1:5" ht="16" x14ac:dyDescent="0.2">
      <c r="A102" t="s">
        <v>352</v>
      </c>
      <c r="B102" s="33" t="s">
        <v>990</v>
      </c>
      <c r="C102" s="26">
        <v>100000000</v>
      </c>
      <c r="D102" s="27" t="s">
        <v>989</v>
      </c>
      <c r="E102" s="28" t="s">
        <v>8</v>
      </c>
    </row>
    <row r="103" spans="1:5" ht="16" x14ac:dyDescent="0.2">
      <c r="A103" t="s">
        <v>352</v>
      </c>
      <c r="B103" s="33" t="s">
        <v>990</v>
      </c>
      <c r="C103" s="26">
        <v>10000000</v>
      </c>
      <c r="D103" s="27" t="s">
        <v>989</v>
      </c>
      <c r="E103" s="28" t="s">
        <v>8</v>
      </c>
    </row>
    <row r="104" spans="1:5" ht="16" x14ac:dyDescent="0.2">
      <c r="A104" t="s">
        <v>352</v>
      </c>
      <c r="B104" s="33" t="s">
        <v>990</v>
      </c>
      <c r="C104" s="26">
        <v>1000000</v>
      </c>
      <c r="D104" s="27" t="s">
        <v>989</v>
      </c>
      <c r="E104" s="28" t="s">
        <v>8</v>
      </c>
    </row>
    <row r="105" spans="1:5" ht="16" x14ac:dyDescent="0.2">
      <c r="A105" t="s">
        <v>352</v>
      </c>
      <c r="B105" s="33" t="s">
        <v>990</v>
      </c>
      <c r="C105" s="26">
        <v>100000</v>
      </c>
      <c r="D105" s="27" t="s">
        <v>989</v>
      </c>
      <c r="E105" s="28" t="s">
        <v>8</v>
      </c>
    </row>
    <row r="106" spans="1:5" ht="16" x14ac:dyDescent="0.2">
      <c r="A106" t="s">
        <v>352</v>
      </c>
      <c r="B106" s="33" t="s">
        <v>990</v>
      </c>
      <c r="C106" s="26">
        <v>10000</v>
      </c>
      <c r="D106" s="27" t="s">
        <v>989</v>
      </c>
      <c r="E106" s="28" t="s">
        <v>8</v>
      </c>
    </row>
    <row r="107" spans="1:5" ht="16" x14ac:dyDescent="0.2">
      <c r="A107" t="s">
        <v>352</v>
      </c>
      <c r="B107" s="33" t="s">
        <v>990</v>
      </c>
      <c r="C107" s="26">
        <v>1000</v>
      </c>
      <c r="D107" s="27" t="s">
        <v>989</v>
      </c>
      <c r="E107" s="28" t="s">
        <v>8</v>
      </c>
    </row>
    <row r="108" spans="1:5" ht="16" x14ac:dyDescent="0.2">
      <c r="A108" t="s">
        <v>352</v>
      </c>
      <c r="B108" s="33" t="s">
        <v>990</v>
      </c>
      <c r="C108" s="26">
        <v>100</v>
      </c>
      <c r="D108" s="27" t="s">
        <v>989</v>
      </c>
      <c r="E108" s="28" t="s">
        <v>8</v>
      </c>
    </row>
    <row r="109" spans="1:5" ht="16" x14ac:dyDescent="0.2">
      <c r="A109" t="s">
        <v>352</v>
      </c>
      <c r="B109" s="33" t="s">
        <v>290</v>
      </c>
      <c r="C109" s="26">
        <v>100000000</v>
      </c>
      <c r="D109" s="27" t="s">
        <v>991</v>
      </c>
      <c r="E109" s="28">
        <v>30.17</v>
      </c>
    </row>
    <row r="110" spans="1:5" ht="16" x14ac:dyDescent="0.2">
      <c r="A110" t="s">
        <v>352</v>
      </c>
      <c r="B110" s="33" t="s">
        <v>290</v>
      </c>
      <c r="C110" s="26">
        <v>10000000</v>
      </c>
      <c r="D110" s="27" t="s">
        <v>991</v>
      </c>
      <c r="E110" s="28">
        <v>35.659999999999997</v>
      </c>
    </row>
    <row r="111" spans="1:5" ht="16" x14ac:dyDescent="0.2">
      <c r="A111" t="s">
        <v>352</v>
      </c>
      <c r="B111" s="33" t="s">
        <v>290</v>
      </c>
      <c r="C111" s="26">
        <v>1000000</v>
      </c>
      <c r="D111" s="27" t="s">
        <v>993</v>
      </c>
      <c r="E111" s="28">
        <v>37.14</v>
      </c>
    </row>
    <row r="112" spans="1:5" ht="16" x14ac:dyDescent="0.2">
      <c r="A112" t="s">
        <v>352</v>
      </c>
      <c r="B112" s="33" t="s">
        <v>290</v>
      </c>
      <c r="C112" s="26">
        <v>100000</v>
      </c>
      <c r="D112" s="27" t="s">
        <v>989</v>
      </c>
      <c r="E112" s="28" t="s">
        <v>8</v>
      </c>
    </row>
    <row r="113" spans="1:5" ht="16" x14ac:dyDescent="0.2">
      <c r="A113" t="s">
        <v>352</v>
      </c>
      <c r="B113" s="33" t="s">
        <v>290</v>
      </c>
      <c r="C113" s="26">
        <v>10000</v>
      </c>
      <c r="D113" s="27" t="s">
        <v>989</v>
      </c>
      <c r="E113" s="28" t="s">
        <v>8</v>
      </c>
    </row>
    <row r="114" spans="1:5" ht="16" x14ac:dyDescent="0.2">
      <c r="A114" t="s">
        <v>352</v>
      </c>
      <c r="B114" s="33" t="s">
        <v>290</v>
      </c>
      <c r="C114" s="26">
        <v>1000</v>
      </c>
      <c r="D114" s="27" t="s">
        <v>989</v>
      </c>
      <c r="E114" s="28" t="s">
        <v>8</v>
      </c>
    </row>
    <row r="115" spans="1:5" ht="16" x14ac:dyDescent="0.2">
      <c r="A115" t="s">
        <v>352</v>
      </c>
      <c r="B115" s="33" t="s">
        <v>290</v>
      </c>
      <c r="C115" s="26">
        <v>100</v>
      </c>
      <c r="D115" s="27" t="s">
        <v>989</v>
      </c>
      <c r="E115" s="28" t="s">
        <v>8</v>
      </c>
    </row>
    <row r="116" spans="1:5" ht="16" x14ac:dyDescent="0.2">
      <c r="A116" t="s">
        <v>352</v>
      </c>
      <c r="B116" s="33" t="s">
        <v>275</v>
      </c>
      <c r="C116" s="26">
        <v>100000000</v>
      </c>
      <c r="D116" s="27" t="s">
        <v>991</v>
      </c>
      <c r="E116" s="28">
        <v>35.44</v>
      </c>
    </row>
    <row r="117" spans="1:5" ht="16" x14ac:dyDescent="0.2">
      <c r="A117" t="s">
        <v>352</v>
      </c>
      <c r="B117" s="33" t="s">
        <v>275</v>
      </c>
      <c r="C117" s="26">
        <v>10000000</v>
      </c>
      <c r="D117" s="27" t="s">
        <v>989</v>
      </c>
      <c r="E117" s="28" t="s">
        <v>8</v>
      </c>
    </row>
    <row r="118" spans="1:5" ht="16" x14ac:dyDescent="0.2">
      <c r="A118" t="s">
        <v>352</v>
      </c>
      <c r="B118" s="33" t="s">
        <v>275</v>
      </c>
      <c r="C118" s="26">
        <v>1000000</v>
      </c>
      <c r="D118" s="27" t="s">
        <v>989</v>
      </c>
      <c r="E118" s="28" t="s">
        <v>8</v>
      </c>
    </row>
    <row r="119" spans="1:5" ht="16" x14ac:dyDescent="0.2">
      <c r="A119" t="s">
        <v>352</v>
      </c>
      <c r="B119" s="33" t="s">
        <v>275</v>
      </c>
      <c r="C119" s="26">
        <v>100000</v>
      </c>
      <c r="D119" s="27" t="s">
        <v>989</v>
      </c>
      <c r="E119" s="28" t="s">
        <v>8</v>
      </c>
    </row>
    <row r="120" spans="1:5" ht="16" x14ac:dyDescent="0.2">
      <c r="A120" t="s">
        <v>352</v>
      </c>
      <c r="B120" s="33" t="s">
        <v>275</v>
      </c>
      <c r="C120" s="26">
        <v>10000</v>
      </c>
      <c r="D120" s="27" t="s">
        <v>989</v>
      </c>
      <c r="E120" s="28" t="s">
        <v>8</v>
      </c>
    </row>
    <row r="121" spans="1:5" ht="16" x14ac:dyDescent="0.2">
      <c r="A121" t="s">
        <v>352</v>
      </c>
      <c r="B121" s="33" t="s">
        <v>275</v>
      </c>
      <c r="C121" s="26">
        <v>1000</v>
      </c>
      <c r="D121" s="27" t="s">
        <v>989</v>
      </c>
      <c r="E121" s="28" t="s">
        <v>8</v>
      </c>
    </row>
    <row r="122" spans="1:5" ht="16" x14ac:dyDescent="0.2">
      <c r="A122" t="s">
        <v>352</v>
      </c>
      <c r="B122" s="33" t="s">
        <v>275</v>
      </c>
      <c r="C122" s="26">
        <v>100</v>
      </c>
      <c r="D122" s="27" t="s">
        <v>989</v>
      </c>
      <c r="E122" s="28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"/>
  <sheetViews>
    <sheetView zoomScale="80" zoomScaleNormal="80" workbookViewId="0"/>
  </sheetViews>
  <sheetFormatPr baseColWidth="10" defaultColWidth="10.83203125" defaultRowHeight="15.75" customHeight="1" x14ac:dyDescent="0.2"/>
  <cols>
    <col min="1" max="7" width="25.83203125" style="3" customWidth="1"/>
    <col min="8" max="8" width="24.6640625" style="68" customWidth="1"/>
    <col min="9" max="9" width="23.6640625" style="3" customWidth="1"/>
    <col min="10" max="16384" width="10.83203125" style="3"/>
  </cols>
  <sheetData>
    <row r="1" spans="1:8" ht="15.75" customHeight="1" x14ac:dyDescent="0.2">
      <c r="A1" s="38" t="s">
        <v>8024</v>
      </c>
    </row>
    <row r="3" spans="1:8" ht="15.75" customHeight="1" x14ac:dyDescent="0.2">
      <c r="A3" s="13" t="s">
        <v>972</v>
      </c>
      <c r="B3" s="13" t="s">
        <v>973</v>
      </c>
      <c r="C3" s="13" t="s">
        <v>974</v>
      </c>
      <c r="D3" s="13" t="s">
        <v>975</v>
      </c>
      <c r="E3" s="13" t="s">
        <v>976</v>
      </c>
      <c r="F3" s="13" t="s">
        <v>977</v>
      </c>
      <c r="G3" s="13" t="s">
        <v>978</v>
      </c>
      <c r="H3" s="69"/>
    </row>
    <row r="4" spans="1:8" ht="15.75" customHeight="1" x14ac:dyDescent="0.2">
      <c r="A4" s="3" t="s">
        <v>979</v>
      </c>
      <c r="B4" s="3" t="s">
        <v>442</v>
      </c>
      <c r="C4" s="3">
        <v>3</v>
      </c>
      <c r="D4" s="3">
        <v>3</v>
      </c>
      <c r="E4" s="3">
        <v>3</v>
      </c>
      <c r="F4" s="3">
        <v>1</v>
      </c>
      <c r="G4" s="3">
        <v>1</v>
      </c>
    </row>
    <row r="5" spans="1:8" ht="15.75" customHeight="1" x14ac:dyDescent="0.2">
      <c r="A5" s="3" t="s">
        <v>979</v>
      </c>
      <c r="B5" s="3" t="s">
        <v>452</v>
      </c>
      <c r="C5" s="3">
        <v>0</v>
      </c>
      <c r="D5" s="3">
        <v>0</v>
      </c>
      <c r="E5" s="3">
        <v>3</v>
      </c>
      <c r="F5" s="3">
        <v>1</v>
      </c>
      <c r="G5" s="3">
        <v>1</v>
      </c>
    </row>
    <row r="6" spans="1:8" ht="15.75" customHeight="1" x14ac:dyDescent="0.2">
      <c r="A6" s="3" t="s">
        <v>979</v>
      </c>
      <c r="B6" s="3" t="s">
        <v>454</v>
      </c>
      <c r="C6" s="3">
        <v>3</v>
      </c>
      <c r="D6" s="3">
        <v>2</v>
      </c>
      <c r="E6" s="3">
        <v>3</v>
      </c>
      <c r="F6" s="3">
        <v>1</v>
      </c>
      <c r="G6" s="3">
        <v>1</v>
      </c>
    </row>
    <row r="7" spans="1:8" ht="15.75" customHeight="1" x14ac:dyDescent="0.2">
      <c r="A7" s="3" t="s">
        <v>979</v>
      </c>
      <c r="B7" s="3" t="s">
        <v>456</v>
      </c>
      <c r="C7" s="3">
        <v>3</v>
      </c>
      <c r="D7" s="3">
        <v>3</v>
      </c>
      <c r="E7" s="3">
        <v>3</v>
      </c>
      <c r="F7" s="3">
        <v>1</v>
      </c>
      <c r="G7" s="3">
        <v>1</v>
      </c>
    </row>
    <row r="8" spans="1:8" ht="15.75" customHeight="1" x14ac:dyDescent="0.2">
      <c r="A8" s="3" t="s">
        <v>979</v>
      </c>
      <c r="B8" s="3" t="s">
        <v>464</v>
      </c>
      <c r="C8" s="3">
        <v>0</v>
      </c>
      <c r="D8" s="3">
        <v>0</v>
      </c>
      <c r="E8" s="3">
        <v>0</v>
      </c>
      <c r="F8" s="3">
        <v>0</v>
      </c>
      <c r="G8" s="3">
        <v>2.7499999999999998E-3</v>
      </c>
    </row>
    <row r="9" spans="1:8" ht="15.75" customHeight="1" x14ac:dyDescent="0.2">
      <c r="A9" s="3" t="s">
        <v>979</v>
      </c>
      <c r="B9" s="3" t="s">
        <v>468</v>
      </c>
      <c r="C9" s="3">
        <v>3</v>
      </c>
      <c r="D9" s="3">
        <v>3</v>
      </c>
      <c r="E9" s="3">
        <v>3</v>
      </c>
      <c r="F9" s="3">
        <v>1</v>
      </c>
      <c r="G9" s="3">
        <v>1</v>
      </c>
    </row>
    <row r="10" spans="1:8" ht="15.75" customHeight="1" x14ac:dyDescent="0.2">
      <c r="A10" s="3" t="s">
        <v>979</v>
      </c>
      <c r="B10" s="3" t="s">
        <v>472</v>
      </c>
      <c r="C10" s="3">
        <v>3</v>
      </c>
      <c r="D10" s="3">
        <v>3</v>
      </c>
      <c r="E10" s="3">
        <v>3</v>
      </c>
      <c r="F10" s="3">
        <v>1</v>
      </c>
      <c r="G10" s="3">
        <v>1</v>
      </c>
    </row>
    <row r="11" spans="1:8" ht="15.75" customHeight="1" x14ac:dyDescent="0.2">
      <c r="A11" s="3" t="s">
        <v>979</v>
      </c>
      <c r="B11" s="3" t="s">
        <v>476</v>
      </c>
      <c r="C11" s="3">
        <v>3</v>
      </c>
      <c r="D11" s="3">
        <v>3</v>
      </c>
      <c r="E11" s="3">
        <v>3</v>
      </c>
      <c r="F11" s="3">
        <v>0</v>
      </c>
      <c r="G11" s="3">
        <v>0.99950000000000006</v>
      </c>
    </row>
    <row r="12" spans="1:8" ht="15.75" customHeight="1" x14ac:dyDescent="0.2">
      <c r="A12" s="3" t="s">
        <v>979</v>
      </c>
      <c r="B12" s="3" t="s">
        <v>478</v>
      </c>
      <c r="C12" s="3">
        <v>2</v>
      </c>
      <c r="D12" s="3">
        <v>3</v>
      </c>
      <c r="E12" s="3">
        <v>3</v>
      </c>
      <c r="F12" s="3">
        <v>1</v>
      </c>
      <c r="G12" s="3">
        <v>1</v>
      </c>
    </row>
    <row r="13" spans="1:8" ht="15.75" customHeight="1" x14ac:dyDescent="0.2">
      <c r="A13" s="3" t="s">
        <v>979</v>
      </c>
      <c r="B13" s="3" t="s">
        <v>482</v>
      </c>
      <c r="C13" s="3">
        <v>3</v>
      </c>
      <c r="D13" s="3">
        <v>3</v>
      </c>
      <c r="E13" s="3">
        <v>3</v>
      </c>
      <c r="F13" s="3">
        <v>1</v>
      </c>
      <c r="G13" s="3">
        <v>1</v>
      </c>
    </row>
    <row r="14" spans="1:8" ht="15.75" customHeight="1" x14ac:dyDescent="0.2">
      <c r="A14" s="3" t="s">
        <v>979</v>
      </c>
      <c r="B14" s="3" t="s">
        <v>486</v>
      </c>
      <c r="C14" s="3">
        <v>0</v>
      </c>
      <c r="D14" s="3">
        <v>0</v>
      </c>
      <c r="E14" s="3">
        <v>0</v>
      </c>
      <c r="F14" s="3">
        <v>0</v>
      </c>
      <c r="G14" s="3">
        <v>3.2499999999999999E-3</v>
      </c>
    </row>
    <row r="15" spans="1:8" ht="15.75" customHeight="1" x14ac:dyDescent="0.2">
      <c r="A15" s="3" t="s">
        <v>979</v>
      </c>
      <c r="B15" s="3" t="s">
        <v>491</v>
      </c>
      <c r="C15" s="3">
        <v>3</v>
      </c>
      <c r="D15" s="3">
        <v>3</v>
      </c>
      <c r="E15" s="3">
        <v>3</v>
      </c>
      <c r="F15" s="3">
        <v>1</v>
      </c>
      <c r="G15" s="3">
        <v>1</v>
      </c>
    </row>
    <row r="16" spans="1:8" ht="15.75" customHeight="1" x14ac:dyDescent="0.2">
      <c r="A16" s="3" t="s">
        <v>979</v>
      </c>
      <c r="B16" s="3" t="s">
        <v>495</v>
      </c>
      <c r="C16" s="3">
        <v>0</v>
      </c>
      <c r="D16" s="3">
        <v>0</v>
      </c>
      <c r="E16" s="3">
        <v>0</v>
      </c>
      <c r="F16" s="3">
        <v>0</v>
      </c>
      <c r="G16" s="3">
        <v>2.7499999999999998E-3</v>
      </c>
    </row>
    <row r="17" spans="1:8" ht="15.75" customHeight="1" x14ac:dyDescent="0.2">
      <c r="A17" s="3" t="s">
        <v>979</v>
      </c>
      <c r="B17" s="3" t="s">
        <v>499</v>
      </c>
      <c r="C17" s="3">
        <v>0</v>
      </c>
      <c r="D17" s="3">
        <v>0</v>
      </c>
      <c r="E17" s="3">
        <v>0</v>
      </c>
      <c r="F17" s="3">
        <v>0</v>
      </c>
      <c r="G17" s="3">
        <v>3.0000000000000001E-3</v>
      </c>
    </row>
    <row r="18" spans="1:8" ht="15.75" customHeight="1" x14ac:dyDescent="0.2">
      <c r="A18" s="3" t="s">
        <v>979</v>
      </c>
      <c r="B18" s="3" t="s">
        <v>503</v>
      </c>
      <c r="C18" s="3">
        <v>1</v>
      </c>
      <c r="D18" s="3">
        <v>1</v>
      </c>
      <c r="E18" s="3">
        <v>0</v>
      </c>
      <c r="F18" s="3">
        <v>1</v>
      </c>
      <c r="G18" s="3">
        <v>1</v>
      </c>
    </row>
    <row r="19" spans="1:8" s="67" customFormat="1" ht="15.75" customHeight="1" x14ac:dyDescent="0.2">
      <c r="A19" s="3" t="s">
        <v>979</v>
      </c>
      <c r="B19" s="3" t="s">
        <v>507</v>
      </c>
      <c r="C19" s="3">
        <v>1</v>
      </c>
      <c r="D19" s="3">
        <v>0</v>
      </c>
      <c r="E19" s="3">
        <v>2</v>
      </c>
      <c r="F19" s="3">
        <v>0</v>
      </c>
      <c r="G19" s="3">
        <v>0.29925000000000002</v>
      </c>
      <c r="H19" s="68"/>
    </row>
    <row r="20" spans="1:8" ht="15.75" customHeight="1" x14ac:dyDescent="0.2">
      <c r="A20" s="3" t="s">
        <v>979</v>
      </c>
      <c r="B20" s="3" t="s">
        <v>509</v>
      </c>
      <c r="C20" s="3">
        <v>0</v>
      </c>
      <c r="D20" s="3">
        <v>0</v>
      </c>
      <c r="E20" s="3">
        <v>0</v>
      </c>
      <c r="F20" s="3">
        <v>0</v>
      </c>
      <c r="G20" s="3">
        <v>2.7499999999999998E-3</v>
      </c>
    </row>
    <row r="21" spans="1:8" s="67" customFormat="1" ht="15.75" customHeight="1" x14ac:dyDescent="0.2">
      <c r="A21" s="3" t="s">
        <v>979</v>
      </c>
      <c r="B21" s="3" t="s">
        <v>522</v>
      </c>
      <c r="C21" s="3">
        <v>2</v>
      </c>
      <c r="D21" s="3">
        <v>3</v>
      </c>
      <c r="E21" s="3">
        <v>3</v>
      </c>
      <c r="F21" s="3">
        <v>0</v>
      </c>
      <c r="G21" s="3">
        <v>0.99962499999999999</v>
      </c>
      <c r="H21" s="68"/>
    </row>
    <row r="22" spans="1:8" ht="15.75" customHeight="1" x14ac:dyDescent="0.2">
      <c r="A22" s="3" t="s">
        <v>979</v>
      </c>
      <c r="B22" s="3" t="s">
        <v>514</v>
      </c>
      <c r="C22" s="3">
        <v>0</v>
      </c>
      <c r="D22" s="3">
        <v>0</v>
      </c>
      <c r="E22" s="3">
        <v>0</v>
      </c>
      <c r="F22" s="3">
        <v>0</v>
      </c>
      <c r="G22" s="3">
        <v>2.3749999999999999E-3</v>
      </c>
    </row>
    <row r="23" spans="1:8" ht="15.75" customHeight="1" x14ac:dyDescent="0.2">
      <c r="A23" s="3" t="s">
        <v>979</v>
      </c>
      <c r="B23" s="3" t="s">
        <v>518</v>
      </c>
      <c r="C23" s="3">
        <v>3</v>
      </c>
      <c r="D23" s="3">
        <v>3</v>
      </c>
      <c r="E23" s="3">
        <v>3</v>
      </c>
      <c r="F23" s="3">
        <v>0</v>
      </c>
      <c r="G23" s="3">
        <v>0.99987499999999996</v>
      </c>
    </row>
    <row r="24" spans="1:8" ht="15.75" customHeight="1" x14ac:dyDescent="0.2">
      <c r="A24" s="3" t="s">
        <v>979</v>
      </c>
      <c r="B24" s="3" t="s">
        <v>526</v>
      </c>
      <c r="C24" s="3">
        <v>3</v>
      </c>
      <c r="D24" s="3">
        <v>3</v>
      </c>
      <c r="E24" s="3">
        <v>3</v>
      </c>
      <c r="F24" s="3">
        <v>0</v>
      </c>
      <c r="G24" s="3">
        <v>0.99987499999999996</v>
      </c>
    </row>
    <row r="25" spans="1:8" ht="15.75" customHeight="1" x14ac:dyDescent="0.2">
      <c r="A25" s="3" t="s">
        <v>979</v>
      </c>
      <c r="B25" s="3" t="s">
        <v>530</v>
      </c>
      <c r="C25" s="3">
        <v>2</v>
      </c>
      <c r="D25" s="3">
        <v>2</v>
      </c>
      <c r="E25" s="3">
        <v>3</v>
      </c>
      <c r="F25" s="3">
        <v>0</v>
      </c>
      <c r="G25" s="3">
        <v>0.99824999999999997</v>
      </c>
    </row>
    <row r="26" spans="1:8" ht="15.75" customHeight="1" x14ac:dyDescent="0.2">
      <c r="A26" s="3" t="s">
        <v>979</v>
      </c>
      <c r="B26" s="3" t="s">
        <v>534</v>
      </c>
      <c r="C26" s="3">
        <v>1</v>
      </c>
      <c r="D26" s="3">
        <v>2</v>
      </c>
      <c r="E26" s="3">
        <v>2</v>
      </c>
      <c r="F26" s="3">
        <v>0</v>
      </c>
      <c r="G26" s="3">
        <v>0.81874999999999998</v>
      </c>
    </row>
    <row r="27" spans="1:8" ht="15.75" customHeight="1" x14ac:dyDescent="0.2">
      <c r="A27" s="3" t="s">
        <v>979</v>
      </c>
      <c r="B27" s="3" t="s">
        <v>542</v>
      </c>
      <c r="C27" s="3">
        <v>0</v>
      </c>
      <c r="D27" s="3">
        <v>0</v>
      </c>
      <c r="E27" s="3">
        <v>0</v>
      </c>
      <c r="F27" s="3">
        <v>0</v>
      </c>
      <c r="G27" s="3">
        <v>1.75E-3</v>
      </c>
    </row>
    <row r="28" spans="1:8" ht="15.75" customHeight="1" x14ac:dyDescent="0.2">
      <c r="A28" s="3" t="s">
        <v>979</v>
      </c>
      <c r="B28" s="3" t="s">
        <v>546</v>
      </c>
      <c r="C28" s="3">
        <v>3</v>
      </c>
      <c r="D28" s="3">
        <v>3</v>
      </c>
      <c r="E28" s="3">
        <v>3</v>
      </c>
      <c r="F28" s="3">
        <v>0</v>
      </c>
      <c r="G28" s="3">
        <v>0.99987499999999996</v>
      </c>
    </row>
    <row r="29" spans="1:8" ht="15.75" customHeight="1" x14ac:dyDescent="0.2">
      <c r="A29" s="3" t="s">
        <v>979</v>
      </c>
      <c r="B29" s="3" t="s">
        <v>549</v>
      </c>
      <c r="C29" s="3">
        <v>3</v>
      </c>
      <c r="D29" s="3">
        <v>3</v>
      </c>
      <c r="E29" s="3">
        <v>1</v>
      </c>
      <c r="F29" s="3">
        <v>0</v>
      </c>
      <c r="G29" s="3">
        <v>0.99224999999999997</v>
      </c>
    </row>
    <row r="30" spans="1:8" ht="15.75" customHeight="1" x14ac:dyDescent="0.2">
      <c r="A30" s="3" t="s">
        <v>979</v>
      </c>
      <c r="B30" s="3" t="s">
        <v>551</v>
      </c>
      <c r="C30" s="3">
        <v>3</v>
      </c>
      <c r="D30" s="3">
        <v>3</v>
      </c>
      <c r="E30" s="3">
        <v>3</v>
      </c>
      <c r="F30" s="3">
        <v>0</v>
      </c>
      <c r="G30" s="3">
        <v>1</v>
      </c>
    </row>
    <row r="31" spans="1:8" ht="15.75" customHeight="1" x14ac:dyDescent="0.2">
      <c r="A31" s="3" t="s">
        <v>979</v>
      </c>
      <c r="B31" s="3" t="s">
        <v>555</v>
      </c>
      <c r="C31" s="3">
        <v>3</v>
      </c>
      <c r="D31" s="3">
        <v>0</v>
      </c>
      <c r="E31" s="3">
        <v>3</v>
      </c>
      <c r="F31" s="3">
        <v>0</v>
      </c>
      <c r="G31" s="3">
        <v>0.98724999999999996</v>
      </c>
    </row>
    <row r="32" spans="1:8" ht="15.75" customHeight="1" x14ac:dyDescent="0.2">
      <c r="A32" s="3" t="s">
        <v>979</v>
      </c>
      <c r="B32" s="3" t="s">
        <v>557</v>
      </c>
      <c r="C32" s="3">
        <v>3</v>
      </c>
      <c r="D32" s="3">
        <v>3</v>
      </c>
      <c r="E32" s="3">
        <v>3</v>
      </c>
      <c r="F32" s="3">
        <v>0</v>
      </c>
      <c r="G32" s="3">
        <v>0.99987499999999996</v>
      </c>
    </row>
    <row r="33" spans="1:7" ht="15.75" customHeight="1" x14ac:dyDescent="0.2">
      <c r="A33" s="3" t="s">
        <v>979</v>
      </c>
      <c r="B33" s="3" t="s">
        <v>565</v>
      </c>
      <c r="C33" s="3">
        <v>3</v>
      </c>
      <c r="D33" s="3">
        <v>3</v>
      </c>
      <c r="E33" s="3">
        <v>3</v>
      </c>
      <c r="F33" s="3">
        <v>0</v>
      </c>
      <c r="G33" s="3">
        <v>0.99950000000000006</v>
      </c>
    </row>
    <row r="34" spans="1:7" ht="15.75" customHeight="1" x14ac:dyDescent="0.2">
      <c r="A34" s="3" t="s">
        <v>979</v>
      </c>
      <c r="B34" s="3" t="s">
        <v>570</v>
      </c>
      <c r="C34" s="3">
        <v>3</v>
      </c>
      <c r="D34" s="3">
        <v>3</v>
      </c>
      <c r="E34" s="3">
        <v>3</v>
      </c>
      <c r="F34" s="3">
        <v>0</v>
      </c>
      <c r="G34" s="3">
        <v>1</v>
      </c>
    </row>
    <row r="35" spans="1:7" ht="15.75" customHeight="1" x14ac:dyDescent="0.2">
      <c r="A35" s="3" t="s">
        <v>979</v>
      </c>
      <c r="B35" s="3" t="s">
        <v>572</v>
      </c>
      <c r="C35" s="3">
        <v>3</v>
      </c>
      <c r="D35" s="3">
        <v>3</v>
      </c>
      <c r="E35" s="3">
        <v>3</v>
      </c>
      <c r="F35" s="3">
        <v>0</v>
      </c>
      <c r="G35" s="3">
        <v>0.99950000000000006</v>
      </c>
    </row>
    <row r="36" spans="1:7" ht="15.75" customHeight="1" x14ac:dyDescent="0.2">
      <c r="A36" s="3" t="s">
        <v>979</v>
      </c>
      <c r="B36" s="3" t="s">
        <v>576</v>
      </c>
      <c r="C36" s="3">
        <v>3</v>
      </c>
      <c r="D36" s="3">
        <v>3</v>
      </c>
      <c r="E36" s="3">
        <v>3</v>
      </c>
      <c r="F36" s="3">
        <v>0</v>
      </c>
      <c r="G36" s="3">
        <v>0.99937500000000001</v>
      </c>
    </row>
    <row r="37" spans="1:7" ht="15.75" customHeight="1" x14ac:dyDescent="0.2">
      <c r="A37" s="3" t="s">
        <v>979</v>
      </c>
      <c r="B37" s="3" t="s">
        <v>578</v>
      </c>
      <c r="C37" s="3">
        <v>3</v>
      </c>
      <c r="D37" s="3">
        <v>3</v>
      </c>
      <c r="E37" s="3">
        <v>3</v>
      </c>
      <c r="F37" s="3">
        <v>0</v>
      </c>
      <c r="G37" s="3">
        <v>0.99987499999999996</v>
      </c>
    </row>
    <row r="38" spans="1:7" ht="15.75" customHeight="1" x14ac:dyDescent="0.2">
      <c r="A38" s="3" t="s">
        <v>979</v>
      </c>
      <c r="B38" s="3" t="s">
        <v>582</v>
      </c>
      <c r="C38" s="3">
        <v>2</v>
      </c>
      <c r="D38" s="3">
        <v>3</v>
      </c>
      <c r="E38" s="3">
        <v>3</v>
      </c>
      <c r="F38" s="3">
        <v>0</v>
      </c>
      <c r="G38" s="3">
        <v>0.99950000000000006</v>
      </c>
    </row>
    <row r="39" spans="1:7" ht="15.75" customHeight="1" x14ac:dyDescent="0.2">
      <c r="A39" s="3" t="s">
        <v>979</v>
      </c>
      <c r="B39" s="3" t="s">
        <v>584</v>
      </c>
      <c r="C39" s="3">
        <v>2</v>
      </c>
      <c r="D39" s="3">
        <v>3</v>
      </c>
      <c r="E39" s="3">
        <v>3</v>
      </c>
      <c r="F39" s="3">
        <v>0</v>
      </c>
      <c r="G39" s="3">
        <v>0.99950000000000006</v>
      </c>
    </row>
    <row r="40" spans="1:7" ht="15.75" customHeight="1" x14ac:dyDescent="0.2">
      <c r="A40" s="3" t="s">
        <v>979</v>
      </c>
      <c r="B40" s="3" t="s">
        <v>588</v>
      </c>
      <c r="C40" s="3">
        <v>3</v>
      </c>
      <c r="D40" s="3">
        <v>3</v>
      </c>
      <c r="E40" s="3">
        <v>3</v>
      </c>
      <c r="F40" s="3">
        <v>0</v>
      </c>
      <c r="G40" s="3">
        <v>0.99962499999999999</v>
      </c>
    </row>
    <row r="41" spans="1:7" ht="15.75" customHeight="1" x14ac:dyDescent="0.2">
      <c r="A41" s="3" t="s">
        <v>979</v>
      </c>
      <c r="B41" s="3" t="s">
        <v>590</v>
      </c>
      <c r="C41" s="3">
        <v>3</v>
      </c>
      <c r="D41" s="3">
        <v>3</v>
      </c>
      <c r="E41" s="3">
        <v>3</v>
      </c>
      <c r="F41" s="3">
        <v>0</v>
      </c>
      <c r="G41" s="3">
        <v>0.99987499999999996</v>
      </c>
    </row>
    <row r="42" spans="1:7" ht="15.75" customHeight="1" x14ac:dyDescent="0.2">
      <c r="A42" s="3" t="s">
        <v>979</v>
      </c>
      <c r="B42" s="3" t="s">
        <v>594</v>
      </c>
      <c r="C42" s="3">
        <v>3</v>
      </c>
      <c r="D42" s="3">
        <v>2</v>
      </c>
      <c r="E42" s="3">
        <v>3</v>
      </c>
      <c r="F42" s="3">
        <v>0</v>
      </c>
      <c r="G42" s="3">
        <v>0.99924999999999997</v>
      </c>
    </row>
    <row r="43" spans="1:7" ht="15.75" customHeight="1" x14ac:dyDescent="0.2">
      <c r="A43" s="3" t="s">
        <v>979</v>
      </c>
      <c r="B43" s="3" t="s">
        <v>599</v>
      </c>
      <c r="C43" s="3">
        <v>1</v>
      </c>
      <c r="D43" s="3">
        <v>3</v>
      </c>
      <c r="E43" s="3">
        <v>1</v>
      </c>
      <c r="F43" s="3">
        <v>0</v>
      </c>
      <c r="G43" s="3">
        <v>0.68925000000000003</v>
      </c>
    </row>
    <row r="44" spans="1:7" ht="15.75" customHeight="1" x14ac:dyDescent="0.2">
      <c r="A44" s="3" t="s">
        <v>979</v>
      </c>
      <c r="B44" s="3" t="s">
        <v>601</v>
      </c>
      <c r="C44" s="3">
        <v>3</v>
      </c>
      <c r="D44" s="3">
        <v>3</v>
      </c>
      <c r="E44" s="3">
        <v>0</v>
      </c>
      <c r="F44" s="3">
        <v>0</v>
      </c>
      <c r="G44" s="3">
        <v>0.98724999999999996</v>
      </c>
    </row>
    <row r="45" spans="1:7" ht="16" x14ac:dyDescent="0.2">
      <c r="A45" s="3" t="s">
        <v>979</v>
      </c>
      <c r="B45" s="3" t="s">
        <v>603</v>
      </c>
      <c r="C45" s="3">
        <v>3</v>
      </c>
      <c r="D45" s="3">
        <v>3</v>
      </c>
      <c r="E45" s="3">
        <v>3</v>
      </c>
      <c r="F45" s="3">
        <v>0</v>
      </c>
      <c r="G45" s="3">
        <v>1</v>
      </c>
    </row>
    <row r="46" spans="1:7" ht="16" x14ac:dyDescent="0.2">
      <c r="A46" s="3" t="s">
        <v>979</v>
      </c>
      <c r="B46" s="3" t="s">
        <v>607</v>
      </c>
      <c r="C46" s="3">
        <v>3</v>
      </c>
      <c r="D46" s="3">
        <v>3</v>
      </c>
      <c r="E46" s="3">
        <v>3</v>
      </c>
      <c r="F46" s="3">
        <v>0</v>
      </c>
      <c r="G46" s="3">
        <v>0.99975000000000003</v>
      </c>
    </row>
    <row r="47" spans="1:7" ht="16" x14ac:dyDescent="0.2">
      <c r="A47" s="3" t="s">
        <v>979</v>
      </c>
      <c r="B47" s="3" t="s">
        <v>609</v>
      </c>
      <c r="C47" s="3">
        <v>3</v>
      </c>
      <c r="D47" s="3">
        <v>3</v>
      </c>
      <c r="E47" s="3">
        <v>3</v>
      </c>
      <c r="F47" s="3">
        <v>0</v>
      </c>
      <c r="G47" s="3">
        <v>0.99987499999999996</v>
      </c>
    </row>
    <row r="48" spans="1:7" ht="16" x14ac:dyDescent="0.2">
      <c r="A48" s="3" t="s">
        <v>979</v>
      </c>
      <c r="B48" s="3" t="s">
        <v>613</v>
      </c>
      <c r="C48" s="3">
        <v>3</v>
      </c>
      <c r="D48" s="3">
        <v>3</v>
      </c>
      <c r="E48" s="3">
        <v>3</v>
      </c>
      <c r="F48" s="3">
        <v>0</v>
      </c>
      <c r="G48" s="3">
        <v>1</v>
      </c>
    </row>
    <row r="49" spans="1:7" ht="16" x14ac:dyDescent="0.2">
      <c r="A49" s="3" t="s">
        <v>979</v>
      </c>
      <c r="B49" s="3" t="s">
        <v>617</v>
      </c>
      <c r="C49" s="3">
        <v>3</v>
      </c>
      <c r="D49" s="3">
        <v>3</v>
      </c>
      <c r="E49" s="3">
        <v>3</v>
      </c>
      <c r="F49" s="3">
        <v>0</v>
      </c>
      <c r="G49" s="3">
        <v>0.99962499999999999</v>
      </c>
    </row>
    <row r="50" spans="1:7" ht="16" x14ac:dyDescent="0.2">
      <c r="A50" s="3" t="s">
        <v>979</v>
      </c>
      <c r="B50" s="3" t="s">
        <v>621</v>
      </c>
      <c r="C50" s="3">
        <v>3</v>
      </c>
      <c r="D50" s="3">
        <v>3</v>
      </c>
      <c r="E50" s="3">
        <v>3</v>
      </c>
      <c r="F50" s="3">
        <v>0</v>
      </c>
      <c r="G50" s="3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"/>
  <sheetViews>
    <sheetView zoomScale="80" zoomScaleNormal="80" workbookViewId="0"/>
  </sheetViews>
  <sheetFormatPr baseColWidth="10" defaultColWidth="11" defaultRowHeight="15.75" customHeight="1" x14ac:dyDescent="0.2"/>
  <cols>
    <col min="1" max="8" width="25.83203125" customWidth="1"/>
  </cols>
  <sheetData>
    <row r="1" spans="1:12" ht="15.75" customHeight="1" x14ac:dyDescent="0.2">
      <c r="A1" s="38" t="s">
        <v>8025</v>
      </c>
      <c r="B1" s="3"/>
      <c r="C1" s="3"/>
      <c r="D1" s="3"/>
      <c r="E1" s="3"/>
      <c r="F1" s="3"/>
    </row>
    <row r="2" spans="1:12" ht="15.75" customHeight="1" x14ac:dyDescent="0.2">
      <c r="A2" s="3"/>
      <c r="B2" s="3"/>
      <c r="C2" s="3"/>
      <c r="D2" s="3"/>
      <c r="E2" s="3"/>
      <c r="F2" s="3"/>
    </row>
    <row r="3" spans="1:12" ht="15.75" customHeight="1" x14ac:dyDescent="0.2">
      <c r="A3" s="40" t="s">
        <v>972</v>
      </c>
      <c r="B3" s="40" t="s">
        <v>973</v>
      </c>
      <c r="C3" s="40" t="s">
        <v>974</v>
      </c>
      <c r="D3" s="40" t="s">
        <v>975</v>
      </c>
      <c r="E3" s="40" t="s">
        <v>976</v>
      </c>
      <c r="F3" s="40" t="s">
        <v>994</v>
      </c>
      <c r="G3" s="40" t="s">
        <v>978</v>
      </c>
      <c r="H3" s="40"/>
      <c r="I3" s="3"/>
      <c r="J3" s="3"/>
    </row>
    <row r="4" spans="1:12" ht="15.75" customHeight="1" x14ac:dyDescent="0.2">
      <c r="A4" s="3" t="s">
        <v>979</v>
      </c>
      <c r="B4" s="3" t="s">
        <v>442</v>
      </c>
      <c r="C4" s="3">
        <v>2</v>
      </c>
      <c r="D4" s="3">
        <v>2</v>
      </c>
      <c r="E4" s="3">
        <v>2</v>
      </c>
      <c r="F4" s="3">
        <v>0</v>
      </c>
      <c r="G4" s="3">
        <v>1</v>
      </c>
      <c r="H4" s="3"/>
      <c r="L4" s="3"/>
    </row>
    <row r="5" spans="1:12" ht="15.75" customHeight="1" x14ac:dyDescent="0.2">
      <c r="A5" s="3" t="s">
        <v>979</v>
      </c>
      <c r="B5" s="3" t="s">
        <v>452</v>
      </c>
      <c r="C5" s="3">
        <v>0</v>
      </c>
      <c r="D5" s="3">
        <v>0</v>
      </c>
      <c r="E5" s="3">
        <v>1</v>
      </c>
      <c r="F5" s="3">
        <v>0</v>
      </c>
      <c r="G5" s="3">
        <v>0.24162500000000001</v>
      </c>
      <c r="H5" s="3"/>
      <c r="L5" s="3"/>
    </row>
    <row r="6" spans="1:12" ht="15.75" customHeight="1" x14ac:dyDescent="0.2">
      <c r="A6" s="3" t="s">
        <v>979</v>
      </c>
      <c r="B6" s="3" t="s">
        <v>454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/>
    </row>
    <row r="7" spans="1:12" ht="15.75" customHeight="1" x14ac:dyDescent="0.2">
      <c r="A7" s="3" t="s">
        <v>979</v>
      </c>
      <c r="B7" s="3" t="s">
        <v>456</v>
      </c>
      <c r="C7" s="3">
        <v>0</v>
      </c>
      <c r="D7" s="3">
        <v>0</v>
      </c>
      <c r="E7" s="3">
        <v>0</v>
      </c>
      <c r="F7" s="3">
        <v>0</v>
      </c>
      <c r="G7" s="3">
        <v>1.0375000000000001E-2</v>
      </c>
      <c r="H7" s="3"/>
    </row>
    <row r="8" spans="1:12" ht="15.75" customHeight="1" x14ac:dyDescent="0.2">
      <c r="A8" s="3" t="s">
        <v>979</v>
      </c>
      <c r="B8" s="3" t="s">
        <v>464</v>
      </c>
      <c r="C8" s="3">
        <v>0</v>
      </c>
      <c r="D8" s="3">
        <v>0</v>
      </c>
      <c r="E8" s="3">
        <v>0</v>
      </c>
      <c r="F8" s="3">
        <v>1</v>
      </c>
      <c r="G8" s="3">
        <v>1</v>
      </c>
      <c r="H8" s="3"/>
    </row>
    <row r="9" spans="1:12" ht="15.75" customHeight="1" x14ac:dyDescent="0.2">
      <c r="A9" s="3" t="s">
        <v>979</v>
      </c>
      <c r="B9" s="3" t="s">
        <v>468</v>
      </c>
      <c r="C9" s="3">
        <v>0</v>
      </c>
      <c r="D9" s="3">
        <v>0</v>
      </c>
      <c r="E9" s="3">
        <v>0</v>
      </c>
      <c r="F9" s="3">
        <v>0</v>
      </c>
      <c r="G9" s="3">
        <v>8.7500000000000008E-3</v>
      </c>
      <c r="H9" s="3"/>
    </row>
    <row r="10" spans="1:12" ht="15.75" customHeight="1" x14ac:dyDescent="0.2">
      <c r="A10" s="3" t="s">
        <v>979</v>
      </c>
      <c r="B10" s="3" t="s">
        <v>472</v>
      </c>
      <c r="C10" s="3">
        <v>0</v>
      </c>
      <c r="D10" s="3">
        <v>0</v>
      </c>
      <c r="E10" s="3">
        <v>0</v>
      </c>
      <c r="F10" s="3">
        <v>0</v>
      </c>
      <c r="G10" s="3">
        <v>8.7500000000000008E-3</v>
      </c>
      <c r="H10" s="3"/>
    </row>
    <row r="11" spans="1:12" ht="15.75" customHeight="1" x14ac:dyDescent="0.2">
      <c r="A11" s="3" t="s">
        <v>979</v>
      </c>
      <c r="B11" s="3" t="s">
        <v>476</v>
      </c>
      <c r="C11" s="3">
        <v>0</v>
      </c>
      <c r="D11" s="3">
        <v>0</v>
      </c>
      <c r="E11" s="3">
        <v>0</v>
      </c>
      <c r="F11" s="3">
        <v>0</v>
      </c>
      <c r="G11" s="3">
        <v>9.4999999999999998E-3</v>
      </c>
      <c r="H11" s="3"/>
    </row>
    <row r="12" spans="1:12" ht="15.75" customHeight="1" x14ac:dyDescent="0.2">
      <c r="A12" s="3" t="s">
        <v>979</v>
      </c>
      <c r="B12" s="3" t="s">
        <v>478</v>
      </c>
      <c r="C12" s="3">
        <v>0</v>
      </c>
      <c r="D12" s="3">
        <v>0</v>
      </c>
      <c r="E12" s="3">
        <v>0</v>
      </c>
      <c r="F12" s="3">
        <v>0</v>
      </c>
      <c r="G12" s="3">
        <v>8.8749999999999992E-3</v>
      </c>
      <c r="H12" s="3"/>
    </row>
    <row r="13" spans="1:12" ht="15.75" customHeight="1" x14ac:dyDescent="0.2">
      <c r="A13" s="3" t="s">
        <v>979</v>
      </c>
      <c r="B13" s="3" t="s">
        <v>482</v>
      </c>
      <c r="C13" s="3">
        <v>0</v>
      </c>
      <c r="D13" s="3">
        <v>0</v>
      </c>
      <c r="E13" s="3">
        <v>0</v>
      </c>
      <c r="F13" s="3">
        <v>0</v>
      </c>
      <c r="G13" s="3">
        <v>1.225E-2</v>
      </c>
      <c r="H13" s="3"/>
    </row>
    <row r="14" spans="1:12" ht="15.75" customHeight="1" x14ac:dyDescent="0.2">
      <c r="A14" s="3" t="s">
        <v>979</v>
      </c>
      <c r="B14" s="3" t="s">
        <v>486</v>
      </c>
      <c r="C14" s="3">
        <v>0</v>
      </c>
      <c r="D14" s="3">
        <v>0</v>
      </c>
      <c r="E14" s="3">
        <v>0</v>
      </c>
      <c r="F14" s="3">
        <v>1</v>
      </c>
      <c r="G14" s="3">
        <v>1</v>
      </c>
      <c r="H14" s="3"/>
    </row>
    <row r="15" spans="1:12" ht="15.75" customHeight="1" x14ac:dyDescent="0.2">
      <c r="A15" s="3" t="s">
        <v>979</v>
      </c>
      <c r="B15" s="3" t="s">
        <v>491</v>
      </c>
      <c r="C15" s="3">
        <v>2</v>
      </c>
      <c r="D15" s="3">
        <v>1</v>
      </c>
      <c r="E15" s="3">
        <v>3</v>
      </c>
      <c r="F15" s="3">
        <v>1</v>
      </c>
      <c r="G15" s="3">
        <v>1</v>
      </c>
      <c r="H15" s="3"/>
    </row>
    <row r="16" spans="1:12" ht="15.75" customHeight="1" x14ac:dyDescent="0.2">
      <c r="A16" s="3" t="s">
        <v>979</v>
      </c>
      <c r="B16" s="3" t="s">
        <v>495</v>
      </c>
      <c r="C16" s="3">
        <v>3</v>
      </c>
      <c r="D16" s="3">
        <v>2</v>
      </c>
      <c r="E16" s="3">
        <v>2</v>
      </c>
      <c r="F16" s="3">
        <v>0</v>
      </c>
      <c r="G16" s="3">
        <v>1</v>
      </c>
      <c r="H16" s="3"/>
    </row>
    <row r="17" spans="1:10" ht="15.75" customHeight="1" x14ac:dyDescent="0.2">
      <c r="A17" s="3" t="s">
        <v>979</v>
      </c>
      <c r="B17" s="3" t="s">
        <v>499</v>
      </c>
      <c r="C17" s="3">
        <v>2</v>
      </c>
      <c r="D17" s="3">
        <v>3</v>
      </c>
      <c r="E17" s="3">
        <v>3</v>
      </c>
      <c r="F17" s="3">
        <v>1</v>
      </c>
      <c r="G17" s="3">
        <v>1</v>
      </c>
      <c r="H17" s="3"/>
    </row>
    <row r="18" spans="1:10" ht="15.75" customHeight="1" x14ac:dyDescent="0.2">
      <c r="A18" s="3" t="s">
        <v>979</v>
      </c>
      <c r="B18" s="3" t="s">
        <v>503</v>
      </c>
      <c r="C18" s="3">
        <v>1</v>
      </c>
      <c r="D18" s="3">
        <v>1</v>
      </c>
      <c r="E18" s="3">
        <v>0</v>
      </c>
      <c r="F18" s="3">
        <v>1</v>
      </c>
      <c r="G18" s="3">
        <v>1</v>
      </c>
      <c r="H18" s="3"/>
    </row>
    <row r="19" spans="1:10" ht="15.75" customHeight="1" x14ac:dyDescent="0.2">
      <c r="A19" s="3" t="s">
        <v>979</v>
      </c>
      <c r="B19" s="3" t="s">
        <v>507</v>
      </c>
      <c r="C19" s="3">
        <v>1</v>
      </c>
      <c r="D19" s="3">
        <v>0</v>
      </c>
      <c r="E19" s="3">
        <v>1</v>
      </c>
      <c r="F19" s="3">
        <v>0</v>
      </c>
      <c r="G19" s="3">
        <v>0.74650000000000005</v>
      </c>
      <c r="H19" s="3"/>
      <c r="J19" s="3"/>
    </row>
    <row r="20" spans="1:10" ht="15.75" customHeight="1" x14ac:dyDescent="0.2">
      <c r="A20" s="3" t="s">
        <v>979</v>
      </c>
      <c r="B20" s="3" t="s">
        <v>509</v>
      </c>
      <c r="C20" s="3">
        <v>0</v>
      </c>
      <c r="D20" s="3">
        <v>0</v>
      </c>
      <c r="E20" s="3">
        <v>0</v>
      </c>
      <c r="F20" s="3">
        <v>0</v>
      </c>
      <c r="G20" s="3">
        <v>8.5000000000000006E-3</v>
      </c>
      <c r="H20" s="3"/>
    </row>
    <row r="21" spans="1:10" ht="15.75" customHeight="1" x14ac:dyDescent="0.2">
      <c r="A21" s="3" t="s">
        <v>979</v>
      </c>
      <c r="B21" s="3" t="s">
        <v>522</v>
      </c>
      <c r="C21" s="3">
        <v>0</v>
      </c>
      <c r="D21" s="3">
        <v>0</v>
      </c>
      <c r="E21" s="3">
        <v>0</v>
      </c>
      <c r="F21" s="3">
        <v>0</v>
      </c>
      <c r="G21" s="3">
        <v>9.4999999999999998E-3</v>
      </c>
      <c r="H21" s="3"/>
    </row>
    <row r="22" spans="1:10" ht="15.75" customHeight="1" x14ac:dyDescent="0.2">
      <c r="A22" s="3" t="s">
        <v>979</v>
      </c>
      <c r="B22" s="3" t="s">
        <v>514</v>
      </c>
      <c r="C22" s="3">
        <v>3</v>
      </c>
      <c r="D22" s="3">
        <v>3</v>
      </c>
      <c r="E22" s="3">
        <v>3</v>
      </c>
      <c r="F22" s="3">
        <v>0</v>
      </c>
      <c r="G22" s="3">
        <v>1</v>
      </c>
      <c r="H22" s="3"/>
    </row>
    <row r="23" spans="1:10" ht="15.75" customHeight="1" x14ac:dyDescent="0.2">
      <c r="A23" s="3" t="s">
        <v>979</v>
      </c>
      <c r="B23" s="3" t="s">
        <v>518</v>
      </c>
      <c r="C23" s="3">
        <v>2</v>
      </c>
      <c r="D23" s="3">
        <v>3</v>
      </c>
      <c r="E23" s="3">
        <v>3</v>
      </c>
      <c r="F23" s="3">
        <v>0</v>
      </c>
      <c r="G23" s="3">
        <v>1</v>
      </c>
      <c r="H23" s="3"/>
    </row>
    <row r="24" spans="1:10" ht="15.75" customHeight="1" x14ac:dyDescent="0.2">
      <c r="A24" s="3" t="s">
        <v>979</v>
      </c>
      <c r="B24" s="3" t="s">
        <v>526</v>
      </c>
      <c r="C24" s="3">
        <v>3</v>
      </c>
      <c r="D24" s="3">
        <v>1</v>
      </c>
      <c r="E24" s="3">
        <v>1</v>
      </c>
      <c r="F24" s="3">
        <v>0</v>
      </c>
      <c r="G24" s="3">
        <v>0.99850000000000005</v>
      </c>
      <c r="H24" s="3"/>
    </row>
    <row r="25" spans="1:10" ht="15.75" customHeight="1" x14ac:dyDescent="0.2">
      <c r="A25" s="3" t="s">
        <v>979</v>
      </c>
      <c r="B25" s="3" t="s">
        <v>530</v>
      </c>
      <c r="C25" s="3">
        <v>1</v>
      </c>
      <c r="D25" s="3">
        <v>3</v>
      </c>
      <c r="E25" s="3">
        <v>2</v>
      </c>
      <c r="F25" s="3">
        <v>0</v>
      </c>
      <c r="G25" s="3">
        <v>0.99987499999999996</v>
      </c>
      <c r="H25" s="3"/>
    </row>
    <row r="26" spans="1:10" ht="15.75" customHeight="1" x14ac:dyDescent="0.2">
      <c r="A26" s="3" t="s">
        <v>979</v>
      </c>
      <c r="B26" s="3" t="s">
        <v>534</v>
      </c>
      <c r="C26" s="3">
        <v>0</v>
      </c>
      <c r="D26" s="3">
        <v>0</v>
      </c>
      <c r="E26" s="3">
        <v>0</v>
      </c>
      <c r="F26" s="3">
        <v>0</v>
      </c>
      <c r="G26" s="3">
        <v>1.0625000000000001E-2</v>
      </c>
      <c r="H26" s="3"/>
    </row>
    <row r="27" spans="1:10" ht="15.75" customHeight="1" x14ac:dyDescent="0.2">
      <c r="A27" s="3" t="s">
        <v>979</v>
      </c>
      <c r="B27" s="3" t="s">
        <v>542</v>
      </c>
      <c r="C27" s="3">
        <v>0</v>
      </c>
      <c r="D27" s="3">
        <v>2</v>
      </c>
      <c r="E27" s="3">
        <v>2</v>
      </c>
      <c r="F27" s="3">
        <v>0</v>
      </c>
      <c r="G27" s="3">
        <v>0.99662499999999998</v>
      </c>
      <c r="H27" s="3"/>
    </row>
    <row r="28" spans="1:10" ht="15.75" customHeight="1" x14ac:dyDescent="0.2">
      <c r="A28" s="3" t="s">
        <v>979</v>
      </c>
      <c r="B28" s="3" t="s">
        <v>546</v>
      </c>
      <c r="C28" s="3">
        <v>1</v>
      </c>
      <c r="D28" s="3">
        <v>3</v>
      </c>
      <c r="E28" s="3">
        <v>1</v>
      </c>
      <c r="F28" s="3">
        <v>0</v>
      </c>
      <c r="G28" s="3">
        <v>0.99912500000000004</v>
      </c>
      <c r="H28" s="3"/>
    </row>
    <row r="29" spans="1:10" ht="15.75" customHeight="1" x14ac:dyDescent="0.2">
      <c r="A29" s="3" t="s">
        <v>979</v>
      </c>
      <c r="B29" s="3" t="s">
        <v>549</v>
      </c>
      <c r="C29" s="3">
        <v>2</v>
      </c>
      <c r="D29" s="3">
        <v>2</v>
      </c>
      <c r="E29" s="3">
        <v>0</v>
      </c>
      <c r="F29" s="3">
        <v>0</v>
      </c>
      <c r="G29" s="3">
        <v>0.99675000000000002</v>
      </c>
      <c r="H29" s="3"/>
    </row>
    <row r="30" spans="1:10" ht="15.75" customHeight="1" x14ac:dyDescent="0.2">
      <c r="A30" s="3" t="s">
        <v>979</v>
      </c>
      <c r="B30" s="3" t="s">
        <v>551</v>
      </c>
      <c r="C30" s="3">
        <v>0</v>
      </c>
      <c r="D30" s="3">
        <v>0</v>
      </c>
      <c r="E30" s="3">
        <v>0</v>
      </c>
      <c r="F30" s="3">
        <v>0</v>
      </c>
      <c r="G30" s="3">
        <v>1.0874999999999999E-2</v>
      </c>
      <c r="H30" s="3"/>
    </row>
    <row r="31" spans="1:10" ht="15.75" customHeight="1" x14ac:dyDescent="0.2">
      <c r="A31" s="3" t="s">
        <v>979</v>
      </c>
      <c r="B31" s="3" t="s">
        <v>555</v>
      </c>
      <c r="C31" s="3">
        <v>0</v>
      </c>
      <c r="D31" s="3">
        <v>0</v>
      </c>
      <c r="E31" s="3">
        <v>0</v>
      </c>
      <c r="F31" s="3">
        <v>0</v>
      </c>
      <c r="G31" s="3">
        <v>1.0500000000000001E-2</v>
      </c>
      <c r="H31" s="3"/>
    </row>
    <row r="32" spans="1:10" ht="15.75" customHeight="1" x14ac:dyDescent="0.2">
      <c r="A32" s="3" t="s">
        <v>979</v>
      </c>
      <c r="B32" s="3" t="s">
        <v>557</v>
      </c>
      <c r="C32" s="3">
        <v>1</v>
      </c>
      <c r="D32" s="3">
        <v>1</v>
      </c>
      <c r="E32" s="3">
        <v>2</v>
      </c>
      <c r="F32" s="3">
        <v>0</v>
      </c>
      <c r="G32" s="3">
        <v>0.99775000000000003</v>
      </c>
      <c r="H32" s="3"/>
    </row>
    <row r="33" spans="1:8" ht="15.75" customHeight="1" x14ac:dyDescent="0.2">
      <c r="A33" s="3" t="s">
        <v>979</v>
      </c>
      <c r="B33" s="3" t="s">
        <v>565</v>
      </c>
      <c r="C33" s="3">
        <v>0</v>
      </c>
      <c r="D33" s="3">
        <v>0</v>
      </c>
      <c r="E33" s="3">
        <v>0</v>
      </c>
      <c r="F33" s="3">
        <v>0</v>
      </c>
      <c r="G33" s="3">
        <v>9.2499999999999995E-3</v>
      </c>
      <c r="H33" s="3"/>
    </row>
    <row r="34" spans="1:8" ht="15.75" customHeight="1" x14ac:dyDescent="0.2">
      <c r="A34" s="3" t="s">
        <v>979</v>
      </c>
      <c r="B34" s="3" t="s">
        <v>570</v>
      </c>
      <c r="C34" s="3">
        <v>0</v>
      </c>
      <c r="D34" s="3">
        <v>0</v>
      </c>
      <c r="E34" s="3">
        <v>0</v>
      </c>
      <c r="F34" s="3">
        <v>0</v>
      </c>
      <c r="G34" s="3">
        <v>1.025E-2</v>
      </c>
      <c r="H34" s="3"/>
    </row>
    <row r="35" spans="1:8" ht="15.75" customHeight="1" x14ac:dyDescent="0.2">
      <c r="A35" s="3" t="s">
        <v>979</v>
      </c>
      <c r="B35" s="3" t="s">
        <v>572</v>
      </c>
      <c r="C35" s="3">
        <v>0</v>
      </c>
      <c r="D35" s="3">
        <v>0</v>
      </c>
      <c r="E35" s="3">
        <v>0</v>
      </c>
      <c r="F35" s="3">
        <v>0</v>
      </c>
      <c r="G35" s="3">
        <v>8.9999999999999993E-3</v>
      </c>
      <c r="H35" s="3"/>
    </row>
    <row r="36" spans="1:8" ht="15.75" customHeight="1" x14ac:dyDescent="0.2">
      <c r="A36" s="3" t="s">
        <v>979</v>
      </c>
      <c r="B36" s="3" t="s">
        <v>576</v>
      </c>
      <c r="C36" s="3">
        <v>0</v>
      </c>
      <c r="D36" s="3">
        <v>0</v>
      </c>
      <c r="E36" s="3">
        <v>0</v>
      </c>
      <c r="F36" s="3">
        <v>0</v>
      </c>
      <c r="G36" s="3">
        <v>1.0500000000000001E-2</v>
      </c>
      <c r="H36" s="3"/>
    </row>
    <row r="37" spans="1:8" ht="15.75" customHeight="1" x14ac:dyDescent="0.2">
      <c r="A37" s="3" t="s">
        <v>979</v>
      </c>
      <c r="B37" s="3" t="s">
        <v>578</v>
      </c>
      <c r="C37" s="3">
        <v>3</v>
      </c>
      <c r="D37" s="3">
        <v>3</v>
      </c>
      <c r="E37" s="3">
        <v>3</v>
      </c>
      <c r="F37" s="3">
        <v>0</v>
      </c>
      <c r="G37" s="3">
        <v>0.99987499999999996</v>
      </c>
      <c r="H37" s="3"/>
    </row>
    <row r="38" spans="1:8" ht="15.75" customHeight="1" x14ac:dyDescent="0.2">
      <c r="A38" s="3" t="s">
        <v>979</v>
      </c>
      <c r="B38" s="3" t="s">
        <v>582</v>
      </c>
      <c r="C38" s="3">
        <v>0</v>
      </c>
      <c r="D38" s="3">
        <v>1</v>
      </c>
      <c r="E38" s="3">
        <v>0</v>
      </c>
      <c r="F38" s="3">
        <v>0</v>
      </c>
      <c r="G38" s="3">
        <v>0.23574999999999999</v>
      </c>
      <c r="H38" s="3"/>
    </row>
    <row r="39" spans="1:8" ht="15.75" customHeight="1" x14ac:dyDescent="0.2">
      <c r="A39" s="3" t="s">
        <v>979</v>
      </c>
      <c r="B39" s="3" t="s">
        <v>584</v>
      </c>
      <c r="C39" s="3">
        <v>3</v>
      </c>
      <c r="D39" s="3">
        <v>3</v>
      </c>
      <c r="E39" s="3">
        <v>3</v>
      </c>
      <c r="F39" s="3">
        <v>0</v>
      </c>
      <c r="G39" s="3">
        <v>1</v>
      </c>
      <c r="H39" s="3"/>
    </row>
    <row r="40" spans="1:8" ht="15.75" customHeight="1" x14ac:dyDescent="0.2">
      <c r="A40" s="3" t="s">
        <v>979</v>
      </c>
      <c r="B40" s="3" t="s">
        <v>588</v>
      </c>
      <c r="C40" s="3">
        <v>3</v>
      </c>
      <c r="D40" s="3">
        <v>3</v>
      </c>
      <c r="E40" s="3">
        <v>2</v>
      </c>
      <c r="F40" s="3">
        <v>0</v>
      </c>
      <c r="G40" s="3">
        <v>0.99987499999999996</v>
      </c>
      <c r="H40" s="3"/>
    </row>
    <row r="41" spans="1:8" ht="15.75" customHeight="1" x14ac:dyDescent="0.2">
      <c r="A41" s="3" t="s">
        <v>979</v>
      </c>
      <c r="B41" s="3" t="s">
        <v>590</v>
      </c>
      <c r="C41" s="3">
        <v>2</v>
      </c>
      <c r="D41" s="3">
        <v>2</v>
      </c>
      <c r="E41" s="3">
        <v>3</v>
      </c>
      <c r="F41" s="3">
        <v>0</v>
      </c>
      <c r="G41" s="3">
        <v>1</v>
      </c>
      <c r="H41" s="3"/>
    </row>
    <row r="42" spans="1:8" ht="15.75" customHeight="1" x14ac:dyDescent="0.2">
      <c r="A42" s="3" t="s">
        <v>979</v>
      </c>
      <c r="B42" s="3" t="s">
        <v>594</v>
      </c>
      <c r="C42" s="3">
        <v>0</v>
      </c>
      <c r="D42" s="3">
        <v>0</v>
      </c>
      <c r="E42" s="3">
        <v>0</v>
      </c>
      <c r="F42" s="3">
        <v>0</v>
      </c>
      <c r="G42" s="3">
        <v>1.225E-2</v>
      </c>
      <c r="H42" s="3"/>
    </row>
    <row r="43" spans="1:8" ht="15.75" customHeight="1" x14ac:dyDescent="0.2">
      <c r="A43" s="3" t="s">
        <v>979</v>
      </c>
      <c r="B43" s="3" t="s">
        <v>599</v>
      </c>
      <c r="C43" s="3">
        <v>0</v>
      </c>
      <c r="D43" s="3">
        <v>0</v>
      </c>
      <c r="E43" s="3">
        <v>0</v>
      </c>
      <c r="F43" s="3">
        <v>0</v>
      </c>
      <c r="G43" s="3">
        <v>9.4999999999999998E-3</v>
      </c>
      <c r="H43" s="3"/>
    </row>
    <row r="44" spans="1:8" ht="15.75" customHeight="1" x14ac:dyDescent="0.2">
      <c r="A44" s="3" t="s">
        <v>979</v>
      </c>
      <c r="B44" s="3" t="s">
        <v>601</v>
      </c>
      <c r="C44" s="3">
        <v>0</v>
      </c>
      <c r="D44" s="3">
        <v>0</v>
      </c>
      <c r="E44" s="3">
        <v>0</v>
      </c>
      <c r="F44" s="3">
        <v>0</v>
      </c>
      <c r="G44" s="3">
        <v>9.8750000000000001E-3</v>
      </c>
      <c r="H44" s="3"/>
    </row>
    <row r="45" spans="1:8" ht="15.75" customHeight="1" x14ac:dyDescent="0.2">
      <c r="A45" s="3" t="s">
        <v>979</v>
      </c>
      <c r="B45" s="3" t="s">
        <v>603</v>
      </c>
      <c r="C45" s="3">
        <v>1</v>
      </c>
      <c r="D45" s="3">
        <v>1</v>
      </c>
      <c r="E45" s="3">
        <v>1</v>
      </c>
      <c r="F45" s="3">
        <v>0</v>
      </c>
      <c r="G45" s="3">
        <v>0.94412499999999999</v>
      </c>
      <c r="H45" s="3"/>
    </row>
    <row r="46" spans="1:8" ht="15.75" customHeight="1" x14ac:dyDescent="0.2">
      <c r="A46" s="3" t="s">
        <v>979</v>
      </c>
      <c r="B46" s="3" t="s">
        <v>607</v>
      </c>
      <c r="C46" s="3">
        <v>3</v>
      </c>
      <c r="D46" s="3">
        <v>2</v>
      </c>
      <c r="E46" s="3">
        <v>3</v>
      </c>
      <c r="F46" s="3">
        <v>0</v>
      </c>
      <c r="G46" s="3">
        <v>0.99975000000000003</v>
      </c>
      <c r="H46" s="3"/>
    </row>
    <row r="47" spans="1:8" ht="15.75" customHeight="1" x14ac:dyDescent="0.2">
      <c r="A47" s="3" t="s">
        <v>979</v>
      </c>
      <c r="B47" s="3" t="s">
        <v>609</v>
      </c>
      <c r="C47" s="3">
        <v>1</v>
      </c>
      <c r="D47" s="3">
        <v>2</v>
      </c>
      <c r="E47" s="3">
        <v>2</v>
      </c>
      <c r="F47" s="3">
        <v>0</v>
      </c>
      <c r="G47" s="3">
        <v>0.99987499999999996</v>
      </c>
      <c r="H47" s="3"/>
    </row>
    <row r="48" spans="1:8" ht="15.75" customHeight="1" x14ac:dyDescent="0.2">
      <c r="A48" s="3" t="s">
        <v>979</v>
      </c>
      <c r="B48" s="3" t="s">
        <v>613</v>
      </c>
      <c r="C48" s="3">
        <v>2</v>
      </c>
      <c r="D48" s="3">
        <v>0</v>
      </c>
      <c r="E48" s="3">
        <v>1</v>
      </c>
      <c r="F48" s="3">
        <v>0</v>
      </c>
      <c r="G48" s="3">
        <v>0.97537499999999999</v>
      </c>
      <c r="H48" s="3"/>
    </row>
    <row r="49" spans="1:8" ht="15.75" customHeight="1" x14ac:dyDescent="0.2">
      <c r="A49" s="3" t="s">
        <v>979</v>
      </c>
      <c r="B49" s="3" t="s">
        <v>617</v>
      </c>
      <c r="C49" s="3">
        <v>0</v>
      </c>
      <c r="D49" s="3">
        <v>0</v>
      </c>
      <c r="E49" s="3">
        <v>0</v>
      </c>
      <c r="F49" s="3">
        <v>0</v>
      </c>
      <c r="G49" s="3">
        <v>8.2500000000000004E-3</v>
      </c>
      <c r="H49" s="3"/>
    </row>
    <row r="50" spans="1:8" ht="15.75" customHeight="1" x14ac:dyDescent="0.2">
      <c r="A50" s="3" t="s">
        <v>979</v>
      </c>
      <c r="B50" s="3" t="s">
        <v>621</v>
      </c>
      <c r="C50" s="3">
        <v>2</v>
      </c>
      <c r="D50" s="3">
        <v>3</v>
      </c>
      <c r="E50" s="3">
        <v>3</v>
      </c>
      <c r="F50" s="3">
        <v>0</v>
      </c>
      <c r="G50" s="3">
        <v>0.99987499999999996</v>
      </c>
      <c r="H50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"/>
  <sheetViews>
    <sheetView zoomScale="80" zoomScaleNormal="80" workbookViewId="0"/>
  </sheetViews>
  <sheetFormatPr baseColWidth="10" defaultColWidth="10.83203125" defaultRowHeight="15.75" customHeight="1" x14ac:dyDescent="0.2"/>
  <cols>
    <col min="1" max="8" width="25.83203125" style="3" customWidth="1"/>
    <col min="9" max="16384" width="10.83203125" style="3"/>
  </cols>
  <sheetData>
    <row r="1" spans="1:8" ht="15.75" customHeight="1" x14ac:dyDescent="0.2">
      <c r="A1" s="38" t="s">
        <v>8026</v>
      </c>
    </row>
    <row r="3" spans="1:8" ht="15.75" customHeight="1" x14ac:dyDescent="0.2">
      <c r="A3" s="40" t="s">
        <v>972</v>
      </c>
      <c r="B3" s="40" t="s">
        <v>973</v>
      </c>
      <c r="C3" s="40" t="s">
        <v>974</v>
      </c>
      <c r="D3" s="40" t="s">
        <v>975</v>
      </c>
      <c r="E3" s="40" t="s">
        <v>976</v>
      </c>
      <c r="F3" s="40" t="s">
        <v>995</v>
      </c>
      <c r="G3" s="40" t="s">
        <v>978</v>
      </c>
      <c r="H3" s="40"/>
    </row>
    <row r="4" spans="1:8" ht="15.75" customHeight="1" x14ac:dyDescent="0.2">
      <c r="A4" s="3" t="s">
        <v>979</v>
      </c>
      <c r="B4" s="3" t="s">
        <v>442</v>
      </c>
      <c r="C4" s="3">
        <v>3</v>
      </c>
      <c r="D4" s="3">
        <v>3</v>
      </c>
      <c r="E4" s="3">
        <v>3</v>
      </c>
      <c r="F4" s="3">
        <v>0</v>
      </c>
      <c r="G4" s="3">
        <v>0.99962499999999999</v>
      </c>
    </row>
    <row r="5" spans="1:8" ht="15.75" customHeight="1" x14ac:dyDescent="0.2">
      <c r="A5" s="3" t="s">
        <v>979</v>
      </c>
      <c r="B5" s="3" t="s">
        <v>452</v>
      </c>
      <c r="C5" s="3">
        <v>0</v>
      </c>
      <c r="D5" s="3">
        <v>0</v>
      </c>
      <c r="E5" s="3">
        <v>0</v>
      </c>
      <c r="F5" s="3">
        <v>0</v>
      </c>
      <c r="G5" s="3">
        <v>4.2500000000000003E-3</v>
      </c>
    </row>
    <row r="6" spans="1:8" ht="15.75" customHeight="1" x14ac:dyDescent="0.2">
      <c r="A6" s="3" t="s">
        <v>979</v>
      </c>
      <c r="B6" s="3" t="s">
        <v>454</v>
      </c>
      <c r="C6" s="3">
        <v>0</v>
      </c>
      <c r="D6" s="3">
        <v>0</v>
      </c>
      <c r="E6" s="3">
        <v>0</v>
      </c>
      <c r="F6" s="3">
        <v>0</v>
      </c>
      <c r="G6" s="3">
        <v>3.7499999999999999E-3</v>
      </c>
      <c r="H6" s="73"/>
    </row>
    <row r="7" spans="1:8" ht="15.75" customHeight="1" x14ac:dyDescent="0.2">
      <c r="A7" s="3" t="s">
        <v>979</v>
      </c>
      <c r="B7" s="3" t="s">
        <v>456</v>
      </c>
      <c r="C7" s="3">
        <v>1</v>
      </c>
      <c r="D7" s="3">
        <v>2</v>
      </c>
      <c r="E7" s="3">
        <v>1</v>
      </c>
      <c r="F7" s="3">
        <v>0</v>
      </c>
      <c r="G7" s="3">
        <v>0.69412499999999999</v>
      </c>
    </row>
    <row r="8" spans="1:8" ht="15.75" customHeight="1" x14ac:dyDescent="0.2">
      <c r="A8" s="3" t="s">
        <v>979</v>
      </c>
      <c r="B8" s="3" t="s">
        <v>464</v>
      </c>
      <c r="C8" s="3">
        <v>0</v>
      </c>
      <c r="D8" s="3">
        <v>0</v>
      </c>
      <c r="E8" s="3">
        <v>0</v>
      </c>
      <c r="F8" s="3">
        <v>0</v>
      </c>
      <c r="G8" s="3">
        <v>4.1250000000000002E-3</v>
      </c>
    </row>
    <row r="9" spans="1:8" ht="15.75" customHeight="1" x14ac:dyDescent="0.2">
      <c r="A9" s="3" t="s">
        <v>979</v>
      </c>
      <c r="B9" s="3" t="s">
        <v>468</v>
      </c>
      <c r="C9" s="3">
        <v>3</v>
      </c>
      <c r="D9" s="3">
        <v>3</v>
      </c>
      <c r="E9" s="3">
        <v>3</v>
      </c>
      <c r="F9" s="3">
        <v>1</v>
      </c>
      <c r="G9" s="3">
        <v>1</v>
      </c>
    </row>
    <row r="10" spans="1:8" ht="15.75" customHeight="1" x14ac:dyDescent="0.2">
      <c r="A10" s="3" t="s">
        <v>979</v>
      </c>
      <c r="B10" s="3" t="s">
        <v>472</v>
      </c>
      <c r="C10" s="3">
        <v>1</v>
      </c>
      <c r="D10" s="3">
        <v>2</v>
      </c>
      <c r="E10" s="3">
        <v>1</v>
      </c>
      <c r="F10" s="3">
        <v>1</v>
      </c>
      <c r="G10" s="3">
        <v>1</v>
      </c>
    </row>
    <row r="11" spans="1:8" ht="15.75" customHeight="1" x14ac:dyDescent="0.2">
      <c r="A11" s="3" t="s">
        <v>979</v>
      </c>
      <c r="B11" s="3" t="s">
        <v>476</v>
      </c>
      <c r="C11" s="3">
        <v>1</v>
      </c>
      <c r="D11" s="3">
        <v>3</v>
      </c>
      <c r="E11" s="3">
        <v>0</v>
      </c>
      <c r="F11" s="3">
        <v>0</v>
      </c>
      <c r="G11" s="3">
        <v>0.78437500000000004</v>
      </c>
    </row>
    <row r="12" spans="1:8" ht="15.75" customHeight="1" x14ac:dyDescent="0.2">
      <c r="A12" s="3" t="s">
        <v>979</v>
      </c>
      <c r="B12" s="3" t="s">
        <v>478</v>
      </c>
      <c r="C12" s="3">
        <v>0</v>
      </c>
      <c r="D12" s="3">
        <v>0</v>
      </c>
      <c r="E12" s="3">
        <v>0</v>
      </c>
      <c r="F12" s="3">
        <v>0</v>
      </c>
      <c r="G12" s="3">
        <v>4.0000000000000001E-3</v>
      </c>
    </row>
    <row r="13" spans="1:8" ht="15.75" customHeight="1" x14ac:dyDescent="0.2">
      <c r="A13" s="3" t="s">
        <v>979</v>
      </c>
      <c r="B13" s="3" t="s">
        <v>482</v>
      </c>
      <c r="C13" s="3">
        <v>1</v>
      </c>
      <c r="D13" s="3">
        <v>3</v>
      </c>
      <c r="E13" s="3">
        <v>3</v>
      </c>
      <c r="F13" s="3">
        <v>0</v>
      </c>
      <c r="G13" s="3">
        <v>0.99437500000000001</v>
      </c>
    </row>
    <row r="14" spans="1:8" ht="15.75" customHeight="1" x14ac:dyDescent="0.2">
      <c r="A14" s="3" t="s">
        <v>979</v>
      </c>
      <c r="B14" s="3" t="s">
        <v>486</v>
      </c>
      <c r="C14" s="3">
        <v>0</v>
      </c>
      <c r="D14" s="3">
        <v>0</v>
      </c>
      <c r="E14" s="3">
        <v>0</v>
      </c>
      <c r="F14" s="3">
        <v>0</v>
      </c>
      <c r="G14" s="3">
        <v>4.0000000000000001E-3</v>
      </c>
    </row>
    <row r="15" spans="1:8" ht="15.75" customHeight="1" x14ac:dyDescent="0.2">
      <c r="A15" s="3" t="s">
        <v>979</v>
      </c>
      <c r="B15" s="3" t="s">
        <v>491</v>
      </c>
      <c r="C15" s="3">
        <v>3</v>
      </c>
      <c r="D15" s="3">
        <v>3</v>
      </c>
      <c r="E15" s="3">
        <v>3</v>
      </c>
      <c r="F15" s="3">
        <v>1</v>
      </c>
      <c r="G15" s="3">
        <v>1</v>
      </c>
    </row>
    <row r="16" spans="1:8" ht="15.75" customHeight="1" x14ac:dyDescent="0.2">
      <c r="A16" s="3" t="s">
        <v>979</v>
      </c>
      <c r="B16" s="3" t="s">
        <v>495</v>
      </c>
      <c r="C16" s="3">
        <v>3</v>
      </c>
      <c r="D16" s="3">
        <v>3</v>
      </c>
      <c r="E16" s="3">
        <v>3</v>
      </c>
      <c r="F16" s="3">
        <v>1</v>
      </c>
      <c r="G16" s="3">
        <v>1</v>
      </c>
    </row>
    <row r="17" spans="1:7" ht="15.75" customHeight="1" x14ac:dyDescent="0.2">
      <c r="A17" s="3" t="s">
        <v>979</v>
      </c>
      <c r="B17" s="3" t="s">
        <v>499</v>
      </c>
      <c r="C17" s="3">
        <v>0</v>
      </c>
      <c r="D17" s="3">
        <v>0</v>
      </c>
      <c r="E17" s="3">
        <v>0</v>
      </c>
      <c r="F17" s="3">
        <v>0</v>
      </c>
      <c r="G17" s="3">
        <v>4.7499999999999999E-3</v>
      </c>
    </row>
    <row r="18" spans="1:7" ht="15.75" customHeight="1" x14ac:dyDescent="0.2">
      <c r="A18" s="3" t="s">
        <v>979</v>
      </c>
      <c r="B18" s="3" t="s">
        <v>503</v>
      </c>
      <c r="C18" s="3">
        <v>0</v>
      </c>
      <c r="D18" s="3">
        <v>0</v>
      </c>
      <c r="E18" s="3">
        <v>0</v>
      </c>
      <c r="F18" s="3">
        <v>1</v>
      </c>
      <c r="G18" s="3">
        <v>1</v>
      </c>
    </row>
    <row r="19" spans="1:7" ht="15.75" customHeight="1" x14ac:dyDescent="0.2">
      <c r="A19" s="3" t="s">
        <v>979</v>
      </c>
      <c r="B19" s="3" t="s">
        <v>507</v>
      </c>
      <c r="C19" s="3">
        <v>0</v>
      </c>
      <c r="D19" s="3">
        <v>0</v>
      </c>
      <c r="E19" s="3">
        <v>0</v>
      </c>
      <c r="F19" s="3">
        <v>0</v>
      </c>
      <c r="G19" s="3">
        <v>3.5000000000000001E-3</v>
      </c>
    </row>
    <row r="20" spans="1:7" ht="15.75" customHeight="1" x14ac:dyDescent="0.2">
      <c r="A20" s="3" t="s">
        <v>979</v>
      </c>
      <c r="B20" s="3" t="s">
        <v>509</v>
      </c>
      <c r="C20" s="3">
        <v>0</v>
      </c>
      <c r="D20" s="3">
        <v>0</v>
      </c>
      <c r="E20" s="3">
        <v>0</v>
      </c>
      <c r="F20" s="3">
        <v>0</v>
      </c>
      <c r="G20" s="3">
        <v>4.7499999999999999E-3</v>
      </c>
    </row>
    <row r="21" spans="1:7" ht="15.75" customHeight="1" x14ac:dyDescent="0.2">
      <c r="A21" s="3" t="s">
        <v>979</v>
      </c>
      <c r="B21" s="3" t="s">
        <v>522</v>
      </c>
      <c r="C21" s="3">
        <v>0</v>
      </c>
      <c r="D21" s="3">
        <v>1</v>
      </c>
      <c r="E21" s="3">
        <v>1</v>
      </c>
      <c r="F21" s="3">
        <v>0</v>
      </c>
      <c r="G21" s="3">
        <v>6.5000000000000002E-2</v>
      </c>
    </row>
    <row r="22" spans="1:7" ht="15.75" customHeight="1" x14ac:dyDescent="0.2">
      <c r="A22" s="3" t="s">
        <v>979</v>
      </c>
      <c r="B22" s="3" t="s">
        <v>514</v>
      </c>
      <c r="C22" s="3">
        <v>3</v>
      </c>
      <c r="D22" s="3">
        <v>3</v>
      </c>
      <c r="E22" s="3">
        <v>3</v>
      </c>
      <c r="F22" s="3">
        <v>0</v>
      </c>
      <c r="G22" s="3">
        <v>1</v>
      </c>
    </row>
    <row r="23" spans="1:7" ht="15.75" customHeight="1" x14ac:dyDescent="0.2">
      <c r="A23" s="3" t="s">
        <v>979</v>
      </c>
      <c r="B23" s="3" t="s">
        <v>518</v>
      </c>
      <c r="C23" s="3">
        <v>1</v>
      </c>
      <c r="D23" s="3">
        <v>0</v>
      </c>
      <c r="E23" s="3">
        <v>1</v>
      </c>
      <c r="F23" s="3">
        <v>0</v>
      </c>
      <c r="G23" s="3">
        <v>6.1749999999999999E-2</v>
      </c>
    </row>
    <row r="24" spans="1:7" ht="15.75" customHeight="1" x14ac:dyDescent="0.2">
      <c r="A24" s="3" t="s">
        <v>979</v>
      </c>
      <c r="B24" s="3" t="s">
        <v>526</v>
      </c>
      <c r="C24" s="3">
        <v>1</v>
      </c>
      <c r="D24" s="3">
        <v>0</v>
      </c>
      <c r="E24" s="3">
        <v>0</v>
      </c>
      <c r="F24" s="3">
        <v>0</v>
      </c>
      <c r="G24" s="3">
        <v>1.1625E-2</v>
      </c>
    </row>
    <row r="25" spans="1:7" ht="15.75" customHeight="1" x14ac:dyDescent="0.2">
      <c r="A25" s="3" t="s">
        <v>979</v>
      </c>
      <c r="B25" s="3" t="s">
        <v>530</v>
      </c>
      <c r="C25" s="3">
        <v>1</v>
      </c>
      <c r="D25" s="3">
        <v>1</v>
      </c>
      <c r="E25" s="3">
        <v>3</v>
      </c>
      <c r="F25" s="3">
        <v>0</v>
      </c>
      <c r="G25" s="3">
        <v>0.88062499999999999</v>
      </c>
    </row>
    <row r="26" spans="1:7" ht="15.75" customHeight="1" x14ac:dyDescent="0.2">
      <c r="A26" s="3" t="s">
        <v>979</v>
      </c>
      <c r="B26" s="3" t="s">
        <v>534</v>
      </c>
      <c r="C26" s="3">
        <v>1</v>
      </c>
      <c r="D26" s="3">
        <v>1</v>
      </c>
      <c r="E26" s="3">
        <v>0</v>
      </c>
      <c r="F26" s="3">
        <v>0</v>
      </c>
      <c r="G26" s="3">
        <v>6.275E-2</v>
      </c>
    </row>
    <row r="27" spans="1:7" ht="15.75" customHeight="1" x14ac:dyDescent="0.2">
      <c r="A27" s="3" t="s">
        <v>979</v>
      </c>
      <c r="B27" s="3" t="s">
        <v>542</v>
      </c>
      <c r="C27" s="3">
        <v>0</v>
      </c>
      <c r="D27" s="3">
        <v>0</v>
      </c>
      <c r="E27" s="3">
        <v>0</v>
      </c>
      <c r="F27" s="3">
        <v>0</v>
      </c>
      <c r="G27" s="3">
        <v>3.875E-3</v>
      </c>
    </row>
    <row r="28" spans="1:7" ht="15.75" customHeight="1" x14ac:dyDescent="0.2">
      <c r="A28" s="3" t="s">
        <v>979</v>
      </c>
      <c r="B28" s="3" t="s">
        <v>546</v>
      </c>
      <c r="C28" s="3">
        <v>3</v>
      </c>
      <c r="D28" s="3">
        <v>3</v>
      </c>
      <c r="E28" s="3">
        <v>1</v>
      </c>
      <c r="F28" s="3">
        <v>0</v>
      </c>
      <c r="G28" s="3">
        <v>0.995</v>
      </c>
    </row>
    <row r="29" spans="1:7" ht="15.75" customHeight="1" x14ac:dyDescent="0.2">
      <c r="A29" s="3" t="s">
        <v>979</v>
      </c>
      <c r="B29" s="3" t="s">
        <v>549</v>
      </c>
      <c r="C29" s="3">
        <v>1</v>
      </c>
      <c r="D29" s="3">
        <v>2</v>
      </c>
      <c r="E29" s="3">
        <v>0</v>
      </c>
      <c r="F29" s="3">
        <v>0</v>
      </c>
      <c r="G29" s="3">
        <v>0.48975000000000002</v>
      </c>
    </row>
    <row r="30" spans="1:7" ht="15.75" customHeight="1" x14ac:dyDescent="0.2">
      <c r="A30" s="3" t="s">
        <v>979</v>
      </c>
      <c r="B30" s="3" t="s">
        <v>551</v>
      </c>
      <c r="C30" s="3">
        <v>0</v>
      </c>
      <c r="D30" s="3">
        <v>0</v>
      </c>
      <c r="E30" s="3">
        <v>0</v>
      </c>
      <c r="F30" s="3">
        <v>0</v>
      </c>
      <c r="G30" s="3">
        <v>4.3750000000000004E-3</v>
      </c>
    </row>
    <row r="31" spans="1:7" ht="15.75" customHeight="1" x14ac:dyDescent="0.2">
      <c r="A31" s="3" t="s">
        <v>979</v>
      </c>
      <c r="B31" s="3" t="s">
        <v>555</v>
      </c>
      <c r="C31" s="3">
        <v>3</v>
      </c>
      <c r="D31" s="3">
        <v>0</v>
      </c>
      <c r="E31" s="3">
        <v>2</v>
      </c>
      <c r="F31" s="3">
        <v>0</v>
      </c>
      <c r="G31" s="3">
        <v>0.96150000000000002</v>
      </c>
    </row>
    <row r="32" spans="1:7" ht="15.75" customHeight="1" x14ac:dyDescent="0.2">
      <c r="A32" s="3" t="s">
        <v>979</v>
      </c>
      <c r="B32" s="3" t="s">
        <v>557</v>
      </c>
      <c r="C32" s="3">
        <v>3</v>
      </c>
      <c r="D32" s="3">
        <v>3</v>
      </c>
      <c r="E32" s="3">
        <v>3</v>
      </c>
      <c r="F32" s="3">
        <v>0</v>
      </c>
      <c r="G32" s="3">
        <v>1</v>
      </c>
    </row>
    <row r="33" spans="1:7" ht="15.75" customHeight="1" x14ac:dyDescent="0.2">
      <c r="A33" s="3" t="s">
        <v>979</v>
      </c>
      <c r="B33" s="3" t="s">
        <v>565</v>
      </c>
      <c r="C33" s="3">
        <v>1</v>
      </c>
      <c r="D33" s="3">
        <v>2</v>
      </c>
      <c r="E33" s="3">
        <v>2</v>
      </c>
      <c r="F33" s="3">
        <v>0</v>
      </c>
      <c r="G33" s="3">
        <v>0.90337500000000004</v>
      </c>
    </row>
    <row r="34" spans="1:7" ht="15.75" customHeight="1" x14ac:dyDescent="0.2">
      <c r="A34" s="3" t="s">
        <v>979</v>
      </c>
      <c r="B34" s="3" t="s">
        <v>570</v>
      </c>
      <c r="C34" s="3">
        <v>0</v>
      </c>
      <c r="D34" s="3">
        <v>0</v>
      </c>
      <c r="E34" s="3">
        <v>0</v>
      </c>
      <c r="F34" s="3">
        <v>0</v>
      </c>
      <c r="G34" s="3">
        <v>3.7499999999999999E-3</v>
      </c>
    </row>
    <row r="35" spans="1:7" ht="15.75" customHeight="1" x14ac:dyDescent="0.2">
      <c r="A35" s="3" t="s">
        <v>979</v>
      </c>
      <c r="B35" s="3" t="s">
        <v>572</v>
      </c>
      <c r="C35" s="3">
        <v>1</v>
      </c>
      <c r="D35" s="3">
        <v>0</v>
      </c>
      <c r="E35" s="3">
        <v>0</v>
      </c>
      <c r="F35" s="3">
        <v>0</v>
      </c>
      <c r="G35" s="3">
        <v>1.0999999999999999E-2</v>
      </c>
    </row>
    <row r="36" spans="1:7" ht="15.75" customHeight="1" x14ac:dyDescent="0.2">
      <c r="A36" s="3" t="s">
        <v>979</v>
      </c>
      <c r="B36" s="3" t="s">
        <v>576</v>
      </c>
      <c r="C36" s="3">
        <v>0</v>
      </c>
      <c r="D36" s="3">
        <v>0</v>
      </c>
      <c r="E36" s="3">
        <v>1</v>
      </c>
      <c r="F36" s="3">
        <v>0</v>
      </c>
      <c r="G36" s="3">
        <v>1.2E-2</v>
      </c>
    </row>
    <row r="37" spans="1:7" ht="15.75" customHeight="1" x14ac:dyDescent="0.2">
      <c r="A37" s="3" t="s">
        <v>979</v>
      </c>
      <c r="B37" s="3" t="s">
        <v>578</v>
      </c>
      <c r="C37" s="3">
        <v>2</v>
      </c>
      <c r="D37" s="3">
        <v>2</v>
      </c>
      <c r="E37" s="3">
        <v>1</v>
      </c>
      <c r="F37" s="3">
        <v>0</v>
      </c>
      <c r="G37" s="3">
        <v>0.90024999999999999</v>
      </c>
    </row>
    <row r="38" spans="1:7" ht="15.75" customHeight="1" x14ac:dyDescent="0.2">
      <c r="A38" s="3" t="s">
        <v>979</v>
      </c>
      <c r="B38" s="3" t="s">
        <v>582</v>
      </c>
      <c r="C38" s="3">
        <v>1</v>
      </c>
      <c r="D38" s="3">
        <v>1</v>
      </c>
      <c r="E38" s="3">
        <v>1</v>
      </c>
      <c r="F38" s="3">
        <v>0</v>
      </c>
      <c r="G38" s="3">
        <v>0.26137500000000002</v>
      </c>
    </row>
    <row r="39" spans="1:7" ht="15.75" customHeight="1" x14ac:dyDescent="0.2">
      <c r="A39" s="3" t="s">
        <v>979</v>
      </c>
      <c r="B39" s="3" t="s">
        <v>584</v>
      </c>
      <c r="C39" s="3">
        <v>0</v>
      </c>
      <c r="D39" s="3">
        <v>0</v>
      </c>
      <c r="E39" s="3">
        <v>0</v>
      </c>
      <c r="F39" s="3">
        <v>0</v>
      </c>
      <c r="G39" s="3">
        <v>3.2499999999999999E-3</v>
      </c>
    </row>
    <row r="40" spans="1:7" ht="15.75" customHeight="1" x14ac:dyDescent="0.2">
      <c r="A40" s="3" t="s">
        <v>979</v>
      </c>
      <c r="B40" s="3" t="s">
        <v>588</v>
      </c>
      <c r="C40" s="3">
        <v>0</v>
      </c>
      <c r="D40" s="3">
        <v>0</v>
      </c>
      <c r="E40" s="3">
        <v>0</v>
      </c>
      <c r="F40" s="3">
        <v>0</v>
      </c>
      <c r="G40" s="3">
        <v>5.0000000000000001E-3</v>
      </c>
    </row>
    <row r="41" spans="1:7" ht="15.75" customHeight="1" x14ac:dyDescent="0.2">
      <c r="A41" s="3" t="s">
        <v>979</v>
      </c>
      <c r="B41" s="3" t="s">
        <v>590</v>
      </c>
      <c r="C41" s="3">
        <v>3</v>
      </c>
      <c r="D41" s="3">
        <v>3</v>
      </c>
      <c r="E41" s="3">
        <v>2</v>
      </c>
      <c r="F41" s="3">
        <v>0</v>
      </c>
      <c r="G41" s="3">
        <v>0.99950000000000006</v>
      </c>
    </row>
    <row r="42" spans="1:7" ht="15.75" customHeight="1" x14ac:dyDescent="0.2">
      <c r="A42" s="3" t="s">
        <v>979</v>
      </c>
      <c r="B42" s="3" t="s">
        <v>594</v>
      </c>
      <c r="C42" s="3">
        <v>0</v>
      </c>
      <c r="D42" s="3">
        <v>0</v>
      </c>
      <c r="E42" s="3">
        <v>0</v>
      </c>
      <c r="F42" s="3">
        <v>0</v>
      </c>
      <c r="G42" s="3">
        <v>3.1250000000000002E-3</v>
      </c>
    </row>
    <row r="43" spans="1:7" ht="15.75" customHeight="1" x14ac:dyDescent="0.2">
      <c r="A43" s="3" t="s">
        <v>979</v>
      </c>
      <c r="B43" s="3" t="s">
        <v>599</v>
      </c>
      <c r="C43" s="3">
        <v>0</v>
      </c>
      <c r="D43" s="3">
        <v>0</v>
      </c>
      <c r="E43" s="3">
        <v>0</v>
      </c>
      <c r="F43" s="3">
        <v>0</v>
      </c>
      <c r="G43" s="3">
        <v>5.2500000000000003E-3</v>
      </c>
    </row>
    <row r="44" spans="1:7" ht="15.75" customHeight="1" x14ac:dyDescent="0.2">
      <c r="A44" s="3" t="s">
        <v>979</v>
      </c>
      <c r="B44" s="3" t="s">
        <v>601</v>
      </c>
      <c r="C44" s="3">
        <v>0</v>
      </c>
      <c r="D44" s="3">
        <v>0</v>
      </c>
      <c r="E44" s="3">
        <v>0</v>
      </c>
      <c r="F44" s="3">
        <v>0</v>
      </c>
      <c r="G44" s="3">
        <v>3.7499999999999999E-3</v>
      </c>
    </row>
    <row r="45" spans="1:7" ht="15.75" customHeight="1" x14ac:dyDescent="0.2">
      <c r="A45" s="3" t="s">
        <v>979</v>
      </c>
      <c r="B45" s="3" t="s">
        <v>603</v>
      </c>
      <c r="C45" s="3">
        <v>1</v>
      </c>
      <c r="D45" s="3">
        <v>1</v>
      </c>
      <c r="E45" s="3">
        <v>3</v>
      </c>
      <c r="F45" s="3">
        <v>0</v>
      </c>
      <c r="G45" s="3">
        <v>0.87912500000000005</v>
      </c>
    </row>
    <row r="46" spans="1:7" ht="15.75" customHeight="1" x14ac:dyDescent="0.2">
      <c r="A46" s="3" t="s">
        <v>979</v>
      </c>
      <c r="B46" s="3" t="s">
        <v>607</v>
      </c>
      <c r="C46" s="3">
        <v>3</v>
      </c>
      <c r="D46" s="3">
        <v>3</v>
      </c>
      <c r="E46" s="3">
        <v>3</v>
      </c>
      <c r="F46" s="3">
        <v>0</v>
      </c>
      <c r="G46" s="3">
        <v>1</v>
      </c>
    </row>
    <row r="47" spans="1:7" ht="15.75" customHeight="1" x14ac:dyDescent="0.2">
      <c r="A47" s="3" t="s">
        <v>979</v>
      </c>
      <c r="B47" s="3" t="s">
        <v>609</v>
      </c>
      <c r="C47" s="3">
        <v>2</v>
      </c>
      <c r="D47" s="3">
        <v>2</v>
      </c>
      <c r="E47" s="3">
        <v>1</v>
      </c>
      <c r="F47" s="3">
        <v>0</v>
      </c>
      <c r="G47" s="3">
        <v>0.90362500000000001</v>
      </c>
    </row>
    <row r="48" spans="1:7" ht="15.75" customHeight="1" x14ac:dyDescent="0.2">
      <c r="A48" s="3" t="s">
        <v>979</v>
      </c>
      <c r="B48" s="3" t="s">
        <v>613</v>
      </c>
      <c r="C48" s="3">
        <v>0</v>
      </c>
      <c r="D48" s="3">
        <v>0</v>
      </c>
      <c r="E48" s="3">
        <v>0</v>
      </c>
      <c r="F48" s="3">
        <v>0</v>
      </c>
      <c r="G48" s="3">
        <v>4.4999999999999997E-3</v>
      </c>
    </row>
    <row r="49" spans="1:7" ht="15.75" customHeight="1" x14ac:dyDescent="0.2">
      <c r="A49" s="3" t="s">
        <v>979</v>
      </c>
      <c r="B49" s="3" t="s">
        <v>617</v>
      </c>
      <c r="C49" s="3">
        <v>0</v>
      </c>
      <c r="D49" s="3">
        <v>0</v>
      </c>
      <c r="E49" s="3">
        <v>0</v>
      </c>
      <c r="F49" s="3">
        <v>0</v>
      </c>
      <c r="G49" s="3">
        <v>3.6250000000000002E-3</v>
      </c>
    </row>
    <row r="50" spans="1:7" ht="15.75" customHeight="1" x14ac:dyDescent="0.2">
      <c r="A50" s="3" t="s">
        <v>979</v>
      </c>
      <c r="B50" s="3" t="s">
        <v>621</v>
      </c>
      <c r="C50" s="3">
        <v>0</v>
      </c>
      <c r="D50" s="3">
        <v>1</v>
      </c>
      <c r="E50" s="3">
        <v>0</v>
      </c>
      <c r="F50" s="3">
        <v>0</v>
      </c>
      <c r="G50" s="3">
        <v>1.4250000000000001E-2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6"/>
  <sheetViews>
    <sheetView zoomScale="80" zoomScaleNormal="80" workbookViewId="0"/>
  </sheetViews>
  <sheetFormatPr baseColWidth="10" defaultColWidth="10.83203125" defaultRowHeight="15.75" customHeight="1" x14ac:dyDescent="0.15"/>
  <cols>
    <col min="1" max="1" width="28" style="41" customWidth="1"/>
    <col min="2" max="4" width="39.5" style="38" customWidth="1"/>
    <col min="5" max="5" width="6.83203125" style="38" customWidth="1"/>
    <col min="6" max="8" width="39.5" style="38" customWidth="1"/>
    <col min="9" max="16384" width="10.83203125" style="41"/>
  </cols>
  <sheetData>
    <row r="1" spans="1:8" ht="14" x14ac:dyDescent="0.15">
      <c r="A1" s="41" t="s">
        <v>8013</v>
      </c>
    </row>
    <row r="2" spans="1:8" ht="14" x14ac:dyDescent="0.15"/>
    <row r="3" spans="1:8" ht="14" x14ac:dyDescent="0.15">
      <c r="F3" s="58" t="s">
        <v>1493</v>
      </c>
    </row>
    <row r="4" spans="1:8" ht="14" x14ac:dyDescent="0.15">
      <c r="A4" s="51" t="s">
        <v>996</v>
      </c>
      <c r="B4" s="58" t="s">
        <v>997</v>
      </c>
      <c r="C4" s="58" t="s">
        <v>998</v>
      </c>
      <c r="D4" s="58" t="s">
        <v>999</v>
      </c>
      <c r="E4" s="58"/>
      <c r="F4" s="58" t="s">
        <v>1000</v>
      </c>
      <c r="G4" s="58" t="s">
        <v>1001</v>
      </c>
      <c r="H4" s="58" t="s">
        <v>1002</v>
      </c>
    </row>
    <row r="5" spans="1:8" ht="16" x14ac:dyDescent="0.2">
      <c r="A5" s="41" t="s">
        <v>442</v>
      </c>
      <c r="B5" s="3">
        <v>113802.0465927258</v>
      </c>
      <c r="C5" s="3">
        <v>1429.8017158231271</v>
      </c>
      <c r="D5" s="3">
        <v>1076.2525341439048</v>
      </c>
      <c r="F5" s="3">
        <f>B5/SUM($B5:$D5)*100</f>
        <v>97.845331295232413</v>
      </c>
      <c r="G5" s="3">
        <f t="shared" ref="G5:H5" si="0">C5/SUM($B5:$D5)*100</f>
        <v>1.2293225540299551</v>
      </c>
      <c r="H5" s="3">
        <f t="shared" si="0"/>
        <v>0.92534615073763482</v>
      </c>
    </row>
    <row r="6" spans="1:8" ht="16" x14ac:dyDescent="0.2">
      <c r="A6" s="41" t="s">
        <v>452</v>
      </c>
      <c r="B6" s="3">
        <v>683.83078301755734</v>
      </c>
      <c r="C6" s="3">
        <v>56.037595543973893</v>
      </c>
      <c r="D6" s="3">
        <v>0</v>
      </c>
      <c r="F6" s="3">
        <f t="shared" ref="F6:F10" si="1">B6/SUM($B6:$D6)*100</f>
        <v>92.426004791159826</v>
      </c>
      <c r="G6" s="3">
        <f t="shared" ref="G6:G10" si="2">C6/SUM($B6:$D6)*100</f>
        <v>7.573995208840179</v>
      </c>
      <c r="H6" s="3">
        <f t="shared" ref="H6:H10" si="3">D6/SUM($B6:$D6)*100</f>
        <v>0</v>
      </c>
    </row>
    <row r="7" spans="1:8" ht="16" x14ac:dyDescent="0.2">
      <c r="A7" s="41" t="s">
        <v>454</v>
      </c>
      <c r="B7" s="3">
        <v>3033.4303439390496</v>
      </c>
      <c r="C7" s="3">
        <v>0</v>
      </c>
      <c r="D7" s="3">
        <v>0</v>
      </c>
      <c r="F7" s="3">
        <f t="shared" si="1"/>
        <v>100</v>
      </c>
      <c r="G7" s="3">
        <f t="shared" si="2"/>
        <v>0</v>
      </c>
      <c r="H7" s="3">
        <f t="shared" si="3"/>
        <v>0</v>
      </c>
    </row>
    <row r="8" spans="1:8" ht="16" x14ac:dyDescent="0.2">
      <c r="A8" s="41" t="s">
        <v>456</v>
      </c>
      <c r="B8" s="3">
        <v>4981.8542352549712</v>
      </c>
      <c r="C8" s="3">
        <v>0</v>
      </c>
      <c r="D8" s="3">
        <v>135.64350272982608</v>
      </c>
      <c r="F8" s="3">
        <f t="shared" si="1"/>
        <v>97.349417436513789</v>
      </c>
      <c r="G8" s="3">
        <f t="shared" si="2"/>
        <v>0</v>
      </c>
      <c r="H8" s="3">
        <f t="shared" si="3"/>
        <v>2.650582563486207</v>
      </c>
    </row>
    <row r="9" spans="1:8" ht="16" x14ac:dyDescent="0.2">
      <c r="A9" s="41" t="s">
        <v>460</v>
      </c>
      <c r="B9" s="3">
        <v>2380.667960202531</v>
      </c>
      <c r="C9" s="3">
        <v>0</v>
      </c>
      <c r="D9" s="3">
        <v>48.423780283414651</v>
      </c>
      <c r="F9" s="3">
        <f t="shared" si="1"/>
        <v>98.006506733511543</v>
      </c>
      <c r="G9" s="3">
        <f t="shared" si="2"/>
        <v>0</v>
      </c>
      <c r="H9" s="3">
        <f t="shared" si="3"/>
        <v>1.9934932664884595</v>
      </c>
    </row>
    <row r="10" spans="1:8" ht="16" x14ac:dyDescent="0.2">
      <c r="A10" s="41" t="s">
        <v>462</v>
      </c>
      <c r="B10" s="3">
        <v>374.69624601287933</v>
      </c>
      <c r="C10" s="3">
        <v>0</v>
      </c>
      <c r="D10" s="3">
        <v>58.801875318631005</v>
      </c>
      <c r="F10" s="3">
        <f t="shared" si="1"/>
        <v>86.435494774921239</v>
      </c>
      <c r="G10" s="3">
        <f t="shared" si="2"/>
        <v>0</v>
      </c>
      <c r="H10" s="3">
        <f t="shared" si="3"/>
        <v>13.564505225078765</v>
      </c>
    </row>
    <row r="11" spans="1:8" ht="16" x14ac:dyDescent="0.2">
      <c r="A11" s="41" t="s">
        <v>464</v>
      </c>
      <c r="B11" s="74">
        <v>0</v>
      </c>
      <c r="C11" s="74">
        <v>0</v>
      </c>
      <c r="D11" s="74">
        <v>0</v>
      </c>
      <c r="F11" s="74" t="s">
        <v>8</v>
      </c>
      <c r="G11" s="74" t="s">
        <v>8</v>
      </c>
      <c r="H11" s="74" t="s">
        <v>8</v>
      </c>
    </row>
    <row r="12" spans="1:8" ht="16" x14ac:dyDescent="0.2">
      <c r="A12" s="41" t="s">
        <v>468</v>
      </c>
      <c r="B12" s="3">
        <v>2222.6487406419342</v>
      </c>
      <c r="C12" s="3">
        <v>0</v>
      </c>
      <c r="D12" s="3">
        <v>2967.1555734970752</v>
      </c>
      <c r="F12" s="3">
        <f t="shared" ref="F12:F16" si="4">B12/SUM($B12:$D12)*100</f>
        <v>42.827216713867031</v>
      </c>
      <c r="G12" s="3">
        <f t="shared" ref="G12:G16" si="5">C12/SUM($B12:$D12)*100</f>
        <v>0</v>
      </c>
      <c r="H12" s="3">
        <f t="shared" ref="H12:H16" si="6">D12/SUM($B12:$D12)*100</f>
        <v>57.172783286132969</v>
      </c>
    </row>
    <row r="13" spans="1:8" ht="16" x14ac:dyDescent="0.2">
      <c r="A13" s="41" t="s">
        <v>472</v>
      </c>
      <c r="B13" s="3">
        <v>2870.8754447381525</v>
      </c>
      <c r="C13" s="3">
        <v>0</v>
      </c>
      <c r="D13" s="3">
        <v>68.818078593535475</v>
      </c>
      <c r="F13" s="3">
        <f t="shared" si="4"/>
        <v>97.659004993298055</v>
      </c>
      <c r="G13" s="3">
        <f t="shared" si="5"/>
        <v>0</v>
      </c>
      <c r="H13" s="3">
        <f t="shared" si="6"/>
        <v>2.3409950067019509</v>
      </c>
    </row>
    <row r="14" spans="1:8" ht="16" x14ac:dyDescent="0.2">
      <c r="A14" s="41" t="s">
        <v>476</v>
      </c>
      <c r="B14" s="3">
        <v>818.78131782776825</v>
      </c>
      <c r="C14" s="3">
        <v>0</v>
      </c>
      <c r="D14" s="3">
        <v>100.59885400300428</v>
      </c>
      <c r="F14" s="3">
        <f t="shared" si="4"/>
        <v>89.057970023142801</v>
      </c>
      <c r="G14" s="3">
        <f t="shared" si="5"/>
        <v>0</v>
      </c>
      <c r="H14" s="3">
        <f t="shared" si="6"/>
        <v>10.94202997685719</v>
      </c>
    </row>
    <row r="15" spans="1:8" ht="16" x14ac:dyDescent="0.2">
      <c r="A15" s="41" t="s">
        <v>478</v>
      </c>
      <c r="B15" s="3">
        <v>531.01480052065676</v>
      </c>
      <c r="C15" s="3">
        <v>0</v>
      </c>
      <c r="D15" s="3">
        <v>0</v>
      </c>
      <c r="F15" s="3">
        <f t="shared" si="4"/>
        <v>100</v>
      </c>
      <c r="G15" s="3">
        <f t="shared" si="5"/>
        <v>0</v>
      </c>
      <c r="H15" s="3">
        <f t="shared" si="6"/>
        <v>0</v>
      </c>
    </row>
    <row r="16" spans="1:8" ht="16" x14ac:dyDescent="0.2">
      <c r="A16" s="41" t="s">
        <v>482</v>
      </c>
      <c r="B16" s="3">
        <v>2649.9861549173024</v>
      </c>
      <c r="C16" s="3">
        <v>0</v>
      </c>
      <c r="D16" s="3">
        <v>81.337550128928157</v>
      </c>
      <c r="F16" s="3">
        <f t="shared" si="4"/>
        <v>97.022046490547638</v>
      </c>
      <c r="G16" s="3">
        <f t="shared" si="5"/>
        <v>0</v>
      </c>
      <c r="H16" s="3">
        <f t="shared" si="6"/>
        <v>2.977953509452349</v>
      </c>
    </row>
    <row r="17" spans="1:8" ht="16" x14ac:dyDescent="0.2">
      <c r="A17" s="41" t="s">
        <v>486</v>
      </c>
      <c r="B17" s="74">
        <v>0</v>
      </c>
      <c r="C17" s="74">
        <v>0</v>
      </c>
      <c r="D17" s="74">
        <v>0</v>
      </c>
      <c r="F17" s="74" t="s">
        <v>8</v>
      </c>
      <c r="G17" s="74" t="s">
        <v>8</v>
      </c>
      <c r="H17" s="74" t="s">
        <v>8</v>
      </c>
    </row>
    <row r="18" spans="1:8" ht="16" x14ac:dyDescent="0.2">
      <c r="A18" s="41" t="s">
        <v>491</v>
      </c>
      <c r="B18" s="3">
        <v>3338.2691521882375</v>
      </c>
      <c r="C18" s="3">
        <v>205.93091967443527</v>
      </c>
      <c r="D18" s="3">
        <v>1119.0601247615127</v>
      </c>
      <c r="F18" s="3">
        <f t="shared" ref="F18:F22" si="7">B18/SUM($B18:$D18)*100</f>
        <v>71.58659417299657</v>
      </c>
      <c r="G18" s="3">
        <f t="shared" ref="G18:G22" si="8">C18/SUM($B18:$D18)*100</f>
        <v>4.4160289366549224</v>
      </c>
      <c r="H18" s="3">
        <f t="shared" ref="H18:H22" si="9">D18/SUM($B18:$D18)*100</f>
        <v>23.997376890348509</v>
      </c>
    </row>
    <row r="19" spans="1:8" ht="16" x14ac:dyDescent="0.2">
      <c r="A19" s="41" t="s">
        <v>495</v>
      </c>
      <c r="B19" s="3">
        <v>0</v>
      </c>
      <c r="C19" s="3">
        <v>1189.6141201981563</v>
      </c>
      <c r="D19" s="3">
        <v>2002.0195127456291</v>
      </c>
      <c r="F19" s="3">
        <f t="shared" si="7"/>
        <v>0</v>
      </c>
      <c r="G19" s="3">
        <f t="shared" si="8"/>
        <v>37.272890845586261</v>
      </c>
      <c r="H19" s="3">
        <f t="shared" si="9"/>
        <v>62.727109154413739</v>
      </c>
    </row>
    <row r="20" spans="1:8" ht="16" x14ac:dyDescent="0.2">
      <c r="A20" s="41" t="s">
        <v>499</v>
      </c>
      <c r="B20" s="3">
        <v>0</v>
      </c>
      <c r="C20" s="3">
        <v>1522.3047396538593</v>
      </c>
      <c r="D20" s="3">
        <v>0</v>
      </c>
      <c r="F20" s="3">
        <f t="shared" si="7"/>
        <v>0</v>
      </c>
      <c r="G20" s="3">
        <f t="shared" si="8"/>
        <v>100</v>
      </c>
      <c r="H20" s="3">
        <f t="shared" si="9"/>
        <v>0</v>
      </c>
    </row>
    <row r="21" spans="1:8" ht="16" x14ac:dyDescent="0.2">
      <c r="A21" s="41" t="s">
        <v>503</v>
      </c>
      <c r="B21" s="3">
        <v>11.420648883773042</v>
      </c>
      <c r="C21" s="3">
        <v>7.3240306317663446</v>
      </c>
      <c r="D21" s="3">
        <v>0</v>
      </c>
      <c r="F21" s="3">
        <f t="shared" si="7"/>
        <v>60.927416093218845</v>
      </c>
      <c r="G21" s="3">
        <f t="shared" si="8"/>
        <v>39.072583906781148</v>
      </c>
      <c r="H21" s="3">
        <f t="shared" si="9"/>
        <v>0</v>
      </c>
    </row>
    <row r="22" spans="1:8" ht="16" x14ac:dyDescent="0.2">
      <c r="A22" s="41" t="s">
        <v>507</v>
      </c>
      <c r="B22" s="3">
        <v>11.604271692664431</v>
      </c>
      <c r="C22" s="3">
        <v>8.0917615651796595</v>
      </c>
      <c r="D22" s="3">
        <v>0</v>
      </c>
      <c r="F22" s="3">
        <f t="shared" si="7"/>
        <v>58.916795787004183</v>
      </c>
      <c r="G22" s="3">
        <f t="shared" si="8"/>
        <v>41.083204212995803</v>
      </c>
      <c r="H22" s="3">
        <f t="shared" si="9"/>
        <v>0</v>
      </c>
    </row>
    <row r="23" spans="1:8" ht="16" x14ac:dyDescent="0.2">
      <c r="A23" s="41" t="s">
        <v>509</v>
      </c>
      <c r="B23" s="74">
        <v>0</v>
      </c>
      <c r="C23" s="74">
        <v>0</v>
      </c>
      <c r="D23" s="74">
        <v>0</v>
      </c>
      <c r="F23" s="74" t="s">
        <v>8</v>
      </c>
      <c r="G23" s="74" t="s">
        <v>8</v>
      </c>
      <c r="H23" s="74" t="s">
        <v>8</v>
      </c>
    </row>
    <row r="24" spans="1:8" ht="16" x14ac:dyDescent="0.2">
      <c r="A24" s="41" t="s">
        <v>522</v>
      </c>
      <c r="B24" s="3">
        <v>230.49288360875056</v>
      </c>
      <c r="C24" s="3">
        <v>0</v>
      </c>
      <c r="D24" s="3">
        <v>13.972373497106226</v>
      </c>
      <c r="F24" s="3">
        <f t="shared" ref="F24:F29" si="10">B24/SUM($B24:$D24)*100</f>
        <v>94.284515655712994</v>
      </c>
      <c r="G24" s="3">
        <f t="shared" ref="G24:G29" si="11">C24/SUM($B24:$D24)*100</f>
        <v>0</v>
      </c>
      <c r="H24" s="3">
        <f t="shared" ref="H24:H29" si="12">D24/SUM($B24:$D24)*100</f>
        <v>5.7154843442870078</v>
      </c>
    </row>
    <row r="25" spans="1:8" ht="16" x14ac:dyDescent="0.2">
      <c r="A25" s="41" t="s">
        <v>514</v>
      </c>
      <c r="B25" s="3">
        <v>0</v>
      </c>
      <c r="C25" s="3">
        <v>1633.859653980237</v>
      </c>
      <c r="D25" s="3">
        <v>123.66431602234972</v>
      </c>
      <c r="F25" s="3">
        <f t="shared" si="10"/>
        <v>0</v>
      </c>
      <c r="G25" s="3">
        <f t="shared" si="11"/>
        <v>92.963719520583965</v>
      </c>
      <c r="H25" s="3">
        <f t="shared" si="12"/>
        <v>7.0362804794160336</v>
      </c>
    </row>
    <row r="26" spans="1:8" ht="16" x14ac:dyDescent="0.2">
      <c r="A26" s="41" t="s">
        <v>518</v>
      </c>
      <c r="B26" s="3">
        <v>540.05626496469017</v>
      </c>
      <c r="C26" s="3">
        <v>85.073298070680792</v>
      </c>
      <c r="D26" s="3">
        <v>8.701616121494375</v>
      </c>
      <c r="F26" s="3">
        <f t="shared" si="10"/>
        <v>85.20506449100273</v>
      </c>
      <c r="G26" s="3">
        <f t="shared" si="11"/>
        <v>13.422075288856405</v>
      </c>
      <c r="H26" s="3">
        <f t="shared" si="12"/>
        <v>1.372860220140864</v>
      </c>
    </row>
    <row r="27" spans="1:8" ht="16" x14ac:dyDescent="0.2">
      <c r="A27" s="41" t="s">
        <v>526</v>
      </c>
      <c r="B27" s="3">
        <v>1371.3068091298592</v>
      </c>
      <c r="C27" s="3">
        <v>31.96765507453782</v>
      </c>
      <c r="D27" s="3">
        <v>12.56496970400061</v>
      </c>
      <c r="F27" s="3">
        <f t="shared" si="10"/>
        <v>96.854683962601115</v>
      </c>
      <c r="G27" s="3">
        <f t="shared" si="11"/>
        <v>2.2578587874397398</v>
      </c>
      <c r="H27" s="3">
        <f t="shared" si="12"/>
        <v>0.88745724995914643</v>
      </c>
    </row>
    <row r="28" spans="1:8" ht="16" x14ac:dyDescent="0.2">
      <c r="A28" s="41" t="s">
        <v>530</v>
      </c>
      <c r="B28" s="3">
        <v>164.04698899967261</v>
      </c>
      <c r="C28" s="3">
        <v>613.50802715654447</v>
      </c>
      <c r="D28" s="3">
        <v>20.293675203866954</v>
      </c>
      <c r="F28" s="3">
        <f t="shared" si="10"/>
        <v>20.561165390899301</v>
      </c>
      <c r="G28" s="3">
        <f t="shared" si="11"/>
        <v>76.89528525900117</v>
      </c>
      <c r="H28" s="3">
        <f t="shared" si="12"/>
        <v>2.543549350099521</v>
      </c>
    </row>
    <row r="29" spans="1:8" ht="16" x14ac:dyDescent="0.2">
      <c r="A29" s="41" t="s">
        <v>534</v>
      </c>
      <c r="B29" s="3">
        <v>177.97788929092039</v>
      </c>
      <c r="C29" s="3">
        <v>0</v>
      </c>
      <c r="D29" s="3">
        <v>13.496017080811365</v>
      </c>
      <c r="F29" s="3">
        <f t="shared" si="10"/>
        <v>92.951511077123016</v>
      </c>
      <c r="G29" s="3">
        <f t="shared" si="11"/>
        <v>0</v>
      </c>
      <c r="H29" s="3">
        <f t="shared" si="12"/>
        <v>7.0484889228769871</v>
      </c>
    </row>
    <row r="30" spans="1:8" ht="16" x14ac:dyDescent="0.2">
      <c r="A30" s="41" t="s">
        <v>538</v>
      </c>
      <c r="B30" s="74">
        <v>0</v>
      </c>
      <c r="C30" s="74">
        <v>0</v>
      </c>
      <c r="D30" s="74">
        <v>0</v>
      </c>
      <c r="F30" s="74" t="s">
        <v>8</v>
      </c>
      <c r="G30" s="74" t="s">
        <v>8</v>
      </c>
      <c r="H30" s="74" t="s">
        <v>8</v>
      </c>
    </row>
    <row r="31" spans="1:8" ht="16" x14ac:dyDescent="0.2">
      <c r="A31" s="41" t="s">
        <v>542</v>
      </c>
      <c r="B31" s="3">
        <v>0</v>
      </c>
      <c r="C31" s="3">
        <v>132.4600721819003</v>
      </c>
      <c r="D31" s="3">
        <v>0</v>
      </c>
      <c r="F31" s="3">
        <f t="shared" ref="F31:F36" si="13">B31/SUM($B31:$D31)*100</f>
        <v>0</v>
      </c>
      <c r="G31" s="3">
        <f t="shared" ref="G31:G36" si="14">C31/SUM($B31:$D31)*100</f>
        <v>100</v>
      </c>
      <c r="H31" s="3">
        <f t="shared" ref="H31:H36" si="15">D31/SUM($B31:$D31)*100</f>
        <v>0</v>
      </c>
    </row>
    <row r="32" spans="1:8" ht="16" x14ac:dyDescent="0.2">
      <c r="A32" s="41" t="s">
        <v>546</v>
      </c>
      <c r="B32" s="3">
        <v>2356.8805698050278</v>
      </c>
      <c r="C32" s="3">
        <v>5.2704942280400884</v>
      </c>
      <c r="D32" s="3">
        <v>256.59461300631784</v>
      </c>
      <c r="F32" s="3">
        <f t="shared" si="13"/>
        <v>90.000361259577943</v>
      </c>
      <c r="G32" s="3">
        <f t="shared" si="14"/>
        <v>0.20126025502402461</v>
      </c>
      <c r="H32" s="3">
        <f t="shared" si="15"/>
        <v>9.7983784853980165</v>
      </c>
    </row>
    <row r="33" spans="1:8" ht="16" x14ac:dyDescent="0.2">
      <c r="A33" s="41" t="s">
        <v>549</v>
      </c>
      <c r="B33" s="3">
        <v>1942.4685920422432</v>
      </c>
      <c r="C33" s="3">
        <v>43.901629544569083</v>
      </c>
      <c r="D33" s="3">
        <v>42.89488384066884</v>
      </c>
      <c r="F33" s="3">
        <f t="shared" si="13"/>
        <v>95.722761252184767</v>
      </c>
      <c r="G33" s="3">
        <f t="shared" si="14"/>
        <v>2.1634250461977391</v>
      </c>
      <c r="H33" s="3">
        <f t="shared" si="15"/>
        <v>2.1138137016174969</v>
      </c>
    </row>
    <row r="34" spans="1:8" ht="16" x14ac:dyDescent="0.2">
      <c r="A34" s="41" t="s">
        <v>551</v>
      </c>
      <c r="B34" s="3">
        <v>868.11139876207119</v>
      </c>
      <c r="C34" s="3">
        <v>0</v>
      </c>
      <c r="D34" s="3">
        <v>0</v>
      </c>
      <c r="F34" s="3">
        <f t="shared" si="13"/>
        <v>100</v>
      </c>
      <c r="G34" s="3">
        <f t="shared" si="14"/>
        <v>0</v>
      </c>
      <c r="H34" s="3">
        <f t="shared" si="15"/>
        <v>0</v>
      </c>
    </row>
    <row r="35" spans="1:8" ht="16" x14ac:dyDescent="0.2">
      <c r="A35" s="41" t="s">
        <v>555</v>
      </c>
      <c r="B35" s="3">
        <v>426.72283363290063</v>
      </c>
      <c r="C35" s="3">
        <v>0</v>
      </c>
      <c r="D35" s="3">
        <v>82.733752085504506</v>
      </c>
      <c r="F35" s="3">
        <f t="shared" si="13"/>
        <v>83.760392071713369</v>
      </c>
      <c r="G35" s="3">
        <f t="shared" si="14"/>
        <v>0</v>
      </c>
      <c r="H35" s="3">
        <f t="shared" si="15"/>
        <v>16.239607928286635</v>
      </c>
    </row>
    <row r="36" spans="1:8" ht="16" x14ac:dyDescent="0.2">
      <c r="A36" s="41" t="s">
        <v>557</v>
      </c>
      <c r="B36" s="3">
        <v>2741.1126975845787</v>
      </c>
      <c r="C36" s="3">
        <v>56.344415233514873</v>
      </c>
      <c r="D36" s="3">
        <v>671.75173066601087</v>
      </c>
      <c r="F36" s="3">
        <f t="shared" si="13"/>
        <v>79.012617033216614</v>
      </c>
      <c r="G36" s="3">
        <f t="shared" si="14"/>
        <v>1.6241286637828507</v>
      </c>
      <c r="H36" s="3">
        <f t="shared" si="15"/>
        <v>19.363254303000531</v>
      </c>
    </row>
    <row r="37" spans="1:8" ht="16" x14ac:dyDescent="0.2">
      <c r="A37" s="41" t="s">
        <v>561</v>
      </c>
      <c r="B37" s="74">
        <v>0</v>
      </c>
      <c r="C37" s="74">
        <v>0</v>
      </c>
      <c r="D37" s="74">
        <v>0</v>
      </c>
      <c r="F37" s="74" t="s">
        <v>8</v>
      </c>
      <c r="G37" s="74" t="s">
        <v>8</v>
      </c>
      <c r="H37" s="74" t="s">
        <v>8</v>
      </c>
    </row>
    <row r="38" spans="1:8" ht="16" x14ac:dyDescent="0.2">
      <c r="A38" s="41" t="s">
        <v>563</v>
      </c>
      <c r="B38" s="3">
        <v>8739.3908524386243</v>
      </c>
      <c r="C38" s="3">
        <v>364.91890978734619</v>
      </c>
      <c r="D38" s="3">
        <v>572.58232720972831</v>
      </c>
      <c r="F38" s="3">
        <f t="shared" ref="F38:F56" si="16">B38/SUM($B38:$D38)*100</f>
        <v>90.311959373603557</v>
      </c>
      <c r="G38" s="3">
        <f t="shared" ref="G38:G56" si="17">C38/SUM($B38:$D38)*100</f>
        <v>3.7710341958419651</v>
      </c>
      <c r="H38" s="3">
        <f t="shared" ref="H38:H56" si="18">D38/SUM($B38:$D38)*100</f>
        <v>5.9170064305544825</v>
      </c>
    </row>
    <row r="39" spans="1:8" ht="16" x14ac:dyDescent="0.2">
      <c r="A39" s="41" t="s">
        <v>565</v>
      </c>
      <c r="B39" s="3">
        <v>3522.1093400897016</v>
      </c>
      <c r="C39" s="3">
        <v>0</v>
      </c>
      <c r="D39" s="3">
        <v>60.430501068625944</v>
      </c>
      <c r="F39" s="3">
        <f t="shared" si="16"/>
        <v>98.313193886237784</v>
      </c>
      <c r="G39" s="3">
        <f t="shared" si="17"/>
        <v>0</v>
      </c>
      <c r="H39" s="3">
        <f t="shared" si="18"/>
        <v>1.6868061137622188</v>
      </c>
    </row>
    <row r="40" spans="1:8" ht="16" x14ac:dyDescent="0.2">
      <c r="A40" s="41" t="s">
        <v>570</v>
      </c>
      <c r="B40" s="3">
        <v>2204.9535968962127</v>
      </c>
      <c r="C40" s="3">
        <v>0</v>
      </c>
      <c r="D40" s="3">
        <v>0</v>
      </c>
      <c r="F40" s="3">
        <f t="shared" si="16"/>
        <v>100</v>
      </c>
      <c r="G40" s="3">
        <f t="shared" si="17"/>
        <v>0</v>
      </c>
      <c r="H40" s="3">
        <f t="shared" si="18"/>
        <v>0</v>
      </c>
    </row>
    <row r="41" spans="1:8" ht="16" x14ac:dyDescent="0.2">
      <c r="A41" s="41" t="s">
        <v>572</v>
      </c>
      <c r="B41" s="3">
        <v>1330.5296008344292</v>
      </c>
      <c r="C41" s="3">
        <v>0</v>
      </c>
      <c r="D41" s="3">
        <v>17.907171519971111</v>
      </c>
      <c r="F41" s="3">
        <f t="shared" si="16"/>
        <v>98.672005103457323</v>
      </c>
      <c r="G41" s="3">
        <f t="shared" si="17"/>
        <v>0</v>
      </c>
      <c r="H41" s="3">
        <f t="shared" si="18"/>
        <v>1.327994896542668</v>
      </c>
    </row>
    <row r="42" spans="1:8" ht="16" x14ac:dyDescent="0.2">
      <c r="A42" s="41" t="s">
        <v>576</v>
      </c>
      <c r="B42" s="3">
        <v>843.58436355374431</v>
      </c>
      <c r="C42" s="3">
        <v>0</v>
      </c>
      <c r="D42" s="3">
        <v>8.7098324003976106</v>
      </c>
      <c r="F42" s="3">
        <f t="shared" si="16"/>
        <v>98.978072073968889</v>
      </c>
      <c r="G42" s="3">
        <f t="shared" si="17"/>
        <v>0</v>
      </c>
      <c r="H42" s="3">
        <f t="shared" si="18"/>
        <v>1.0219279260311009</v>
      </c>
    </row>
    <row r="43" spans="1:8" ht="16" x14ac:dyDescent="0.2">
      <c r="A43" s="41" t="s">
        <v>578</v>
      </c>
      <c r="B43" s="3">
        <v>1983.1082258245328</v>
      </c>
      <c r="C43" s="3">
        <v>305.28034022070375</v>
      </c>
      <c r="D43" s="3">
        <v>76.343777987322696</v>
      </c>
      <c r="F43" s="3">
        <f t="shared" si="16"/>
        <v>83.861847233110296</v>
      </c>
      <c r="G43" s="3">
        <f t="shared" si="17"/>
        <v>12.909720670547925</v>
      </c>
      <c r="H43" s="3">
        <f t="shared" si="18"/>
        <v>3.2284320963417898</v>
      </c>
    </row>
    <row r="44" spans="1:8" ht="16" x14ac:dyDescent="0.2">
      <c r="A44" s="41" t="s">
        <v>582</v>
      </c>
      <c r="B44" s="3">
        <v>604.17470218661686</v>
      </c>
      <c r="C44" s="3">
        <v>29.637785661107884</v>
      </c>
      <c r="D44" s="3">
        <v>16.522730284145648</v>
      </c>
      <c r="F44" s="3">
        <f t="shared" si="16"/>
        <v>92.902042722236004</v>
      </c>
      <c r="G44" s="3">
        <f t="shared" si="17"/>
        <v>4.5573090361374442</v>
      </c>
      <c r="H44" s="3">
        <f t="shared" si="18"/>
        <v>2.540648241626565</v>
      </c>
    </row>
    <row r="45" spans="1:8" ht="16" x14ac:dyDescent="0.2">
      <c r="A45" s="41" t="s">
        <v>584</v>
      </c>
      <c r="B45" s="3">
        <v>211.46128523296125</v>
      </c>
      <c r="C45" s="3">
        <v>219.66701811686102</v>
      </c>
      <c r="D45" s="3">
        <v>0</v>
      </c>
      <c r="F45" s="3">
        <f t="shared" si="16"/>
        <v>49.048342126909546</v>
      </c>
      <c r="G45" s="3">
        <f t="shared" si="17"/>
        <v>50.951657873090447</v>
      </c>
      <c r="H45" s="3">
        <f t="shared" si="18"/>
        <v>0</v>
      </c>
    </row>
    <row r="46" spans="1:8" ht="16" x14ac:dyDescent="0.2">
      <c r="A46" s="41" t="s">
        <v>588</v>
      </c>
      <c r="B46" s="3">
        <v>1243.4723344923316</v>
      </c>
      <c r="C46" s="3">
        <v>667.33332536181013</v>
      </c>
      <c r="D46" s="3">
        <v>0</v>
      </c>
      <c r="F46" s="3">
        <f t="shared" si="16"/>
        <v>65.075813863103704</v>
      </c>
      <c r="G46" s="3">
        <f t="shared" si="17"/>
        <v>34.92418613689631</v>
      </c>
      <c r="H46" s="3">
        <f t="shared" si="18"/>
        <v>0</v>
      </c>
    </row>
    <row r="47" spans="1:8" ht="16" x14ac:dyDescent="0.2">
      <c r="A47" s="41" t="s">
        <v>590</v>
      </c>
      <c r="B47" s="3">
        <v>2497.3408052147433</v>
      </c>
      <c r="C47" s="3">
        <v>21.021508254118661</v>
      </c>
      <c r="D47" s="3">
        <v>73.667443695364852</v>
      </c>
      <c r="F47" s="3">
        <f t="shared" si="16"/>
        <v>96.346918792588383</v>
      </c>
      <c r="G47" s="3">
        <f t="shared" si="17"/>
        <v>0.81100566828048082</v>
      </c>
      <c r="H47" s="3">
        <f t="shared" si="18"/>
        <v>2.8420755391311432</v>
      </c>
    </row>
    <row r="48" spans="1:8" ht="16" x14ac:dyDescent="0.2">
      <c r="A48" s="41" t="s">
        <v>594</v>
      </c>
      <c r="B48" s="3">
        <v>1870.477499182412</v>
      </c>
      <c r="C48" s="3">
        <v>0</v>
      </c>
      <c r="D48" s="3">
        <v>0</v>
      </c>
      <c r="F48" s="3">
        <f t="shared" si="16"/>
        <v>100</v>
      </c>
      <c r="G48" s="3">
        <f t="shared" si="17"/>
        <v>0</v>
      </c>
      <c r="H48" s="3">
        <f t="shared" si="18"/>
        <v>0</v>
      </c>
    </row>
    <row r="49" spans="1:8" ht="16" x14ac:dyDescent="0.2">
      <c r="A49" s="41" t="s">
        <v>599</v>
      </c>
      <c r="B49" s="3">
        <v>119.60620532527494</v>
      </c>
      <c r="C49" s="3">
        <v>0</v>
      </c>
      <c r="D49" s="3">
        <v>0</v>
      </c>
      <c r="F49" s="3">
        <f t="shared" si="16"/>
        <v>100</v>
      </c>
      <c r="G49" s="3">
        <f t="shared" si="17"/>
        <v>0</v>
      </c>
      <c r="H49" s="3">
        <f t="shared" si="18"/>
        <v>0</v>
      </c>
    </row>
    <row r="50" spans="1:8" ht="16" x14ac:dyDescent="0.2">
      <c r="A50" s="41" t="s">
        <v>601</v>
      </c>
      <c r="B50" s="3">
        <v>275.49890220073689</v>
      </c>
      <c r="C50" s="3">
        <v>0</v>
      </c>
      <c r="D50" s="3">
        <v>0</v>
      </c>
      <c r="F50" s="3">
        <f t="shared" si="16"/>
        <v>100</v>
      </c>
      <c r="G50" s="3">
        <f t="shared" si="17"/>
        <v>0</v>
      </c>
      <c r="H50" s="3">
        <f t="shared" si="18"/>
        <v>0</v>
      </c>
    </row>
    <row r="51" spans="1:8" ht="16" x14ac:dyDescent="0.2">
      <c r="A51" s="41" t="s">
        <v>603</v>
      </c>
      <c r="B51" s="3">
        <v>3821.0536951056833</v>
      </c>
      <c r="C51" s="3">
        <v>4.9413619659470278</v>
      </c>
      <c r="D51" s="3">
        <v>79.365086158361109</v>
      </c>
      <c r="F51" s="3">
        <f t="shared" si="16"/>
        <v>97.841263160570364</v>
      </c>
      <c r="G51" s="3">
        <f t="shared" si="17"/>
        <v>0.12652768975770298</v>
      </c>
      <c r="H51" s="3">
        <f t="shared" si="18"/>
        <v>2.032209149671941</v>
      </c>
    </row>
    <row r="52" spans="1:8" ht="16" x14ac:dyDescent="0.2">
      <c r="A52" s="41" t="s">
        <v>607</v>
      </c>
      <c r="B52" s="3">
        <v>12078.414605284641</v>
      </c>
      <c r="C52" s="3">
        <v>196.28750533483344</v>
      </c>
      <c r="D52" s="3">
        <v>264.25249703349778</v>
      </c>
      <c r="F52" s="3">
        <f t="shared" si="16"/>
        <v>96.327126010271641</v>
      </c>
      <c r="G52" s="3">
        <f t="shared" si="17"/>
        <v>1.5654216119024165</v>
      </c>
      <c r="H52" s="3">
        <f t="shared" si="18"/>
        <v>2.1074523778259397</v>
      </c>
    </row>
    <row r="53" spans="1:8" ht="16" x14ac:dyDescent="0.2">
      <c r="A53" s="41" t="s">
        <v>609</v>
      </c>
      <c r="B53" s="3">
        <v>5190.992136160774</v>
      </c>
      <c r="C53" s="3">
        <v>13.254131723483956</v>
      </c>
      <c r="D53" s="3">
        <v>46.792843853955517</v>
      </c>
      <c r="F53" s="3">
        <f t="shared" si="16"/>
        <v>98.856474417735527</v>
      </c>
      <c r="G53" s="3">
        <f t="shared" si="17"/>
        <v>0.25240969342345154</v>
      </c>
      <c r="H53" s="3">
        <f t="shared" si="18"/>
        <v>0.89111588884101878</v>
      </c>
    </row>
    <row r="54" spans="1:8" ht="16" x14ac:dyDescent="0.2">
      <c r="A54" s="41" t="s">
        <v>613</v>
      </c>
      <c r="B54" s="3">
        <v>2273.0723803411106</v>
      </c>
      <c r="C54" s="3">
        <v>13.334328156663297</v>
      </c>
      <c r="D54" s="3">
        <v>0</v>
      </c>
      <c r="F54" s="3">
        <f t="shared" si="16"/>
        <v>99.416799814875276</v>
      </c>
      <c r="G54" s="3">
        <f t="shared" si="17"/>
        <v>0.5832001851247316</v>
      </c>
      <c r="H54" s="3">
        <f t="shared" si="18"/>
        <v>0</v>
      </c>
    </row>
    <row r="55" spans="1:8" ht="16" x14ac:dyDescent="0.2">
      <c r="A55" s="41" t="s">
        <v>617</v>
      </c>
      <c r="B55" s="3">
        <v>542.94565071549459</v>
      </c>
      <c r="C55" s="3">
        <v>0</v>
      </c>
      <c r="D55" s="3">
        <v>0</v>
      </c>
      <c r="F55" s="3">
        <f t="shared" si="16"/>
        <v>100</v>
      </c>
      <c r="G55" s="3">
        <f t="shared" si="17"/>
        <v>0</v>
      </c>
      <c r="H55" s="3">
        <f t="shared" si="18"/>
        <v>0</v>
      </c>
    </row>
    <row r="56" spans="1:8" ht="16" x14ac:dyDescent="0.2">
      <c r="A56" s="41" t="s">
        <v>621</v>
      </c>
      <c r="B56" s="3">
        <v>6114.7463769707538</v>
      </c>
      <c r="C56" s="3">
        <v>390.44941202952691</v>
      </c>
      <c r="D56" s="3">
        <v>10.366886541683334</v>
      </c>
      <c r="F56" s="3">
        <f t="shared" si="16"/>
        <v>93.848324104443208</v>
      </c>
      <c r="G56" s="3">
        <f t="shared" si="17"/>
        <v>5.9925662828045683</v>
      </c>
      <c r="H56" s="3">
        <f t="shared" si="18"/>
        <v>0.15910961275222507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5"/>
  <sheetViews>
    <sheetView zoomScale="80" zoomScaleNormal="80" workbookViewId="0"/>
  </sheetViews>
  <sheetFormatPr baseColWidth="10" defaultColWidth="10.83203125" defaultRowHeight="15.75" customHeight="1" x14ac:dyDescent="0.2"/>
  <cols>
    <col min="1" max="2" width="23.6640625" style="34" customWidth="1"/>
    <col min="3" max="4" width="22" style="34" customWidth="1"/>
    <col min="5" max="10" width="24.6640625" style="34" customWidth="1"/>
    <col min="11" max="16384" width="10.83203125" style="34"/>
  </cols>
  <sheetData>
    <row r="1" spans="1:15" ht="15.75" customHeight="1" x14ac:dyDescent="0.2">
      <c r="A1" s="34" t="s">
        <v>8012</v>
      </c>
    </row>
    <row r="2" spans="1:15" s="13" customFormat="1" ht="15.75" customHeight="1" x14ac:dyDescent="0.2">
      <c r="E2" s="13" t="s">
        <v>1003</v>
      </c>
      <c r="F2" s="13" t="s">
        <v>1004</v>
      </c>
      <c r="G2" s="13" t="s">
        <v>1005</v>
      </c>
      <c r="H2" s="13" t="s">
        <v>1006</v>
      </c>
      <c r="I2" s="13" t="s">
        <v>1006</v>
      </c>
      <c r="J2" s="13" t="s">
        <v>1006</v>
      </c>
    </row>
    <row r="3" spans="1:15" s="13" customFormat="1" ht="15.75" customHeight="1" x14ac:dyDescent="0.2">
      <c r="A3" s="13" t="s">
        <v>422</v>
      </c>
      <c r="B3" s="13" t="s">
        <v>1007</v>
      </c>
      <c r="C3" s="13" t="s">
        <v>430</v>
      </c>
      <c r="D3" s="13" t="s">
        <v>431</v>
      </c>
      <c r="E3" s="13" t="s">
        <v>978</v>
      </c>
      <c r="F3" s="13" t="s">
        <v>978</v>
      </c>
      <c r="G3" s="13" t="s">
        <v>978</v>
      </c>
      <c r="H3" s="13" t="s">
        <v>1000</v>
      </c>
      <c r="I3" s="13" t="s">
        <v>1001</v>
      </c>
      <c r="J3" s="13" t="s">
        <v>1002</v>
      </c>
      <c r="L3" s="3"/>
      <c r="M3" s="3"/>
    </row>
    <row r="4" spans="1:15" ht="15.75" customHeight="1" x14ac:dyDescent="0.2">
      <c r="A4" s="34" t="s">
        <v>442</v>
      </c>
      <c r="B4" s="34" t="s">
        <v>8027</v>
      </c>
      <c r="C4" s="34">
        <v>-6.7559199999999997</v>
      </c>
      <c r="D4" s="34">
        <v>37.7547</v>
      </c>
      <c r="E4" s="34">
        <v>1</v>
      </c>
      <c r="F4" s="34">
        <v>1</v>
      </c>
      <c r="G4" s="34">
        <v>0.99962499999999999</v>
      </c>
      <c r="H4" s="3">
        <v>97.845331295232413</v>
      </c>
      <c r="I4" s="3">
        <v>1.2293225540299551</v>
      </c>
      <c r="J4" s="3">
        <v>0.92534615073763482</v>
      </c>
      <c r="L4" s="3"/>
      <c r="M4" s="3"/>
      <c r="N4" s="3"/>
      <c r="O4" s="3"/>
    </row>
    <row r="5" spans="1:15" ht="15.75" customHeight="1" x14ac:dyDescent="0.2">
      <c r="A5" s="34" t="s">
        <v>452</v>
      </c>
      <c r="B5" s="34" t="s">
        <v>8027</v>
      </c>
      <c r="C5" s="34">
        <v>-6.7559199999999997</v>
      </c>
      <c r="D5" s="34">
        <v>37.7547</v>
      </c>
      <c r="E5" s="34">
        <v>1</v>
      </c>
      <c r="F5" s="34">
        <v>0.24162500000000001</v>
      </c>
      <c r="G5" s="34">
        <v>4.2500000000000003E-3</v>
      </c>
      <c r="H5" s="3">
        <v>92.426004791159826</v>
      </c>
      <c r="I5" s="3">
        <v>7.573995208840179</v>
      </c>
      <c r="J5" s="3">
        <v>0</v>
      </c>
      <c r="L5" s="3"/>
      <c r="M5" s="3"/>
      <c r="N5" s="3"/>
      <c r="O5" s="3"/>
    </row>
    <row r="6" spans="1:15" ht="15.75" customHeight="1" x14ac:dyDescent="0.2">
      <c r="A6" s="34" t="s">
        <v>454</v>
      </c>
      <c r="B6" s="34" t="s">
        <v>8027</v>
      </c>
      <c r="C6" s="34">
        <v>-6.7559199999999997</v>
      </c>
      <c r="D6" s="34">
        <v>37.7547</v>
      </c>
      <c r="E6" s="34">
        <v>1</v>
      </c>
      <c r="F6" s="34">
        <v>1</v>
      </c>
      <c r="G6" s="34">
        <v>3.7499999999999999E-3</v>
      </c>
      <c r="H6" s="3">
        <v>100</v>
      </c>
      <c r="I6" s="3">
        <v>0</v>
      </c>
      <c r="J6" s="3">
        <v>0</v>
      </c>
      <c r="L6" s="3"/>
      <c r="M6" s="3"/>
      <c r="N6" s="3"/>
      <c r="O6" s="3"/>
    </row>
    <row r="7" spans="1:15" ht="15.75" customHeight="1" x14ac:dyDescent="0.2">
      <c r="A7" s="34" t="s">
        <v>456</v>
      </c>
      <c r="B7" s="34" t="s">
        <v>8028</v>
      </c>
      <c r="C7" s="34">
        <v>-6.8026099999999996</v>
      </c>
      <c r="D7" s="34">
        <v>37.721589999999999</v>
      </c>
      <c r="E7" s="34">
        <v>1</v>
      </c>
      <c r="F7" s="34">
        <v>1.0375000000000001E-2</v>
      </c>
      <c r="G7" s="34">
        <v>0.69412499999999999</v>
      </c>
      <c r="H7" s="3">
        <v>97.349417436513789</v>
      </c>
      <c r="I7" s="3">
        <v>0</v>
      </c>
      <c r="J7" s="3">
        <v>2.650582563486207</v>
      </c>
      <c r="L7" s="3"/>
      <c r="M7" s="3"/>
      <c r="N7" s="3"/>
      <c r="O7" s="3"/>
    </row>
    <row r="8" spans="1:15" ht="15.75" customHeight="1" x14ac:dyDescent="0.2">
      <c r="A8" s="34" t="s">
        <v>460</v>
      </c>
      <c r="B8" s="34" t="s">
        <v>8028</v>
      </c>
      <c r="C8" s="34">
        <v>-6.8026099999999996</v>
      </c>
      <c r="D8" s="34">
        <v>37.721589999999999</v>
      </c>
      <c r="E8" s="72" t="s">
        <v>8</v>
      </c>
      <c r="F8" s="72" t="s">
        <v>8</v>
      </c>
      <c r="G8" s="72" t="s">
        <v>8</v>
      </c>
      <c r="H8" s="3">
        <v>98.006506733511543</v>
      </c>
      <c r="I8" s="3">
        <v>0</v>
      </c>
      <c r="J8" s="3">
        <v>1.9934932664884595</v>
      </c>
      <c r="L8" s="3"/>
      <c r="M8" s="3"/>
      <c r="N8" s="3"/>
      <c r="O8" s="3"/>
    </row>
    <row r="9" spans="1:15" ht="15.75" customHeight="1" x14ac:dyDescent="0.2">
      <c r="A9" s="34" t="s">
        <v>462</v>
      </c>
      <c r="B9" s="34" t="s">
        <v>8028</v>
      </c>
      <c r="C9" s="34">
        <v>-6.8026099999999996</v>
      </c>
      <c r="D9" s="34">
        <v>37.721589999999999</v>
      </c>
      <c r="E9" s="72" t="s">
        <v>8</v>
      </c>
      <c r="F9" s="72" t="s">
        <v>8</v>
      </c>
      <c r="G9" s="72" t="s">
        <v>8</v>
      </c>
      <c r="H9" s="3">
        <v>86.435494774921239</v>
      </c>
      <c r="I9" s="3">
        <v>0</v>
      </c>
      <c r="J9" s="3">
        <v>13.564505225078765</v>
      </c>
      <c r="L9" s="3"/>
      <c r="M9" s="3"/>
      <c r="N9" s="3"/>
      <c r="O9" s="3"/>
    </row>
    <row r="10" spans="1:15" ht="15.75" customHeight="1" x14ac:dyDescent="0.2">
      <c r="A10" s="34" t="s">
        <v>464</v>
      </c>
      <c r="B10" s="34" t="s">
        <v>8029</v>
      </c>
      <c r="C10" s="34">
        <v>-6.4319899999999999</v>
      </c>
      <c r="D10" s="34">
        <v>37.533360000000002</v>
      </c>
      <c r="E10" s="34">
        <v>2.7499999999999998E-3</v>
      </c>
      <c r="F10" s="34">
        <v>1</v>
      </c>
      <c r="G10" s="34">
        <v>4.1250000000000002E-3</v>
      </c>
      <c r="H10" s="74" t="s">
        <v>8</v>
      </c>
      <c r="I10" s="74" t="s">
        <v>8</v>
      </c>
      <c r="J10" s="74" t="s">
        <v>8</v>
      </c>
      <c r="L10" s="3"/>
      <c r="M10" s="3"/>
      <c r="N10" s="3"/>
      <c r="O10" s="3"/>
    </row>
    <row r="11" spans="1:15" ht="15.75" customHeight="1" x14ac:dyDescent="0.2">
      <c r="A11" s="34" t="s">
        <v>468</v>
      </c>
      <c r="B11" s="34" t="s">
        <v>8030</v>
      </c>
      <c r="C11" s="34">
        <v>-6.4256500000000001</v>
      </c>
      <c r="D11" s="34">
        <v>37.533099999999997</v>
      </c>
      <c r="E11" s="34">
        <v>1</v>
      </c>
      <c r="F11" s="34">
        <v>8.7500000000000008E-3</v>
      </c>
      <c r="G11" s="34">
        <v>1</v>
      </c>
      <c r="H11" s="3">
        <v>42.827216713867031</v>
      </c>
      <c r="I11" s="3">
        <v>0</v>
      </c>
      <c r="J11" s="3">
        <v>57.172783286132969</v>
      </c>
      <c r="L11" s="3"/>
      <c r="M11" s="3"/>
      <c r="N11" s="3"/>
      <c r="O11" s="3"/>
    </row>
    <row r="12" spans="1:15" ht="15.75" customHeight="1" x14ac:dyDescent="0.2">
      <c r="A12" s="34" t="s">
        <v>472</v>
      </c>
      <c r="B12" s="34" t="s">
        <v>8031</v>
      </c>
      <c r="C12" s="34">
        <v>-7.0735099999999997</v>
      </c>
      <c r="D12" s="34">
        <v>36.908909999999999</v>
      </c>
      <c r="E12" s="34">
        <v>1</v>
      </c>
      <c r="F12" s="34">
        <v>8.7500000000000008E-3</v>
      </c>
      <c r="G12" s="34">
        <v>1</v>
      </c>
      <c r="H12" s="3">
        <v>97.659004993298055</v>
      </c>
      <c r="I12" s="3">
        <v>0</v>
      </c>
      <c r="J12" s="3">
        <v>2.3409950067019509</v>
      </c>
      <c r="L12" s="3"/>
      <c r="M12" s="3"/>
      <c r="N12" s="3"/>
      <c r="O12" s="3"/>
    </row>
    <row r="13" spans="1:15" ht="15.75" customHeight="1" x14ac:dyDescent="0.2">
      <c r="A13" s="34" t="s">
        <v>476</v>
      </c>
      <c r="B13" s="34" t="s">
        <v>8031</v>
      </c>
      <c r="C13" s="34">
        <v>-7.0735099999999997</v>
      </c>
      <c r="D13" s="34">
        <v>36.908909999999999</v>
      </c>
      <c r="E13" s="34">
        <v>0.99950000000000006</v>
      </c>
      <c r="F13" s="34">
        <v>9.4999999999999998E-3</v>
      </c>
      <c r="G13" s="34">
        <v>0.78437500000000004</v>
      </c>
      <c r="H13" s="3">
        <v>89.057970023142801</v>
      </c>
      <c r="I13" s="3">
        <v>0</v>
      </c>
      <c r="J13" s="3">
        <v>10.94202997685719</v>
      </c>
      <c r="L13" s="3"/>
      <c r="M13" s="3"/>
      <c r="N13" s="3"/>
      <c r="O13" s="3"/>
    </row>
    <row r="14" spans="1:15" ht="15.75" customHeight="1" x14ac:dyDescent="0.2">
      <c r="A14" s="34" t="s">
        <v>478</v>
      </c>
      <c r="B14" s="34" t="s">
        <v>8031</v>
      </c>
      <c r="C14" s="34">
        <v>-7.0735099999999997</v>
      </c>
      <c r="D14" s="34">
        <v>36.908909999999999</v>
      </c>
      <c r="E14" s="34">
        <v>1</v>
      </c>
      <c r="F14" s="34">
        <v>8.8749999999999992E-3</v>
      </c>
      <c r="G14" s="34">
        <v>4.0000000000000001E-3</v>
      </c>
      <c r="H14" s="3">
        <v>100</v>
      </c>
      <c r="I14" s="3">
        <v>0</v>
      </c>
      <c r="J14" s="3">
        <v>0</v>
      </c>
      <c r="L14" s="3"/>
      <c r="M14" s="3"/>
      <c r="N14" s="3"/>
      <c r="O14" s="3"/>
    </row>
    <row r="15" spans="1:15" ht="15.75" customHeight="1" x14ac:dyDescent="0.2">
      <c r="A15" s="34" t="s">
        <v>482</v>
      </c>
      <c r="B15" s="34" t="s">
        <v>8032</v>
      </c>
      <c r="C15" s="34">
        <v>-7.0725300000000004</v>
      </c>
      <c r="D15" s="34">
        <v>36.884610000000002</v>
      </c>
      <c r="E15" s="34">
        <v>1</v>
      </c>
      <c r="F15" s="34">
        <v>1.225E-2</v>
      </c>
      <c r="G15" s="34">
        <v>0.99437500000000001</v>
      </c>
      <c r="H15" s="3">
        <v>97.022046490547638</v>
      </c>
      <c r="I15" s="3">
        <v>0</v>
      </c>
      <c r="J15" s="3">
        <v>2.977953509452349</v>
      </c>
      <c r="L15" s="3"/>
      <c r="M15" s="3"/>
      <c r="N15" s="3"/>
      <c r="O15" s="3"/>
    </row>
    <row r="16" spans="1:15" ht="15.75" customHeight="1" x14ac:dyDescent="0.2">
      <c r="A16" s="34" t="s">
        <v>486</v>
      </c>
      <c r="B16" s="34" t="s">
        <v>8033</v>
      </c>
      <c r="C16" s="34">
        <v>-7.0717800000000004</v>
      </c>
      <c r="D16" s="34">
        <v>36.904110000000003</v>
      </c>
      <c r="E16" s="34">
        <v>3.2499999999999999E-3</v>
      </c>
      <c r="F16" s="34">
        <v>1</v>
      </c>
      <c r="G16" s="34">
        <v>4.0000000000000001E-3</v>
      </c>
      <c r="H16" s="74" t="s">
        <v>8</v>
      </c>
      <c r="I16" s="74" t="s">
        <v>8</v>
      </c>
      <c r="J16" s="74" t="s">
        <v>8</v>
      </c>
      <c r="L16" s="3"/>
      <c r="M16" s="3"/>
      <c r="N16" s="3"/>
      <c r="O16" s="3"/>
    </row>
    <row r="17" spans="1:15" ht="15.75" customHeight="1" x14ac:dyDescent="0.2">
      <c r="A17" s="34" t="s">
        <v>491</v>
      </c>
      <c r="B17" s="34" t="s">
        <v>8034</v>
      </c>
      <c r="C17" s="34">
        <v>-6.9453100000000001</v>
      </c>
      <c r="D17" s="34">
        <v>36.936669999999999</v>
      </c>
      <c r="E17" s="34">
        <v>1</v>
      </c>
      <c r="F17" s="34">
        <v>1</v>
      </c>
      <c r="G17" s="34">
        <v>1</v>
      </c>
      <c r="H17" s="3">
        <v>71.58659417299657</v>
      </c>
      <c r="I17" s="3">
        <v>4.4160289366549224</v>
      </c>
      <c r="J17" s="3">
        <v>23.997376890348509</v>
      </c>
      <c r="L17" s="3"/>
      <c r="M17" s="3"/>
      <c r="N17" s="3"/>
      <c r="O17" s="3"/>
    </row>
    <row r="18" spans="1:15" ht="15.75" customHeight="1" x14ac:dyDescent="0.2">
      <c r="A18" s="34" t="s">
        <v>495</v>
      </c>
      <c r="B18" s="34" t="s">
        <v>8035</v>
      </c>
      <c r="C18" s="34">
        <v>-7.8346600000000004</v>
      </c>
      <c r="D18" s="34">
        <v>36.907960000000003</v>
      </c>
      <c r="E18" s="34">
        <v>2.7499999999999998E-3</v>
      </c>
      <c r="F18" s="34">
        <v>1</v>
      </c>
      <c r="G18" s="34">
        <v>1</v>
      </c>
      <c r="H18" s="3">
        <v>0</v>
      </c>
      <c r="I18" s="3">
        <v>37.272890845586261</v>
      </c>
      <c r="J18" s="3">
        <v>62.727109154413739</v>
      </c>
      <c r="L18" s="3"/>
      <c r="M18" s="3"/>
      <c r="N18" s="3"/>
      <c r="O18" s="3"/>
    </row>
    <row r="19" spans="1:15" ht="15.75" customHeight="1" x14ac:dyDescent="0.2">
      <c r="A19" s="34" t="s">
        <v>499</v>
      </c>
      <c r="B19" s="34" t="s">
        <v>8036</v>
      </c>
      <c r="C19" s="34">
        <v>-7.8411799999999996</v>
      </c>
      <c r="D19" s="34">
        <v>36.892099999999999</v>
      </c>
      <c r="E19" s="34">
        <v>3.0000000000000001E-3</v>
      </c>
      <c r="F19" s="34">
        <v>1</v>
      </c>
      <c r="G19" s="34">
        <v>4.7499999999999999E-3</v>
      </c>
      <c r="H19" s="3">
        <v>0</v>
      </c>
      <c r="I19" s="3">
        <v>100</v>
      </c>
      <c r="J19" s="3">
        <v>0</v>
      </c>
      <c r="L19" s="3"/>
      <c r="M19" s="3"/>
      <c r="N19" s="3"/>
      <c r="O19" s="3"/>
    </row>
    <row r="20" spans="1:15" ht="15.75" customHeight="1" x14ac:dyDescent="0.2">
      <c r="A20" s="34" t="s">
        <v>503</v>
      </c>
      <c r="B20" s="34" t="s">
        <v>8037</v>
      </c>
      <c r="C20" s="34">
        <v>-6.8646200000000004</v>
      </c>
      <c r="D20" s="34">
        <v>37.608379999999997</v>
      </c>
      <c r="E20" s="34">
        <v>1</v>
      </c>
      <c r="F20" s="34">
        <v>1</v>
      </c>
      <c r="G20" s="34">
        <v>1</v>
      </c>
      <c r="H20" s="3">
        <v>60.927416093218845</v>
      </c>
      <c r="I20" s="3">
        <v>39.072583906781148</v>
      </c>
      <c r="J20" s="3">
        <v>0</v>
      </c>
      <c r="L20" s="3"/>
      <c r="M20" s="3"/>
      <c r="N20" s="3"/>
      <c r="O20" s="3"/>
    </row>
    <row r="21" spans="1:15" ht="15.75" customHeight="1" x14ac:dyDescent="0.2">
      <c r="A21" s="34" t="s">
        <v>507</v>
      </c>
      <c r="B21" s="34" t="s">
        <v>8037</v>
      </c>
      <c r="C21" s="34">
        <v>-6.8652199999999999</v>
      </c>
      <c r="D21" s="34">
        <v>37.608960000000003</v>
      </c>
      <c r="E21" s="34">
        <v>0.29925000000000002</v>
      </c>
      <c r="F21" s="34">
        <v>0.74650000000000005</v>
      </c>
      <c r="G21" s="34">
        <v>3.5000000000000001E-3</v>
      </c>
      <c r="H21" s="3">
        <v>58.916795787004183</v>
      </c>
      <c r="I21" s="3">
        <v>41.083204212995803</v>
      </c>
      <c r="J21" s="3">
        <v>0</v>
      </c>
      <c r="L21" s="3"/>
      <c r="M21" s="3"/>
      <c r="N21" s="3"/>
      <c r="O21" s="3"/>
    </row>
    <row r="22" spans="1:15" ht="15.75" customHeight="1" x14ac:dyDescent="0.2">
      <c r="A22" s="34" t="s">
        <v>509</v>
      </c>
      <c r="B22" s="34" t="s">
        <v>8038</v>
      </c>
      <c r="C22" s="34">
        <v>-8.1053200000000007</v>
      </c>
      <c r="D22" s="34">
        <v>36.696800000000003</v>
      </c>
      <c r="E22" s="34">
        <v>2.7499999999999998E-3</v>
      </c>
      <c r="F22" s="34">
        <v>8.5000000000000006E-3</v>
      </c>
      <c r="G22" s="34">
        <v>4.7499999999999999E-3</v>
      </c>
      <c r="H22" s="74" t="s">
        <v>8</v>
      </c>
      <c r="I22" s="74" t="s">
        <v>8</v>
      </c>
      <c r="J22" s="74" t="s">
        <v>8</v>
      </c>
      <c r="L22" s="3"/>
      <c r="M22" s="3"/>
      <c r="N22" s="3"/>
      <c r="O22" s="3"/>
    </row>
    <row r="23" spans="1:15" ht="15.75" customHeight="1" x14ac:dyDescent="0.2">
      <c r="A23" s="34" t="s">
        <v>522</v>
      </c>
      <c r="B23" s="34" t="s">
        <v>8039</v>
      </c>
      <c r="C23" s="34">
        <v>-7.93893</v>
      </c>
      <c r="D23" s="34">
        <v>36.875860000000003</v>
      </c>
      <c r="E23" s="34">
        <v>0.99962499999999999</v>
      </c>
      <c r="F23" s="34">
        <v>9.4999999999999998E-3</v>
      </c>
      <c r="G23" s="34">
        <v>6.5000000000000002E-2</v>
      </c>
      <c r="H23" s="3">
        <v>94.284515655712994</v>
      </c>
      <c r="I23" s="3">
        <v>0</v>
      </c>
      <c r="J23" s="3">
        <v>5.7154843442870078</v>
      </c>
      <c r="L23" s="3"/>
      <c r="M23" s="3"/>
      <c r="N23" s="3"/>
      <c r="O23" s="3"/>
    </row>
    <row r="24" spans="1:15" ht="15.75" customHeight="1" x14ac:dyDescent="0.2">
      <c r="A24" s="34" t="s">
        <v>514</v>
      </c>
      <c r="B24" s="34" t="s">
        <v>8040</v>
      </c>
      <c r="C24" s="34">
        <v>-8.1098099999999995</v>
      </c>
      <c r="D24" s="34">
        <v>36.684809999999999</v>
      </c>
      <c r="E24" s="34">
        <v>2.3749999999999999E-3</v>
      </c>
      <c r="F24" s="34">
        <v>1</v>
      </c>
      <c r="G24" s="34">
        <v>1</v>
      </c>
      <c r="H24" s="3">
        <v>0</v>
      </c>
      <c r="I24" s="3">
        <v>92.963719520583965</v>
      </c>
      <c r="J24" s="3">
        <v>7.0362804794160336</v>
      </c>
      <c r="L24" s="3"/>
      <c r="M24" s="3"/>
      <c r="N24" s="3"/>
      <c r="O24" s="3"/>
    </row>
    <row r="25" spans="1:15" ht="15.75" customHeight="1" x14ac:dyDescent="0.2">
      <c r="A25" s="34" t="s">
        <v>518</v>
      </c>
      <c r="B25" s="34" t="s">
        <v>8041</v>
      </c>
      <c r="C25" s="34">
        <v>-8.0755199999999991</v>
      </c>
      <c r="D25" s="34">
        <v>36.799900000000001</v>
      </c>
      <c r="E25" s="34">
        <v>0.99987499999999996</v>
      </c>
      <c r="F25" s="34">
        <v>1</v>
      </c>
      <c r="G25" s="34">
        <v>6.1749999999999999E-2</v>
      </c>
      <c r="H25" s="3">
        <v>85.20506449100273</v>
      </c>
      <c r="I25" s="3">
        <v>13.422075288856405</v>
      </c>
      <c r="J25" s="3">
        <v>1.372860220140864</v>
      </c>
      <c r="L25" s="3"/>
      <c r="M25" s="3"/>
      <c r="N25" s="3"/>
      <c r="O25" s="3"/>
    </row>
    <row r="26" spans="1:15" ht="15.75" customHeight="1" x14ac:dyDescent="0.2">
      <c r="A26" s="34" t="s">
        <v>526</v>
      </c>
      <c r="B26" s="34" t="s">
        <v>8042</v>
      </c>
      <c r="C26" s="34">
        <v>-7.9229399999999996</v>
      </c>
      <c r="D26" s="34">
        <v>36.905180000000001</v>
      </c>
      <c r="E26" s="34">
        <v>0.99987499999999996</v>
      </c>
      <c r="F26" s="34">
        <v>0.99850000000000005</v>
      </c>
      <c r="G26" s="34">
        <v>1.1625E-2</v>
      </c>
      <c r="H26" s="3">
        <v>96.854683962601115</v>
      </c>
      <c r="I26" s="3">
        <v>2.2578587874397398</v>
      </c>
      <c r="J26" s="3">
        <v>0.88745724995914643</v>
      </c>
      <c r="L26" s="3"/>
      <c r="M26" s="3"/>
      <c r="N26" s="3"/>
      <c r="O26" s="3"/>
    </row>
    <row r="27" spans="1:15" ht="15.75" customHeight="1" x14ac:dyDescent="0.2">
      <c r="A27" s="34" t="s">
        <v>530</v>
      </c>
      <c r="B27" s="34" t="s">
        <v>8043</v>
      </c>
      <c r="C27" s="34">
        <v>-7.9104000000000001</v>
      </c>
      <c r="D27" s="34">
        <v>36.899700000000003</v>
      </c>
      <c r="E27" s="34">
        <v>0.99824999999999997</v>
      </c>
      <c r="F27" s="34">
        <v>0.99987499999999996</v>
      </c>
      <c r="G27" s="34">
        <v>0.88062499999999999</v>
      </c>
      <c r="H27" s="3">
        <v>20.561165390899301</v>
      </c>
      <c r="I27" s="3">
        <v>76.89528525900117</v>
      </c>
      <c r="J27" s="3">
        <v>2.543549350099521</v>
      </c>
      <c r="L27" s="3"/>
      <c r="M27" s="3"/>
      <c r="N27" s="3"/>
      <c r="O27" s="3"/>
    </row>
    <row r="28" spans="1:15" ht="15.75" customHeight="1" x14ac:dyDescent="0.2">
      <c r="A28" s="34" t="s">
        <v>534</v>
      </c>
      <c r="B28" s="34" t="s">
        <v>8044</v>
      </c>
      <c r="C28" s="34">
        <v>-7.89968</v>
      </c>
      <c r="D28" s="34">
        <v>36.905180000000001</v>
      </c>
      <c r="E28" s="34">
        <v>0.81874999999999998</v>
      </c>
      <c r="F28" s="34">
        <v>1.0625000000000001E-2</v>
      </c>
      <c r="G28" s="34">
        <v>6.275E-2</v>
      </c>
      <c r="H28" s="3">
        <v>92.951511077123016</v>
      </c>
      <c r="I28" s="3">
        <v>0</v>
      </c>
      <c r="J28" s="3">
        <v>7.0484889228769871</v>
      </c>
      <c r="L28" s="3"/>
      <c r="M28" s="3"/>
      <c r="N28" s="3"/>
      <c r="O28" s="3"/>
    </row>
    <row r="29" spans="1:15" ht="15.75" customHeight="1" x14ac:dyDescent="0.2">
      <c r="A29" s="34" t="s">
        <v>538</v>
      </c>
      <c r="B29" s="34" t="s">
        <v>8045</v>
      </c>
      <c r="C29" s="34">
        <v>-7.8919499999999996</v>
      </c>
      <c r="D29" s="34">
        <v>36.877630000000003</v>
      </c>
      <c r="E29" s="72" t="s">
        <v>8</v>
      </c>
      <c r="F29" s="72" t="s">
        <v>8</v>
      </c>
      <c r="G29" s="72" t="s">
        <v>8</v>
      </c>
      <c r="H29" s="74" t="s">
        <v>8</v>
      </c>
      <c r="I29" s="74" t="s">
        <v>8</v>
      </c>
      <c r="J29" s="74" t="s">
        <v>8</v>
      </c>
      <c r="L29" s="3"/>
      <c r="M29" s="3"/>
      <c r="N29" s="3"/>
      <c r="O29" s="3"/>
    </row>
    <row r="30" spans="1:15" ht="15.75" customHeight="1" x14ac:dyDescent="0.2">
      <c r="A30" s="34" t="s">
        <v>542</v>
      </c>
      <c r="B30" s="34" t="s">
        <v>8046</v>
      </c>
      <c r="C30" s="34">
        <v>-7.8530199999999999</v>
      </c>
      <c r="D30" s="34">
        <v>36.900599999999997</v>
      </c>
      <c r="E30" s="34">
        <v>1.75E-3</v>
      </c>
      <c r="F30" s="34">
        <v>0.99662499999999998</v>
      </c>
      <c r="G30" s="34">
        <v>3.875E-3</v>
      </c>
      <c r="H30" s="3">
        <v>0</v>
      </c>
      <c r="I30" s="3">
        <v>100</v>
      </c>
      <c r="J30" s="3">
        <v>0</v>
      </c>
      <c r="L30" s="3"/>
      <c r="M30" s="3"/>
      <c r="N30" s="3"/>
      <c r="O30" s="3"/>
    </row>
    <row r="31" spans="1:15" ht="15.75" customHeight="1" x14ac:dyDescent="0.2">
      <c r="A31" s="34" t="s">
        <v>546</v>
      </c>
      <c r="B31" s="34" t="s">
        <v>8027</v>
      </c>
      <c r="C31" s="34">
        <v>-6.7556700000000003</v>
      </c>
      <c r="D31" s="34">
        <v>37.754179999999998</v>
      </c>
      <c r="E31" s="34">
        <v>0.99987499999999996</v>
      </c>
      <c r="F31" s="34">
        <v>0.99912500000000004</v>
      </c>
      <c r="G31" s="34">
        <v>0.995</v>
      </c>
      <c r="H31" s="3">
        <v>90.000361259577943</v>
      </c>
      <c r="I31" s="3">
        <v>0.20126025502402461</v>
      </c>
      <c r="J31" s="3">
        <v>9.7983784853980165</v>
      </c>
      <c r="L31" s="3"/>
      <c r="M31" s="3"/>
      <c r="N31" s="3"/>
      <c r="O31" s="3"/>
    </row>
    <row r="32" spans="1:15" ht="15.75" customHeight="1" x14ac:dyDescent="0.2">
      <c r="A32" s="34" t="s">
        <v>549</v>
      </c>
      <c r="B32" s="34" t="s">
        <v>8027</v>
      </c>
      <c r="C32" s="34">
        <v>-6.7556700000000003</v>
      </c>
      <c r="D32" s="34">
        <v>37.754179999999998</v>
      </c>
      <c r="E32" s="34">
        <v>0.99224999999999997</v>
      </c>
      <c r="F32" s="34">
        <v>0.99675000000000002</v>
      </c>
      <c r="G32" s="34">
        <v>0.48975000000000002</v>
      </c>
      <c r="H32" s="3">
        <v>95.722761252184767</v>
      </c>
      <c r="I32" s="3">
        <v>2.1634250461977391</v>
      </c>
      <c r="J32" s="3">
        <v>2.1138137016174969</v>
      </c>
      <c r="L32" s="3"/>
      <c r="M32" s="3"/>
      <c r="N32" s="3"/>
      <c r="O32" s="3"/>
    </row>
    <row r="33" spans="1:15" ht="15.75" customHeight="1" x14ac:dyDescent="0.2">
      <c r="A33" s="34" t="s">
        <v>551</v>
      </c>
      <c r="B33" s="34" t="s">
        <v>8047</v>
      </c>
      <c r="C33" s="34">
        <v>-6.8526100000000003</v>
      </c>
      <c r="D33" s="34">
        <v>37.650219999999997</v>
      </c>
      <c r="E33" s="34">
        <v>1</v>
      </c>
      <c r="F33" s="34">
        <v>1.0874999999999999E-2</v>
      </c>
      <c r="G33" s="34">
        <v>4.3750000000000004E-3</v>
      </c>
      <c r="H33" s="3">
        <v>100</v>
      </c>
      <c r="I33" s="3">
        <v>0</v>
      </c>
      <c r="J33" s="3">
        <v>0</v>
      </c>
      <c r="L33" s="3"/>
      <c r="M33" s="3"/>
      <c r="N33" s="3"/>
      <c r="O33" s="3"/>
    </row>
    <row r="34" spans="1:15" ht="15.75" customHeight="1" x14ac:dyDescent="0.2">
      <c r="A34" s="34" t="s">
        <v>555</v>
      </c>
      <c r="B34" s="34" t="s">
        <v>8047</v>
      </c>
      <c r="C34" s="34">
        <v>-6.8527899999999997</v>
      </c>
      <c r="D34" s="34">
        <v>37.649790000000003</v>
      </c>
      <c r="E34" s="34">
        <v>0.98724999999999996</v>
      </c>
      <c r="F34" s="34">
        <v>1.0500000000000001E-2</v>
      </c>
      <c r="G34" s="34">
        <v>0.96150000000000002</v>
      </c>
      <c r="H34" s="3">
        <v>83.760392071713369</v>
      </c>
      <c r="I34" s="3">
        <v>0</v>
      </c>
      <c r="J34" s="3">
        <v>16.239607928286635</v>
      </c>
      <c r="L34" s="3"/>
      <c r="M34" s="3"/>
      <c r="N34" s="3"/>
      <c r="O34" s="3"/>
    </row>
    <row r="35" spans="1:15" ht="15.75" customHeight="1" x14ac:dyDescent="0.2">
      <c r="A35" s="34" t="s">
        <v>557</v>
      </c>
      <c r="B35" s="34" t="s">
        <v>8048</v>
      </c>
      <c r="C35" s="34">
        <v>-6.9032099999999996</v>
      </c>
      <c r="D35" s="34">
        <v>37.592480000000002</v>
      </c>
      <c r="E35" s="34">
        <v>0.99987499999999996</v>
      </c>
      <c r="F35" s="34">
        <v>0.99775000000000003</v>
      </c>
      <c r="G35" s="34">
        <v>1</v>
      </c>
      <c r="H35" s="3">
        <v>79.012617033216614</v>
      </c>
      <c r="I35" s="3">
        <v>1.6241286637828507</v>
      </c>
      <c r="J35" s="3">
        <v>19.363254303000531</v>
      </c>
      <c r="L35" s="3"/>
      <c r="M35" s="3"/>
      <c r="N35" s="3"/>
      <c r="O35" s="3"/>
    </row>
    <row r="36" spans="1:15" ht="15.75" customHeight="1" x14ac:dyDescent="0.2">
      <c r="A36" s="34" t="s">
        <v>561</v>
      </c>
      <c r="B36" s="34" t="s">
        <v>8048</v>
      </c>
      <c r="C36" s="34">
        <v>-6.9032099999999996</v>
      </c>
      <c r="D36" s="34">
        <v>37.592480000000002</v>
      </c>
      <c r="E36" s="72" t="s">
        <v>8</v>
      </c>
      <c r="F36" s="72" t="s">
        <v>8</v>
      </c>
      <c r="G36" s="72" t="s">
        <v>8</v>
      </c>
      <c r="H36" s="74" t="s">
        <v>8</v>
      </c>
      <c r="I36" s="74" t="s">
        <v>8</v>
      </c>
      <c r="J36" s="74" t="s">
        <v>8</v>
      </c>
      <c r="L36" s="3"/>
      <c r="M36" s="3"/>
      <c r="N36" s="3"/>
      <c r="O36" s="3"/>
    </row>
    <row r="37" spans="1:15" ht="15.75" customHeight="1" x14ac:dyDescent="0.2">
      <c r="A37" s="34" t="s">
        <v>563</v>
      </c>
      <c r="B37" s="34" t="s">
        <v>8048</v>
      </c>
      <c r="C37" s="34">
        <v>-6.9032099999999996</v>
      </c>
      <c r="D37" s="34">
        <v>37.592480000000002</v>
      </c>
      <c r="E37" s="72" t="s">
        <v>8</v>
      </c>
      <c r="F37" s="72" t="s">
        <v>8</v>
      </c>
      <c r="G37" s="72" t="s">
        <v>8</v>
      </c>
      <c r="H37" s="3">
        <v>90.311959373603557</v>
      </c>
      <c r="I37" s="3">
        <v>3.7710341958419651</v>
      </c>
      <c r="J37" s="3">
        <v>5.9170064305544825</v>
      </c>
      <c r="L37" s="3"/>
      <c r="M37" s="3"/>
      <c r="N37" s="3"/>
      <c r="O37" s="3"/>
    </row>
    <row r="38" spans="1:15" ht="15.75" customHeight="1" x14ac:dyDescent="0.2">
      <c r="A38" s="34" t="s">
        <v>565</v>
      </c>
      <c r="B38" s="34" t="s">
        <v>8049</v>
      </c>
      <c r="C38" s="34">
        <v>-6.6112799999999998</v>
      </c>
      <c r="D38" s="34">
        <v>38.78519</v>
      </c>
      <c r="E38" s="34">
        <v>0.99950000000000006</v>
      </c>
      <c r="F38" s="34">
        <v>9.2499999999999995E-3</v>
      </c>
      <c r="G38" s="34">
        <v>0.90337500000000004</v>
      </c>
      <c r="H38" s="3">
        <v>98.313193886237784</v>
      </c>
      <c r="I38" s="3">
        <v>0</v>
      </c>
      <c r="J38" s="3">
        <v>1.6868061137622188</v>
      </c>
      <c r="L38" s="3"/>
      <c r="M38" s="3"/>
      <c r="N38" s="3"/>
      <c r="O38" s="3"/>
    </row>
    <row r="39" spans="1:15" ht="15.75" customHeight="1" x14ac:dyDescent="0.2">
      <c r="A39" s="34" t="s">
        <v>570</v>
      </c>
      <c r="B39" s="34" t="s">
        <v>8049</v>
      </c>
      <c r="C39" s="34">
        <v>-6.6112799999999998</v>
      </c>
      <c r="D39" s="34">
        <v>38.78519</v>
      </c>
      <c r="E39" s="34">
        <v>1</v>
      </c>
      <c r="F39" s="34">
        <v>1.025E-2</v>
      </c>
      <c r="G39" s="34">
        <v>3.7499999999999999E-3</v>
      </c>
      <c r="H39" s="3">
        <v>100</v>
      </c>
      <c r="I39" s="3">
        <v>0</v>
      </c>
      <c r="J39" s="3">
        <v>0</v>
      </c>
      <c r="L39" s="3"/>
      <c r="M39" s="3"/>
      <c r="N39" s="3"/>
      <c r="O39" s="3"/>
    </row>
    <row r="40" spans="1:15" ht="15.75" customHeight="1" x14ac:dyDescent="0.2">
      <c r="A40" s="34" t="s">
        <v>572</v>
      </c>
      <c r="B40" s="34" t="s">
        <v>8050</v>
      </c>
      <c r="C40" s="34">
        <v>-6.4721099999999998</v>
      </c>
      <c r="D40" s="34">
        <v>38.967649999999999</v>
      </c>
      <c r="E40" s="34">
        <v>0.99950000000000006</v>
      </c>
      <c r="F40" s="34">
        <v>8.9999999999999993E-3</v>
      </c>
      <c r="G40" s="34">
        <v>1.0999999999999999E-2</v>
      </c>
      <c r="H40" s="3">
        <v>98.672005103457323</v>
      </c>
      <c r="I40" s="3">
        <v>0</v>
      </c>
      <c r="J40" s="3">
        <v>1.327994896542668</v>
      </c>
      <c r="L40" s="3"/>
      <c r="M40" s="3"/>
      <c r="N40" s="3"/>
      <c r="O40" s="3"/>
    </row>
    <row r="41" spans="1:15" ht="15.75" customHeight="1" x14ac:dyDescent="0.2">
      <c r="A41" s="34" t="s">
        <v>576</v>
      </c>
      <c r="B41" s="34" t="s">
        <v>8050</v>
      </c>
      <c r="C41" s="34">
        <v>-6.4721099999999998</v>
      </c>
      <c r="D41" s="34">
        <v>38.967649999999999</v>
      </c>
      <c r="E41" s="34">
        <v>0.99937500000000001</v>
      </c>
      <c r="F41" s="34">
        <v>1.0500000000000001E-2</v>
      </c>
      <c r="G41" s="34">
        <v>1.2E-2</v>
      </c>
      <c r="H41" s="3">
        <v>98.978072073968889</v>
      </c>
      <c r="I41" s="3">
        <v>0</v>
      </c>
      <c r="J41" s="3">
        <v>1.0219279260311009</v>
      </c>
      <c r="L41" s="3"/>
      <c r="M41" s="3"/>
      <c r="N41" s="3"/>
      <c r="O41" s="3"/>
    </row>
    <row r="42" spans="1:15" ht="15.75" customHeight="1" x14ac:dyDescent="0.2">
      <c r="A42" s="34" t="s">
        <v>578</v>
      </c>
      <c r="B42" s="34" t="s">
        <v>8051</v>
      </c>
      <c r="C42" s="34">
        <v>-7.1630700000000003</v>
      </c>
      <c r="D42" s="34">
        <v>39.220170000000003</v>
      </c>
      <c r="E42" s="34">
        <v>0.99987499999999996</v>
      </c>
      <c r="F42" s="34">
        <v>0.99987499999999996</v>
      </c>
      <c r="G42" s="34">
        <v>0.90024999999999999</v>
      </c>
      <c r="H42" s="3">
        <v>83.861847233110296</v>
      </c>
      <c r="I42" s="3">
        <v>12.909720670547925</v>
      </c>
      <c r="J42" s="3">
        <v>3.2284320963417898</v>
      </c>
      <c r="L42" s="3"/>
      <c r="M42" s="3"/>
      <c r="N42" s="3"/>
      <c r="O42" s="3"/>
    </row>
    <row r="43" spans="1:15" ht="15.75" customHeight="1" x14ac:dyDescent="0.2">
      <c r="A43" s="34" t="s">
        <v>582</v>
      </c>
      <c r="B43" s="34" t="s">
        <v>8051</v>
      </c>
      <c r="C43" s="34">
        <v>-7.1630700000000003</v>
      </c>
      <c r="D43" s="34">
        <v>39.220170000000003</v>
      </c>
      <c r="E43" s="34">
        <v>0.99950000000000006</v>
      </c>
      <c r="F43" s="34">
        <v>0.23574999999999999</v>
      </c>
      <c r="G43" s="34">
        <v>0.26137500000000002</v>
      </c>
      <c r="H43" s="3">
        <v>92.902042722236004</v>
      </c>
      <c r="I43" s="3">
        <v>4.5573090361374442</v>
      </c>
      <c r="J43" s="3">
        <v>2.540648241626565</v>
      </c>
      <c r="L43" s="3"/>
      <c r="M43" s="3"/>
      <c r="N43" s="3"/>
      <c r="O43" s="3"/>
    </row>
    <row r="44" spans="1:15" ht="15.75" customHeight="1" x14ac:dyDescent="0.2">
      <c r="A44" s="34" t="s">
        <v>584</v>
      </c>
      <c r="B44" s="34" t="s">
        <v>8052</v>
      </c>
      <c r="C44" s="34">
        <v>-7.17631</v>
      </c>
      <c r="D44" s="34">
        <v>39.329569999999997</v>
      </c>
      <c r="E44" s="34">
        <v>0.99950000000000006</v>
      </c>
      <c r="F44" s="34">
        <v>1</v>
      </c>
      <c r="G44" s="34">
        <v>3.2499999999999999E-3</v>
      </c>
      <c r="H44" s="3">
        <v>49.048342126909546</v>
      </c>
      <c r="I44" s="3">
        <v>50.951657873090447</v>
      </c>
      <c r="J44" s="3">
        <v>0</v>
      </c>
      <c r="L44" s="3"/>
      <c r="M44" s="3"/>
      <c r="N44" s="3"/>
      <c r="O44" s="3"/>
    </row>
    <row r="45" spans="1:15" ht="16" x14ac:dyDescent="0.2">
      <c r="A45" s="34" t="s">
        <v>588</v>
      </c>
      <c r="B45" s="34" t="s">
        <v>8052</v>
      </c>
      <c r="C45" s="34">
        <v>-7.1761699999999999</v>
      </c>
      <c r="D45" s="34">
        <v>39.332509999999999</v>
      </c>
      <c r="E45" s="34">
        <v>0.99962499999999999</v>
      </c>
      <c r="F45" s="34">
        <v>0.99987499999999996</v>
      </c>
      <c r="G45" s="34">
        <v>5.0000000000000001E-3</v>
      </c>
      <c r="H45" s="3">
        <v>65.075813863103704</v>
      </c>
      <c r="I45" s="3">
        <v>34.92418613689631</v>
      </c>
      <c r="J45" s="3">
        <v>0</v>
      </c>
      <c r="L45" s="3"/>
      <c r="M45" s="3"/>
      <c r="N45" s="3"/>
      <c r="O45" s="3"/>
    </row>
    <row r="46" spans="1:15" ht="16" x14ac:dyDescent="0.2">
      <c r="A46" s="34" t="s">
        <v>590</v>
      </c>
      <c r="B46" s="34" t="s">
        <v>8053</v>
      </c>
      <c r="C46" s="34">
        <v>-7.1403800000000004</v>
      </c>
      <c r="D46" s="34">
        <v>39.327399999999997</v>
      </c>
      <c r="E46" s="34">
        <v>0.99987499999999996</v>
      </c>
      <c r="F46" s="34">
        <v>1</v>
      </c>
      <c r="G46" s="34">
        <v>0.99950000000000006</v>
      </c>
      <c r="H46" s="3">
        <v>96.346918792588383</v>
      </c>
      <c r="I46" s="3">
        <v>0.81100566828048082</v>
      </c>
      <c r="J46" s="3">
        <v>2.8420755391311432</v>
      </c>
      <c r="L46" s="3"/>
      <c r="M46" s="3"/>
      <c r="N46" s="3"/>
      <c r="O46" s="3"/>
    </row>
    <row r="47" spans="1:15" ht="16" x14ac:dyDescent="0.2">
      <c r="A47" s="34" t="s">
        <v>594</v>
      </c>
      <c r="B47" s="34" t="s">
        <v>8054</v>
      </c>
      <c r="C47" s="34">
        <v>-6.8728800000000003</v>
      </c>
      <c r="D47" s="34">
        <v>39.342089999999999</v>
      </c>
      <c r="E47" s="34">
        <v>0.99924999999999997</v>
      </c>
      <c r="F47" s="34">
        <v>1.225E-2</v>
      </c>
      <c r="G47" s="34">
        <v>3.1250000000000002E-3</v>
      </c>
      <c r="H47" s="3">
        <v>100</v>
      </c>
      <c r="I47" s="3">
        <v>0</v>
      </c>
      <c r="J47" s="3">
        <v>0</v>
      </c>
      <c r="L47" s="3"/>
      <c r="M47" s="3"/>
      <c r="N47" s="3"/>
      <c r="O47" s="3"/>
    </row>
    <row r="48" spans="1:15" ht="16" x14ac:dyDescent="0.2">
      <c r="A48" s="34" t="s">
        <v>599</v>
      </c>
      <c r="B48" s="34" t="s">
        <v>8054</v>
      </c>
      <c r="C48" s="34">
        <v>-6.8728800000000003</v>
      </c>
      <c r="D48" s="34">
        <v>39.342089999999999</v>
      </c>
      <c r="E48" s="34">
        <v>0.68925000000000003</v>
      </c>
      <c r="F48" s="34">
        <v>9.4999999999999998E-3</v>
      </c>
      <c r="G48" s="34">
        <v>5.2500000000000003E-3</v>
      </c>
      <c r="H48" s="3">
        <v>100</v>
      </c>
      <c r="I48" s="3">
        <v>0</v>
      </c>
      <c r="J48" s="3">
        <v>0</v>
      </c>
      <c r="L48" s="3"/>
      <c r="M48" s="3"/>
      <c r="N48" s="3"/>
      <c r="O48" s="3"/>
    </row>
    <row r="49" spans="1:15" ht="16" x14ac:dyDescent="0.2">
      <c r="A49" s="34" t="s">
        <v>601</v>
      </c>
      <c r="B49" s="34" t="s">
        <v>8054</v>
      </c>
      <c r="C49" s="34">
        <v>-6.8728800000000003</v>
      </c>
      <c r="D49" s="34">
        <v>39.342089999999999</v>
      </c>
      <c r="E49" s="34">
        <v>0.98724999999999996</v>
      </c>
      <c r="F49" s="34">
        <v>9.8750000000000001E-3</v>
      </c>
      <c r="G49" s="34">
        <v>3.7499999999999999E-3</v>
      </c>
      <c r="H49" s="3">
        <v>100</v>
      </c>
      <c r="I49" s="3">
        <v>0</v>
      </c>
      <c r="J49" s="3">
        <v>0</v>
      </c>
      <c r="L49" s="3"/>
      <c r="M49" s="3"/>
      <c r="N49" s="3"/>
      <c r="O49" s="3"/>
    </row>
    <row r="50" spans="1:15" ht="16" x14ac:dyDescent="0.2">
      <c r="A50" s="34" t="s">
        <v>603</v>
      </c>
      <c r="B50" s="34" t="s">
        <v>8055</v>
      </c>
      <c r="C50" s="34">
        <v>-6.9363599999999996</v>
      </c>
      <c r="D50" s="34">
        <v>39.125540000000001</v>
      </c>
      <c r="E50" s="34">
        <v>1</v>
      </c>
      <c r="F50" s="34">
        <v>0.94412499999999999</v>
      </c>
      <c r="G50" s="34">
        <v>0.87912500000000005</v>
      </c>
      <c r="H50" s="3">
        <v>97.841263160570364</v>
      </c>
      <c r="I50" s="3">
        <v>0.12652768975770298</v>
      </c>
      <c r="J50" s="3">
        <v>2.032209149671941</v>
      </c>
      <c r="L50" s="3"/>
      <c r="M50" s="3"/>
      <c r="N50" s="3"/>
      <c r="O50" s="3"/>
    </row>
    <row r="51" spans="1:15" ht="16" x14ac:dyDescent="0.2">
      <c r="A51" s="34" t="s">
        <v>607</v>
      </c>
      <c r="B51" s="34" t="s">
        <v>8055</v>
      </c>
      <c r="C51" s="34">
        <v>-6.9363599999999996</v>
      </c>
      <c r="D51" s="34">
        <v>39.125540000000001</v>
      </c>
      <c r="E51" s="34">
        <v>0.99975000000000003</v>
      </c>
      <c r="F51" s="34">
        <v>0.99975000000000003</v>
      </c>
      <c r="G51" s="34">
        <v>1</v>
      </c>
      <c r="H51" s="3">
        <v>96.327126010271641</v>
      </c>
      <c r="I51" s="3">
        <v>1.5654216119024165</v>
      </c>
      <c r="J51" s="3">
        <v>2.1074523778259397</v>
      </c>
      <c r="L51" s="3"/>
      <c r="M51" s="3"/>
      <c r="N51" s="3"/>
      <c r="O51" s="3"/>
    </row>
    <row r="52" spans="1:15" ht="16" x14ac:dyDescent="0.2">
      <c r="A52" s="34" t="s">
        <v>609</v>
      </c>
      <c r="B52" s="34" t="s">
        <v>8056</v>
      </c>
      <c r="C52" s="34">
        <v>-6.8361900000000002</v>
      </c>
      <c r="D52" s="34">
        <v>39.211190000000002</v>
      </c>
      <c r="E52" s="34">
        <v>0.99987499999999996</v>
      </c>
      <c r="F52" s="34">
        <v>0.99987499999999996</v>
      </c>
      <c r="G52" s="34">
        <v>0.90362500000000001</v>
      </c>
      <c r="H52" s="3">
        <v>98.856474417735527</v>
      </c>
      <c r="I52" s="3">
        <v>0.25240969342345154</v>
      </c>
      <c r="J52" s="3">
        <v>0.89111588884101878</v>
      </c>
      <c r="L52" s="3"/>
      <c r="M52" s="3"/>
      <c r="N52" s="3"/>
      <c r="O52" s="3"/>
    </row>
    <row r="53" spans="1:15" ht="16" x14ac:dyDescent="0.2">
      <c r="A53" s="34" t="s">
        <v>613</v>
      </c>
      <c r="B53" s="34" t="s">
        <v>8057</v>
      </c>
      <c r="C53" s="34">
        <v>-6.7437699999999996</v>
      </c>
      <c r="D53" s="34">
        <v>39.234380000000002</v>
      </c>
      <c r="E53" s="34">
        <v>1</v>
      </c>
      <c r="F53" s="34">
        <v>0.97537499999999999</v>
      </c>
      <c r="G53" s="34">
        <v>4.4999999999999997E-3</v>
      </c>
      <c r="H53" s="3">
        <v>99.416799814875276</v>
      </c>
      <c r="I53" s="3">
        <v>0.5832001851247316</v>
      </c>
      <c r="J53" s="3">
        <v>0</v>
      </c>
      <c r="L53" s="3"/>
      <c r="M53" s="3"/>
      <c r="N53" s="3"/>
      <c r="O53" s="3"/>
    </row>
    <row r="54" spans="1:15" ht="16" x14ac:dyDescent="0.2">
      <c r="A54" s="34" t="s">
        <v>617</v>
      </c>
      <c r="B54" s="34" t="s">
        <v>8058</v>
      </c>
      <c r="C54" s="34">
        <v>-6.6642999999999999</v>
      </c>
      <c r="D54" s="34">
        <v>39.217739999999999</v>
      </c>
      <c r="E54" s="34">
        <v>0.99962499999999999</v>
      </c>
      <c r="F54" s="34">
        <v>8.2500000000000004E-3</v>
      </c>
      <c r="G54" s="34">
        <v>3.6250000000000002E-3</v>
      </c>
      <c r="H54" s="3">
        <v>100</v>
      </c>
      <c r="I54" s="3">
        <v>0</v>
      </c>
      <c r="J54" s="3">
        <v>0</v>
      </c>
      <c r="L54" s="3"/>
      <c r="M54" s="3"/>
      <c r="N54" s="3"/>
      <c r="O54" s="3"/>
    </row>
    <row r="55" spans="1:15" ht="16" x14ac:dyDescent="0.2">
      <c r="A55" s="34" t="s">
        <v>621</v>
      </c>
      <c r="B55" s="34" t="s">
        <v>8058</v>
      </c>
      <c r="C55" s="34">
        <v>-6.6642999999999999</v>
      </c>
      <c r="D55" s="34">
        <v>39.217739999999999</v>
      </c>
      <c r="E55" s="34">
        <v>1</v>
      </c>
      <c r="F55" s="34">
        <v>0.99987499999999996</v>
      </c>
      <c r="G55" s="34">
        <v>1.4250000000000001E-2</v>
      </c>
      <c r="H55" s="3">
        <v>93.848324104443208</v>
      </c>
      <c r="I55" s="3">
        <v>5.9925662828045683</v>
      </c>
      <c r="J55" s="3">
        <v>0.15910961275222507</v>
      </c>
      <c r="M55" s="3"/>
      <c r="N55" s="3"/>
      <c r="O55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5"/>
  <sheetViews>
    <sheetView zoomScale="80" zoomScaleNormal="80" workbookViewId="0"/>
  </sheetViews>
  <sheetFormatPr baseColWidth="10" defaultColWidth="11" defaultRowHeight="15.75" customHeight="1" x14ac:dyDescent="0.2"/>
  <cols>
    <col min="1" max="1" width="13.83203125" customWidth="1"/>
    <col min="2" max="2" width="14.6640625" style="3" bestFit="1" customWidth="1"/>
    <col min="3" max="3" width="16" style="3" bestFit="1" customWidth="1"/>
    <col min="4" max="4" width="18.6640625" style="3" bestFit="1" customWidth="1"/>
    <col min="5" max="7" width="24.83203125" style="3" customWidth="1"/>
    <col min="8" max="10" width="24.83203125" style="43" customWidth="1"/>
  </cols>
  <sheetData>
    <row r="1" spans="1:12" ht="15.75" customHeight="1" x14ac:dyDescent="0.2">
      <c r="A1" s="42" t="s">
        <v>8011</v>
      </c>
    </row>
    <row r="3" spans="1:12" ht="15.75" customHeight="1" x14ac:dyDescent="0.2">
      <c r="A3" s="35" t="s">
        <v>1008</v>
      </c>
      <c r="B3" s="40" t="s">
        <v>430</v>
      </c>
      <c r="C3" s="40" t="s">
        <v>431</v>
      </c>
      <c r="D3" s="40" t="s">
        <v>1009</v>
      </c>
      <c r="E3" s="40" t="s">
        <v>1010</v>
      </c>
      <c r="F3" s="40" t="s">
        <v>1011</v>
      </c>
      <c r="G3" s="40" t="s">
        <v>1012</v>
      </c>
      <c r="H3" s="40" t="s">
        <v>1013</v>
      </c>
      <c r="I3" s="40" t="s">
        <v>1014</v>
      </c>
      <c r="J3" s="40" t="s">
        <v>1015</v>
      </c>
    </row>
    <row r="4" spans="1:12" ht="15.75" customHeight="1" x14ac:dyDescent="0.2">
      <c r="A4" t="s">
        <v>8027</v>
      </c>
      <c r="B4" s="3">
        <v>-6.7558199999999999</v>
      </c>
      <c r="C4" s="3">
        <v>37.754491999999999</v>
      </c>
      <c r="D4" s="42">
        <v>5</v>
      </c>
      <c r="E4" s="3">
        <v>0.9984249999999999</v>
      </c>
      <c r="F4" s="3">
        <v>0.84750000000000014</v>
      </c>
      <c r="G4" s="3">
        <v>0.498475</v>
      </c>
      <c r="H4" s="3">
        <v>95.198891719631007</v>
      </c>
      <c r="I4" s="3">
        <v>2.2336006128183792</v>
      </c>
      <c r="J4" s="3">
        <v>2.5675076675506299</v>
      </c>
    </row>
    <row r="5" spans="1:12" ht="15.75" customHeight="1" x14ac:dyDescent="0.2">
      <c r="A5" t="s">
        <v>8028</v>
      </c>
      <c r="B5" s="3">
        <v>-6.8026099999999987</v>
      </c>
      <c r="C5" s="3">
        <v>37.721589999999999</v>
      </c>
      <c r="D5" s="42">
        <v>3</v>
      </c>
      <c r="E5" s="3">
        <v>1</v>
      </c>
      <c r="F5" s="3">
        <v>1.0375000000000001E-2</v>
      </c>
      <c r="G5" s="3">
        <v>0.69412499999999999</v>
      </c>
      <c r="H5" s="3">
        <v>93.930472981648862</v>
      </c>
      <c r="I5" s="3">
        <v>0</v>
      </c>
      <c r="J5" s="3">
        <v>6.0695270183511445</v>
      </c>
    </row>
    <row r="6" spans="1:12" ht="15.75" customHeight="1" x14ac:dyDescent="0.2">
      <c r="A6" t="s">
        <v>8029</v>
      </c>
      <c r="B6" s="3">
        <v>-6.4319899999999999</v>
      </c>
      <c r="C6" s="3">
        <v>37.533360000000002</v>
      </c>
      <c r="D6" s="42">
        <v>1</v>
      </c>
      <c r="E6" s="3">
        <v>2.7499999999999998E-3</v>
      </c>
      <c r="F6" s="3">
        <v>1</v>
      </c>
      <c r="G6" s="3">
        <v>4.1250000000000002E-3</v>
      </c>
      <c r="H6" s="74" t="s">
        <v>8</v>
      </c>
      <c r="I6" s="74" t="s">
        <v>8</v>
      </c>
      <c r="J6" s="74" t="s">
        <v>8</v>
      </c>
    </row>
    <row r="7" spans="1:12" ht="15.75" customHeight="1" x14ac:dyDescent="0.2">
      <c r="A7" t="s">
        <v>8030</v>
      </c>
      <c r="B7" s="3">
        <v>-6.4256500000000001</v>
      </c>
      <c r="C7" s="3">
        <v>37.533099999999997</v>
      </c>
      <c r="D7" s="42">
        <v>1</v>
      </c>
      <c r="E7" s="3">
        <v>1</v>
      </c>
      <c r="F7" s="3">
        <v>8.7500000000000008E-3</v>
      </c>
      <c r="G7" s="3">
        <v>1</v>
      </c>
      <c r="H7" s="3">
        <v>42.827216713867031</v>
      </c>
      <c r="I7" s="3">
        <v>0</v>
      </c>
      <c r="J7" s="3">
        <v>57.172783286132969</v>
      </c>
    </row>
    <row r="8" spans="1:12" ht="15.75" customHeight="1" x14ac:dyDescent="0.2">
      <c r="A8" t="s">
        <v>8031</v>
      </c>
      <c r="B8" s="3">
        <v>-7.0735099999999997</v>
      </c>
      <c r="C8" s="3">
        <v>36.908909999999999</v>
      </c>
      <c r="D8" s="42">
        <v>3</v>
      </c>
      <c r="E8" s="3">
        <v>0.99983333333333346</v>
      </c>
      <c r="F8" s="3">
        <v>9.0416666666666683E-3</v>
      </c>
      <c r="G8" s="3">
        <v>0.59612500000000002</v>
      </c>
      <c r="H8" s="3">
        <v>95.572325005480295</v>
      </c>
      <c r="I8" s="3">
        <v>0</v>
      </c>
      <c r="J8" s="3">
        <v>4.4276749945197134</v>
      </c>
      <c r="L8" s="75"/>
    </row>
    <row r="9" spans="1:12" ht="15.75" customHeight="1" x14ac:dyDescent="0.2">
      <c r="A9" t="s">
        <v>8032</v>
      </c>
      <c r="B9" s="3">
        <v>-7.0725300000000004</v>
      </c>
      <c r="C9" s="3">
        <v>36.884610000000002</v>
      </c>
      <c r="D9" s="42">
        <v>1</v>
      </c>
      <c r="E9" s="3">
        <v>1</v>
      </c>
      <c r="F9" s="3">
        <v>1.225E-2</v>
      </c>
      <c r="G9" s="3">
        <v>0.99437500000000001</v>
      </c>
      <c r="H9" s="3">
        <v>97.022046490547638</v>
      </c>
      <c r="I9" s="3">
        <v>0</v>
      </c>
      <c r="J9" s="3">
        <v>2.977953509452349</v>
      </c>
      <c r="L9" s="75"/>
    </row>
    <row r="10" spans="1:12" ht="15.75" customHeight="1" x14ac:dyDescent="0.2">
      <c r="A10" t="s">
        <v>8033</v>
      </c>
      <c r="B10" s="3">
        <v>-7.0717800000000004</v>
      </c>
      <c r="C10" s="3">
        <v>36.904110000000003</v>
      </c>
      <c r="D10" s="42">
        <v>1</v>
      </c>
      <c r="E10" s="3">
        <v>3.2499999999999999E-3</v>
      </c>
      <c r="F10" s="3">
        <v>1</v>
      </c>
      <c r="G10" s="3">
        <v>4.0000000000000001E-3</v>
      </c>
      <c r="H10" s="74" t="s">
        <v>8</v>
      </c>
      <c r="I10" s="74" t="s">
        <v>8</v>
      </c>
      <c r="J10" s="74" t="s">
        <v>8</v>
      </c>
      <c r="L10" s="75"/>
    </row>
    <row r="11" spans="1:12" ht="15.75" customHeight="1" x14ac:dyDescent="0.2">
      <c r="A11" t="s">
        <v>8034</v>
      </c>
      <c r="B11" s="3">
        <v>-6.9453100000000001</v>
      </c>
      <c r="C11" s="3">
        <v>36.936669999999999</v>
      </c>
      <c r="D11" s="42">
        <v>1</v>
      </c>
      <c r="E11" s="3">
        <v>1</v>
      </c>
      <c r="F11" s="3">
        <v>1</v>
      </c>
      <c r="G11" s="3">
        <v>1</v>
      </c>
      <c r="H11" s="3">
        <v>71.58659417299657</v>
      </c>
      <c r="I11" s="3">
        <v>4.4160289366549224</v>
      </c>
      <c r="J11" s="3">
        <v>23.997376890348509</v>
      </c>
      <c r="L11" s="75"/>
    </row>
    <row r="12" spans="1:12" ht="15.75" customHeight="1" x14ac:dyDescent="0.2">
      <c r="A12" t="s">
        <v>8035</v>
      </c>
      <c r="B12" s="3">
        <v>-7.8346600000000004</v>
      </c>
      <c r="C12" s="3">
        <v>36.907960000000003</v>
      </c>
      <c r="D12" s="42">
        <v>1</v>
      </c>
      <c r="E12" s="3">
        <v>2.7499999999999998E-3</v>
      </c>
      <c r="F12" s="3">
        <v>1</v>
      </c>
      <c r="G12" s="3">
        <v>1</v>
      </c>
      <c r="H12" s="3">
        <v>0</v>
      </c>
      <c r="I12" s="3">
        <v>37.272890845586261</v>
      </c>
      <c r="J12" s="3">
        <v>62.727109154413739</v>
      </c>
    </row>
    <row r="13" spans="1:12" ht="15.75" customHeight="1" x14ac:dyDescent="0.2">
      <c r="A13" t="s">
        <v>8036</v>
      </c>
      <c r="B13" s="3">
        <v>-7.8411799999999996</v>
      </c>
      <c r="C13" s="3">
        <v>36.892099999999999</v>
      </c>
      <c r="D13" s="42">
        <v>1</v>
      </c>
      <c r="E13" s="3">
        <v>3.0000000000000001E-3</v>
      </c>
      <c r="F13" s="3">
        <v>1</v>
      </c>
      <c r="G13" s="3">
        <v>4.7499999999999999E-3</v>
      </c>
      <c r="H13" s="3">
        <v>0</v>
      </c>
      <c r="I13" s="3">
        <v>100</v>
      </c>
      <c r="J13" s="3">
        <v>0</v>
      </c>
    </row>
    <row r="14" spans="1:12" ht="15.75" customHeight="1" x14ac:dyDescent="0.2">
      <c r="A14" t="s">
        <v>8037</v>
      </c>
      <c r="B14" s="3">
        <v>-6.8649199999999997</v>
      </c>
      <c r="C14" s="3">
        <v>37.608670000000004</v>
      </c>
      <c r="D14" s="42">
        <v>2</v>
      </c>
      <c r="E14" s="3">
        <v>0.64962500000000001</v>
      </c>
      <c r="F14" s="3">
        <v>0.87325000000000008</v>
      </c>
      <c r="G14" s="3">
        <v>0.50175000000000003</v>
      </c>
      <c r="H14" s="3">
        <v>59.922105940111514</v>
      </c>
      <c r="I14" s="3">
        <v>40.077894059888479</v>
      </c>
      <c r="J14" s="3">
        <v>0</v>
      </c>
    </row>
    <row r="15" spans="1:12" ht="15.75" customHeight="1" x14ac:dyDescent="0.2">
      <c r="A15" t="s">
        <v>8038</v>
      </c>
      <c r="B15" s="3">
        <v>-8.1053200000000007</v>
      </c>
      <c r="C15" s="3">
        <v>36.696800000000003</v>
      </c>
      <c r="D15" s="42">
        <v>1</v>
      </c>
      <c r="E15" s="3">
        <v>2.7499999999999998E-3</v>
      </c>
      <c r="F15" s="3">
        <v>8.5000000000000006E-3</v>
      </c>
      <c r="G15" s="3">
        <v>4.7499999999999999E-3</v>
      </c>
      <c r="H15" s="74" t="s">
        <v>8</v>
      </c>
      <c r="I15" s="74" t="s">
        <v>8</v>
      </c>
      <c r="J15" s="74" t="s">
        <v>8</v>
      </c>
    </row>
    <row r="16" spans="1:12" ht="15.75" customHeight="1" x14ac:dyDescent="0.2">
      <c r="A16" t="s">
        <v>8039</v>
      </c>
      <c r="B16" s="3">
        <v>-7.93893</v>
      </c>
      <c r="C16" s="3">
        <v>36.875860000000003</v>
      </c>
      <c r="D16" s="42">
        <v>1</v>
      </c>
      <c r="E16" s="3">
        <v>0.99962499999999999</v>
      </c>
      <c r="F16" s="3">
        <v>9.4999999999999998E-3</v>
      </c>
      <c r="G16" s="3">
        <v>6.5000000000000002E-2</v>
      </c>
      <c r="H16" s="3">
        <v>94.284515655712994</v>
      </c>
      <c r="I16" s="3">
        <v>0</v>
      </c>
      <c r="J16" s="3">
        <v>5.7154843442870078</v>
      </c>
    </row>
    <row r="17" spans="1:10" ht="15.75" customHeight="1" x14ac:dyDescent="0.2">
      <c r="A17" t="s">
        <v>8040</v>
      </c>
      <c r="B17" s="3">
        <v>-8.1098099999999995</v>
      </c>
      <c r="C17" s="3">
        <v>36.684809999999999</v>
      </c>
      <c r="D17" s="42">
        <v>1</v>
      </c>
      <c r="E17" s="3">
        <v>2.3749999999999999E-3</v>
      </c>
      <c r="F17" s="3">
        <v>1</v>
      </c>
      <c r="G17" s="3">
        <v>1</v>
      </c>
      <c r="H17" s="3">
        <v>0</v>
      </c>
      <c r="I17" s="3">
        <v>92.963719520583965</v>
      </c>
      <c r="J17" s="3">
        <v>7.0362804794160336</v>
      </c>
    </row>
    <row r="18" spans="1:10" ht="15.75" customHeight="1" x14ac:dyDescent="0.2">
      <c r="A18" t="s">
        <v>8041</v>
      </c>
      <c r="B18" s="3">
        <v>-8.0755199999999991</v>
      </c>
      <c r="C18" s="3">
        <v>36.799900000000001</v>
      </c>
      <c r="D18" s="42">
        <v>1</v>
      </c>
      <c r="E18" s="3">
        <v>0.99987499999999996</v>
      </c>
      <c r="F18" s="3">
        <v>1</v>
      </c>
      <c r="G18" s="3">
        <v>6.1749999999999999E-2</v>
      </c>
      <c r="H18" s="3">
        <v>85.20506449100273</v>
      </c>
      <c r="I18" s="3">
        <v>13.422075288856405</v>
      </c>
      <c r="J18" s="3">
        <v>1.372860220140864</v>
      </c>
    </row>
    <row r="19" spans="1:10" ht="15.75" customHeight="1" x14ac:dyDescent="0.2">
      <c r="A19" t="s">
        <v>8042</v>
      </c>
      <c r="B19" s="3">
        <v>-7.9229399999999996</v>
      </c>
      <c r="C19" s="3">
        <v>36.905180000000001</v>
      </c>
      <c r="D19" s="42">
        <v>1</v>
      </c>
      <c r="E19" s="3">
        <v>0.99987499999999996</v>
      </c>
      <c r="F19" s="3">
        <v>0.99850000000000005</v>
      </c>
      <c r="G19" s="3">
        <v>1.1625E-2</v>
      </c>
      <c r="H19" s="3">
        <v>96.854683962601115</v>
      </c>
      <c r="I19" s="3">
        <v>2.2578587874397398</v>
      </c>
      <c r="J19" s="3">
        <v>0.88745724995914643</v>
      </c>
    </row>
    <row r="20" spans="1:10" ht="15.75" customHeight="1" x14ac:dyDescent="0.2">
      <c r="A20" t="s">
        <v>8043</v>
      </c>
      <c r="B20" s="3">
        <v>-7.9104000000000001</v>
      </c>
      <c r="C20" s="3">
        <v>36.899700000000003</v>
      </c>
      <c r="D20" s="42">
        <v>1</v>
      </c>
      <c r="E20" s="3">
        <v>0.99824999999999997</v>
      </c>
      <c r="F20" s="3">
        <v>0.99987499999999996</v>
      </c>
      <c r="G20" s="3">
        <v>0.88062499999999999</v>
      </c>
      <c r="H20" s="3">
        <v>20.561165390899301</v>
      </c>
      <c r="I20" s="3">
        <v>76.89528525900117</v>
      </c>
      <c r="J20" s="3">
        <v>2.543549350099521</v>
      </c>
    </row>
    <row r="21" spans="1:10" ht="15.75" customHeight="1" x14ac:dyDescent="0.2">
      <c r="A21" t="s">
        <v>8044</v>
      </c>
      <c r="B21" s="3">
        <v>-7.89968</v>
      </c>
      <c r="C21" s="3">
        <v>36.905180000000001</v>
      </c>
      <c r="D21" s="42">
        <v>1</v>
      </c>
      <c r="E21" s="3">
        <v>0.81874999999999998</v>
      </c>
      <c r="F21" s="3">
        <v>1.0625000000000001E-2</v>
      </c>
      <c r="G21" s="3">
        <v>6.275E-2</v>
      </c>
      <c r="H21" s="3">
        <v>92.951511077123016</v>
      </c>
      <c r="I21" s="3">
        <v>0</v>
      </c>
      <c r="J21" s="3">
        <v>7.0484889228769871</v>
      </c>
    </row>
    <row r="22" spans="1:10" ht="15.75" customHeight="1" x14ac:dyDescent="0.2">
      <c r="A22" t="s">
        <v>8045</v>
      </c>
      <c r="B22" s="3">
        <v>-7.8919499999999996</v>
      </c>
      <c r="C22" s="3">
        <v>36.877630000000003</v>
      </c>
      <c r="D22" s="42">
        <v>1</v>
      </c>
      <c r="E22" s="74" t="s">
        <v>8</v>
      </c>
      <c r="F22" s="74" t="s">
        <v>8</v>
      </c>
      <c r="G22" s="74" t="s">
        <v>8</v>
      </c>
      <c r="H22" s="74" t="s">
        <v>8</v>
      </c>
      <c r="I22" s="74" t="s">
        <v>8</v>
      </c>
      <c r="J22" s="74" t="s">
        <v>8</v>
      </c>
    </row>
    <row r="23" spans="1:10" ht="15.75" customHeight="1" x14ac:dyDescent="0.2">
      <c r="A23" t="s">
        <v>8046</v>
      </c>
      <c r="B23" s="3">
        <v>-7.8530199999999999</v>
      </c>
      <c r="C23" s="3">
        <v>36.900599999999997</v>
      </c>
      <c r="D23" s="42">
        <v>1</v>
      </c>
      <c r="E23" s="3">
        <v>1.75E-3</v>
      </c>
      <c r="F23" s="3">
        <v>0.99662499999999998</v>
      </c>
      <c r="G23" s="3">
        <v>3.875E-3</v>
      </c>
      <c r="H23" s="3">
        <v>0</v>
      </c>
      <c r="I23" s="3">
        <v>100</v>
      </c>
      <c r="J23" s="3">
        <v>0</v>
      </c>
    </row>
    <row r="24" spans="1:10" ht="15.75" customHeight="1" x14ac:dyDescent="0.2">
      <c r="A24" t="s">
        <v>8047</v>
      </c>
      <c r="B24" s="3">
        <v>-6.8527000000000005</v>
      </c>
      <c r="C24" s="3">
        <v>37.650005</v>
      </c>
      <c r="D24" s="42">
        <v>2</v>
      </c>
      <c r="E24" s="3">
        <v>0.99362499999999998</v>
      </c>
      <c r="F24" s="3">
        <v>1.0687499999999999E-2</v>
      </c>
      <c r="G24" s="3">
        <v>0.48293750000000002</v>
      </c>
      <c r="H24" s="3">
        <v>91.880196035856684</v>
      </c>
      <c r="I24" s="3">
        <v>0</v>
      </c>
      <c r="J24" s="3">
        <v>8.1198039641433173</v>
      </c>
    </row>
    <row r="25" spans="1:10" ht="15.75" customHeight="1" x14ac:dyDescent="0.2">
      <c r="A25" t="s">
        <v>8048</v>
      </c>
      <c r="B25" s="3">
        <v>-6.9032099999999987</v>
      </c>
      <c r="C25" s="3">
        <v>37.592480000000002</v>
      </c>
      <c r="D25" s="42">
        <v>3</v>
      </c>
      <c r="E25" s="3">
        <v>0.99987499999999996</v>
      </c>
      <c r="F25" s="3">
        <v>0.99775000000000003</v>
      </c>
      <c r="G25" s="3">
        <v>1</v>
      </c>
      <c r="H25" s="3">
        <v>84.662288203410085</v>
      </c>
      <c r="I25" s="3">
        <v>2.6975814298124079</v>
      </c>
      <c r="J25" s="3">
        <v>12.640130366777507</v>
      </c>
    </row>
    <row r="26" spans="1:10" ht="15.75" customHeight="1" x14ac:dyDescent="0.2">
      <c r="A26" t="s">
        <v>8049</v>
      </c>
      <c r="B26" s="3">
        <v>-6.6112799999999998</v>
      </c>
      <c r="C26" s="3">
        <v>38.78519</v>
      </c>
      <c r="D26" s="42">
        <v>2</v>
      </c>
      <c r="E26" s="3">
        <v>0.99975000000000003</v>
      </c>
      <c r="F26" s="3">
        <v>9.75E-3</v>
      </c>
      <c r="G26" s="3">
        <v>0.45356250000000004</v>
      </c>
      <c r="H26" s="3">
        <v>99.156596943118899</v>
      </c>
      <c r="I26" s="3">
        <v>0</v>
      </c>
      <c r="J26" s="3">
        <v>0.84340305688110939</v>
      </c>
    </row>
    <row r="27" spans="1:10" ht="15.75" customHeight="1" x14ac:dyDescent="0.2">
      <c r="A27" t="s">
        <v>8050</v>
      </c>
      <c r="B27" s="3">
        <v>-6.4721099999999998</v>
      </c>
      <c r="C27" s="3">
        <v>38.967649999999999</v>
      </c>
      <c r="D27" s="42">
        <v>2</v>
      </c>
      <c r="E27" s="3">
        <v>0.99943749999999998</v>
      </c>
      <c r="F27" s="3">
        <v>9.75E-3</v>
      </c>
      <c r="G27" s="3">
        <v>1.15E-2</v>
      </c>
      <c r="H27" s="3">
        <v>98.825038588713113</v>
      </c>
      <c r="I27" s="3">
        <v>0</v>
      </c>
      <c r="J27" s="3">
        <v>1.1749614112868845</v>
      </c>
    </row>
    <row r="28" spans="1:10" ht="15.75" customHeight="1" x14ac:dyDescent="0.2">
      <c r="A28" t="s">
        <v>8051</v>
      </c>
      <c r="B28" s="3">
        <v>-7.1630700000000003</v>
      </c>
      <c r="C28" s="3">
        <v>39.220170000000003</v>
      </c>
      <c r="D28" s="42">
        <v>2</v>
      </c>
      <c r="E28" s="3">
        <v>0.99968750000000006</v>
      </c>
      <c r="F28" s="3">
        <v>0.61781249999999999</v>
      </c>
      <c r="G28" s="3">
        <v>0.58081249999999995</v>
      </c>
      <c r="H28" s="3">
        <v>88.381944977673157</v>
      </c>
      <c r="I28" s="3">
        <v>8.733514853342685</v>
      </c>
      <c r="J28" s="3">
        <v>2.8845401689841772</v>
      </c>
    </row>
    <row r="29" spans="1:10" ht="15.75" customHeight="1" x14ac:dyDescent="0.2">
      <c r="A29" t="s">
        <v>8052</v>
      </c>
      <c r="B29" s="3">
        <v>-7.17624</v>
      </c>
      <c r="C29" s="3">
        <v>39.331040000000002</v>
      </c>
      <c r="D29" s="42">
        <v>2</v>
      </c>
      <c r="E29" s="3">
        <v>0.99956250000000002</v>
      </c>
      <c r="F29" s="3">
        <v>0.99993749999999992</v>
      </c>
      <c r="G29" s="3">
        <v>4.1250000000000002E-3</v>
      </c>
      <c r="H29" s="3">
        <v>57.062077995006625</v>
      </c>
      <c r="I29" s="3">
        <v>42.937922004993382</v>
      </c>
      <c r="J29" s="3">
        <v>0</v>
      </c>
    </row>
    <row r="30" spans="1:10" ht="15.75" customHeight="1" x14ac:dyDescent="0.2">
      <c r="A30" t="s">
        <v>8053</v>
      </c>
      <c r="B30" s="3">
        <v>-7.1403800000000004</v>
      </c>
      <c r="C30" s="3">
        <v>39.327399999999997</v>
      </c>
      <c r="D30" s="42">
        <v>1</v>
      </c>
      <c r="E30" s="3">
        <v>0.99987499999999996</v>
      </c>
      <c r="F30" s="3">
        <v>1</v>
      </c>
      <c r="G30" s="3">
        <v>0.99950000000000006</v>
      </c>
      <c r="H30" s="3">
        <v>96.346918792588383</v>
      </c>
      <c r="I30" s="3">
        <v>0.81100566828048082</v>
      </c>
      <c r="J30" s="3">
        <v>2.8420755391311432</v>
      </c>
    </row>
    <row r="31" spans="1:10" ht="15.75" customHeight="1" x14ac:dyDescent="0.2">
      <c r="A31" t="s">
        <v>8054</v>
      </c>
      <c r="B31" s="3">
        <v>-6.8728799999999994</v>
      </c>
      <c r="C31" s="3">
        <v>39.342089999999999</v>
      </c>
      <c r="D31" s="42">
        <v>3</v>
      </c>
      <c r="E31" s="3">
        <v>0.89191666666666658</v>
      </c>
      <c r="F31" s="3">
        <v>1.0541666666666666E-2</v>
      </c>
      <c r="G31" s="3">
        <v>4.0416666666666665E-3</v>
      </c>
      <c r="H31" s="3">
        <v>100</v>
      </c>
      <c r="I31" s="3">
        <v>0</v>
      </c>
      <c r="J31" s="3">
        <v>0</v>
      </c>
    </row>
    <row r="32" spans="1:10" ht="15.75" customHeight="1" x14ac:dyDescent="0.2">
      <c r="A32" t="s">
        <v>8055</v>
      </c>
      <c r="B32" s="3">
        <v>-6.9363599999999996</v>
      </c>
      <c r="C32" s="3">
        <v>39.125540000000001</v>
      </c>
      <c r="D32" s="42">
        <v>2</v>
      </c>
      <c r="E32" s="3">
        <v>0.99987500000000007</v>
      </c>
      <c r="F32" s="3">
        <v>0.97193750000000001</v>
      </c>
      <c r="G32" s="3">
        <v>0.93956250000000008</v>
      </c>
      <c r="H32" s="3">
        <v>97.084194585421002</v>
      </c>
      <c r="I32" s="3">
        <v>0.84597465083005974</v>
      </c>
      <c r="J32" s="3">
        <v>2.0698307637489402</v>
      </c>
    </row>
    <row r="33" spans="1:10" ht="15.75" customHeight="1" x14ac:dyDescent="0.2">
      <c r="A33" t="s">
        <v>8056</v>
      </c>
      <c r="B33" s="3">
        <v>-6.8361900000000002</v>
      </c>
      <c r="C33" s="3">
        <v>39.211190000000002</v>
      </c>
      <c r="D33" s="42">
        <v>1</v>
      </c>
      <c r="E33" s="3">
        <v>0.99987499999999996</v>
      </c>
      <c r="F33" s="3">
        <v>0.99987499999999996</v>
      </c>
      <c r="G33" s="3">
        <v>0.90362500000000001</v>
      </c>
      <c r="H33" s="3">
        <v>98.856474417735527</v>
      </c>
      <c r="I33" s="3">
        <v>0.25240969342345154</v>
      </c>
      <c r="J33" s="3">
        <v>0.89111588884101878</v>
      </c>
    </row>
    <row r="34" spans="1:10" ht="15.75" customHeight="1" x14ac:dyDescent="0.2">
      <c r="A34" t="s">
        <v>8057</v>
      </c>
      <c r="B34" s="3">
        <v>-6.7437699999999996</v>
      </c>
      <c r="C34" s="3">
        <v>39.234380000000002</v>
      </c>
      <c r="D34" s="42">
        <v>1</v>
      </c>
      <c r="E34" s="3">
        <v>1</v>
      </c>
      <c r="F34" s="3">
        <v>0.97537499999999999</v>
      </c>
      <c r="G34" s="3">
        <v>4.4999999999999997E-3</v>
      </c>
      <c r="H34" s="3">
        <v>99.416799814875276</v>
      </c>
      <c r="I34" s="3">
        <v>0.5832001851247316</v>
      </c>
      <c r="J34" s="3">
        <v>0</v>
      </c>
    </row>
    <row r="35" spans="1:10" ht="15.75" customHeight="1" x14ac:dyDescent="0.2">
      <c r="A35" t="s">
        <v>8058</v>
      </c>
      <c r="B35" s="3">
        <v>-6.6642999999999999</v>
      </c>
      <c r="C35" s="3">
        <v>39.217739999999999</v>
      </c>
      <c r="D35" s="42">
        <v>2</v>
      </c>
      <c r="E35" s="3">
        <v>0.99981249999999999</v>
      </c>
      <c r="F35" s="3">
        <v>0.50406249999999997</v>
      </c>
      <c r="G35" s="3">
        <v>8.937500000000001E-3</v>
      </c>
      <c r="H35" s="3">
        <v>96.924162052221604</v>
      </c>
      <c r="I35" s="3">
        <v>2.9962831414022841</v>
      </c>
      <c r="J35" s="3">
        <v>7.9554806376112536E-2</v>
      </c>
    </row>
    <row r="36" spans="1:10" ht="15.75" customHeight="1" x14ac:dyDescent="0.2">
      <c r="E36" s="66"/>
    </row>
    <row r="37" spans="1:10" ht="15.75" customHeight="1" x14ac:dyDescent="0.2">
      <c r="E37" s="66"/>
    </row>
    <row r="38" spans="1:10" ht="15.75" customHeight="1" x14ac:dyDescent="0.2">
      <c r="E38" s="66"/>
    </row>
    <row r="39" spans="1:10" ht="15.75" customHeight="1" x14ac:dyDescent="0.2">
      <c r="E39" s="66"/>
    </row>
    <row r="40" spans="1:10" ht="15.75" customHeight="1" x14ac:dyDescent="0.2">
      <c r="E40" s="66"/>
    </row>
    <row r="41" spans="1:10" ht="15.75" customHeight="1" x14ac:dyDescent="0.2">
      <c r="E41" s="66"/>
    </row>
    <row r="42" spans="1:10" ht="15.75" customHeight="1" x14ac:dyDescent="0.2">
      <c r="E42" s="66"/>
    </row>
    <row r="43" spans="1:10" ht="15.75" customHeight="1" x14ac:dyDescent="0.2">
      <c r="E43" s="66"/>
    </row>
    <row r="44" spans="1:10" ht="15.75" customHeight="1" x14ac:dyDescent="0.2">
      <c r="E44" s="66"/>
    </row>
    <row r="45" spans="1:10" ht="15.75" customHeight="1" x14ac:dyDescent="0.2">
      <c r="E45" s="66"/>
    </row>
    <row r="46" spans="1:10" ht="15.75" customHeight="1" x14ac:dyDescent="0.2">
      <c r="E46" s="66"/>
    </row>
    <row r="47" spans="1:10" ht="15.75" customHeight="1" x14ac:dyDescent="0.2">
      <c r="E47" s="66"/>
    </row>
    <row r="48" spans="1:10" ht="15.75" customHeight="1" x14ac:dyDescent="0.2">
      <c r="E48" s="66"/>
    </row>
    <row r="49" spans="5:5" ht="15.75" customHeight="1" x14ac:dyDescent="0.2">
      <c r="E49" s="66"/>
    </row>
    <row r="50" spans="5:5" ht="15.75" customHeight="1" x14ac:dyDescent="0.2">
      <c r="E50" s="66"/>
    </row>
    <row r="51" spans="5:5" ht="15.75" customHeight="1" x14ac:dyDescent="0.2">
      <c r="E51" s="66"/>
    </row>
    <row r="52" spans="5:5" ht="15.75" customHeight="1" x14ac:dyDescent="0.2">
      <c r="E52" s="66"/>
    </row>
    <row r="53" spans="5:5" ht="15.75" customHeight="1" x14ac:dyDescent="0.2">
      <c r="E53" s="66"/>
    </row>
    <row r="54" spans="5:5" ht="15.75" customHeight="1" x14ac:dyDescent="0.2">
      <c r="E54" s="66"/>
    </row>
    <row r="55" spans="5:5" ht="15.75" customHeight="1" x14ac:dyDescent="0.2">
      <c r="E55" s="6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05"/>
  <sheetViews>
    <sheetView zoomScale="80" zoomScaleNormal="80" workbookViewId="0"/>
  </sheetViews>
  <sheetFormatPr baseColWidth="10" defaultColWidth="11" defaultRowHeight="15.75" customHeight="1" x14ac:dyDescent="0.2"/>
  <cols>
    <col min="1" max="1" width="26.6640625" bestFit="1" customWidth="1"/>
    <col min="2" max="2" width="10.6640625" bestFit="1" customWidth="1"/>
    <col min="3" max="3" width="19" bestFit="1" customWidth="1"/>
    <col min="4" max="4" width="51.33203125" bestFit="1" customWidth="1"/>
    <col min="5" max="5" width="22" bestFit="1" customWidth="1"/>
    <col min="6" max="6" width="18.6640625" bestFit="1" customWidth="1"/>
    <col min="7" max="7" width="18.1640625" bestFit="1" customWidth="1"/>
    <col min="8" max="8" width="20.6640625" style="3" bestFit="1" customWidth="1"/>
    <col min="9" max="9" width="11.1640625" style="3" bestFit="1" customWidth="1"/>
    <col min="10" max="10" width="19.1640625" style="3" bestFit="1" customWidth="1"/>
    <col min="11" max="11" width="49" style="3" bestFit="1" customWidth="1"/>
    <col min="12" max="15" width="8.5" style="3" customWidth="1"/>
  </cols>
  <sheetData>
    <row r="1" spans="1:15" ht="15.75" customHeight="1" x14ac:dyDescent="0.2">
      <c r="A1" s="35" t="s">
        <v>8010</v>
      </c>
    </row>
    <row r="2" spans="1:15" ht="15.75" customHeight="1" x14ac:dyDescent="0.2">
      <c r="A2" s="36"/>
    </row>
    <row r="3" spans="1:15" ht="15.75" customHeight="1" x14ac:dyDescent="0.2">
      <c r="A3" s="37" t="s">
        <v>1016</v>
      </c>
      <c r="B3" s="37" t="s">
        <v>1264</v>
      </c>
      <c r="C3" s="37" t="s">
        <v>1265</v>
      </c>
      <c r="D3" s="37" t="s">
        <v>1266</v>
      </c>
      <c r="E3" s="37" t="s">
        <v>1267</v>
      </c>
      <c r="F3" s="37" t="s">
        <v>1268</v>
      </c>
      <c r="G3" s="37" t="s">
        <v>1269</v>
      </c>
      <c r="H3" s="37" t="s">
        <v>1270</v>
      </c>
      <c r="I3"/>
      <c r="J3"/>
      <c r="K3"/>
      <c r="L3"/>
      <c r="M3"/>
      <c r="N3"/>
      <c r="O3"/>
    </row>
    <row r="4" spans="1:15" ht="15.75" customHeight="1" x14ac:dyDescent="0.2">
      <c r="A4" s="38" t="s">
        <v>1197</v>
      </c>
      <c r="B4" s="38" t="s">
        <v>1198</v>
      </c>
      <c r="C4" s="38" t="s">
        <v>1271</v>
      </c>
      <c r="D4" s="3" t="s">
        <v>1272</v>
      </c>
      <c r="E4" s="38">
        <v>0</v>
      </c>
      <c r="F4" s="38">
        <v>0</v>
      </c>
      <c r="G4" s="38">
        <v>100</v>
      </c>
      <c r="H4" s="38">
        <v>0</v>
      </c>
      <c r="I4"/>
      <c r="J4"/>
      <c r="K4"/>
      <c r="L4"/>
      <c r="M4"/>
      <c r="N4"/>
      <c r="O4"/>
    </row>
    <row r="5" spans="1:15" ht="15.75" customHeight="1" x14ac:dyDescent="0.2">
      <c r="A5" s="38" t="s">
        <v>1199</v>
      </c>
      <c r="B5" s="38" t="s">
        <v>1200</v>
      </c>
      <c r="C5" s="38" t="s">
        <v>1271</v>
      </c>
      <c r="D5" s="3" t="s">
        <v>1272</v>
      </c>
      <c r="E5" s="38">
        <v>0</v>
      </c>
      <c r="F5" s="38">
        <v>0</v>
      </c>
      <c r="G5" s="38">
        <v>100</v>
      </c>
      <c r="H5" s="38">
        <v>0</v>
      </c>
      <c r="I5"/>
      <c r="J5"/>
      <c r="K5"/>
      <c r="L5"/>
      <c r="M5"/>
      <c r="N5"/>
      <c r="O5"/>
    </row>
    <row r="6" spans="1:15" ht="15.75" customHeight="1" x14ac:dyDescent="0.2">
      <c r="A6" s="38" t="s">
        <v>1109</v>
      </c>
      <c r="B6" s="38" t="s">
        <v>1110</v>
      </c>
      <c r="C6" s="38" t="s">
        <v>1273</v>
      </c>
      <c r="D6" s="3" t="s">
        <v>1274</v>
      </c>
      <c r="E6" s="38">
        <v>0</v>
      </c>
      <c r="F6" s="38">
        <v>100</v>
      </c>
      <c r="G6" s="38">
        <v>0</v>
      </c>
      <c r="H6" s="38">
        <v>0</v>
      </c>
      <c r="I6"/>
      <c r="J6"/>
      <c r="K6"/>
      <c r="L6"/>
      <c r="M6"/>
      <c r="N6"/>
      <c r="O6"/>
    </row>
    <row r="7" spans="1:15" ht="15.75" customHeight="1" x14ac:dyDescent="0.2">
      <c r="A7" s="38" t="s">
        <v>1111</v>
      </c>
      <c r="B7" s="38" t="s">
        <v>1112</v>
      </c>
      <c r="C7" s="38" t="s">
        <v>1273</v>
      </c>
      <c r="D7" s="3" t="s">
        <v>1275</v>
      </c>
      <c r="E7" s="38">
        <v>0</v>
      </c>
      <c r="F7" s="38">
        <v>99</v>
      </c>
      <c r="G7" s="38">
        <v>0</v>
      </c>
      <c r="H7" s="38">
        <v>0</v>
      </c>
      <c r="I7"/>
      <c r="J7"/>
      <c r="K7"/>
      <c r="L7"/>
      <c r="M7"/>
      <c r="N7"/>
      <c r="O7"/>
    </row>
    <row r="8" spans="1:15" ht="15.75" customHeight="1" x14ac:dyDescent="0.2">
      <c r="A8" s="38" t="s">
        <v>1113</v>
      </c>
      <c r="B8" s="38" t="s">
        <v>1114</v>
      </c>
      <c r="C8" s="38" t="s">
        <v>1273</v>
      </c>
      <c r="D8" s="3" t="s">
        <v>1276</v>
      </c>
      <c r="E8" s="38">
        <v>0</v>
      </c>
      <c r="F8" s="38">
        <v>98</v>
      </c>
      <c r="G8" s="38">
        <v>0</v>
      </c>
      <c r="H8" s="38">
        <v>1</v>
      </c>
      <c r="I8"/>
      <c r="J8"/>
      <c r="K8"/>
      <c r="L8"/>
      <c r="M8"/>
      <c r="N8"/>
      <c r="O8"/>
    </row>
    <row r="9" spans="1:15" ht="15.75" customHeight="1" x14ac:dyDescent="0.2">
      <c r="A9" s="38" t="s">
        <v>1191</v>
      </c>
      <c r="B9" s="38" t="s">
        <v>1192</v>
      </c>
      <c r="C9" s="38" t="s">
        <v>1271</v>
      </c>
      <c r="D9" s="3" t="s">
        <v>1272</v>
      </c>
      <c r="E9" s="38">
        <v>0</v>
      </c>
      <c r="F9" s="38">
        <v>0</v>
      </c>
      <c r="G9" s="38">
        <v>100</v>
      </c>
      <c r="H9" s="38">
        <v>0</v>
      </c>
      <c r="I9"/>
      <c r="J9"/>
      <c r="K9"/>
      <c r="L9"/>
      <c r="M9"/>
      <c r="N9"/>
      <c r="O9"/>
    </row>
    <row r="10" spans="1:15" ht="15.75" customHeight="1" x14ac:dyDescent="0.2">
      <c r="A10" s="38" t="s">
        <v>1193</v>
      </c>
      <c r="B10" s="38" t="s">
        <v>1194</v>
      </c>
      <c r="C10" s="38" t="s">
        <v>1271</v>
      </c>
      <c r="D10" s="3" t="s">
        <v>1272</v>
      </c>
      <c r="E10" s="38">
        <v>0</v>
      </c>
      <c r="F10" s="38">
        <v>0</v>
      </c>
      <c r="G10" s="38">
        <v>100</v>
      </c>
      <c r="H10" s="38">
        <v>0</v>
      </c>
      <c r="I10"/>
      <c r="J10"/>
      <c r="K10"/>
      <c r="L10"/>
      <c r="M10"/>
      <c r="N10"/>
      <c r="O10"/>
    </row>
    <row r="11" spans="1:15" ht="15.75" customHeight="1" x14ac:dyDescent="0.2">
      <c r="A11" s="38" t="s">
        <v>1065</v>
      </c>
      <c r="B11" s="38" t="s">
        <v>1066</v>
      </c>
      <c r="C11" s="38" t="s">
        <v>1273</v>
      </c>
      <c r="D11" s="3" t="s">
        <v>1274</v>
      </c>
      <c r="E11" s="38">
        <v>0</v>
      </c>
      <c r="F11" s="38">
        <v>100</v>
      </c>
      <c r="G11" s="38">
        <v>0</v>
      </c>
      <c r="H11" s="38">
        <v>0</v>
      </c>
      <c r="I11"/>
      <c r="J11"/>
      <c r="K11"/>
      <c r="L11"/>
      <c r="M11"/>
      <c r="N11"/>
      <c r="O11"/>
    </row>
    <row r="12" spans="1:15" ht="15.75" customHeight="1" x14ac:dyDescent="0.2">
      <c r="A12" s="38" t="s">
        <v>1277</v>
      </c>
      <c r="B12" s="38" t="s">
        <v>1278</v>
      </c>
      <c r="C12" s="38" t="s">
        <v>1273</v>
      </c>
      <c r="D12" s="3" t="s">
        <v>1274</v>
      </c>
      <c r="E12" s="38">
        <v>0</v>
      </c>
      <c r="F12" s="38">
        <v>100</v>
      </c>
      <c r="G12" s="38">
        <v>0</v>
      </c>
      <c r="H12" s="38">
        <v>0</v>
      </c>
      <c r="I12"/>
      <c r="J12"/>
      <c r="K12"/>
      <c r="L12"/>
      <c r="M12"/>
      <c r="N12"/>
      <c r="O12"/>
    </row>
    <row r="13" spans="1:15" ht="15.75" customHeight="1" x14ac:dyDescent="0.2">
      <c r="A13" s="38" t="s">
        <v>1045</v>
      </c>
      <c r="B13" s="38" t="s">
        <v>1046</v>
      </c>
      <c r="C13" s="38" t="s">
        <v>1273</v>
      </c>
      <c r="D13" s="3" t="s">
        <v>1274</v>
      </c>
      <c r="E13" s="38">
        <v>0</v>
      </c>
      <c r="F13" s="38">
        <v>100</v>
      </c>
      <c r="G13" s="38">
        <v>0</v>
      </c>
      <c r="H13" s="38">
        <v>0</v>
      </c>
      <c r="I13"/>
      <c r="J13"/>
      <c r="K13"/>
      <c r="L13"/>
      <c r="M13"/>
      <c r="N13"/>
      <c r="O13"/>
    </row>
    <row r="14" spans="1:15" ht="15.75" customHeight="1" x14ac:dyDescent="0.2">
      <c r="A14" s="38" t="s">
        <v>1067</v>
      </c>
      <c r="B14" s="38" t="s">
        <v>1068</v>
      </c>
      <c r="C14" s="38" t="s">
        <v>1273</v>
      </c>
      <c r="D14" s="3" t="s">
        <v>1274</v>
      </c>
      <c r="E14" s="38">
        <v>0</v>
      </c>
      <c r="F14" s="38">
        <v>100</v>
      </c>
      <c r="G14" s="38">
        <v>0</v>
      </c>
      <c r="H14" s="38">
        <v>0</v>
      </c>
      <c r="I14"/>
      <c r="J14"/>
      <c r="K14"/>
      <c r="L14"/>
      <c r="M14"/>
      <c r="N14"/>
      <c r="O14"/>
    </row>
    <row r="15" spans="1:15" ht="15.75" customHeight="1" x14ac:dyDescent="0.2">
      <c r="A15" s="38" t="s">
        <v>1069</v>
      </c>
      <c r="B15" s="38" t="s">
        <v>1070</v>
      </c>
      <c r="C15" s="38" t="s">
        <v>1273</v>
      </c>
      <c r="D15" s="3" t="s">
        <v>1274</v>
      </c>
      <c r="E15" s="38">
        <v>0</v>
      </c>
      <c r="F15" s="38">
        <v>100</v>
      </c>
      <c r="G15" s="38">
        <v>0</v>
      </c>
      <c r="H15" s="38">
        <v>0</v>
      </c>
      <c r="I15"/>
      <c r="J15"/>
      <c r="K15"/>
      <c r="L15"/>
      <c r="M15"/>
      <c r="N15"/>
      <c r="O15"/>
    </row>
    <row r="16" spans="1:15" ht="15.75" customHeight="1" x14ac:dyDescent="0.2">
      <c r="A16" s="38" t="s">
        <v>1279</v>
      </c>
      <c r="B16" s="38" t="s">
        <v>1280</v>
      </c>
      <c r="C16" s="38" t="s">
        <v>1271</v>
      </c>
      <c r="D16" s="3" t="s">
        <v>1272</v>
      </c>
      <c r="E16" s="38">
        <v>0</v>
      </c>
      <c r="F16" s="38">
        <v>0</v>
      </c>
      <c r="G16" s="38">
        <v>100</v>
      </c>
      <c r="H16" s="38">
        <v>0</v>
      </c>
      <c r="I16"/>
      <c r="J16"/>
      <c r="K16"/>
      <c r="L16"/>
      <c r="M16"/>
      <c r="N16"/>
      <c r="O16"/>
    </row>
    <row r="17" spans="1:15" ht="15.75" customHeight="1" x14ac:dyDescent="0.2">
      <c r="A17" s="38" t="s">
        <v>1019</v>
      </c>
      <c r="B17" s="38" t="s">
        <v>1020</v>
      </c>
      <c r="C17" s="38" t="s">
        <v>1281</v>
      </c>
      <c r="D17" s="3" t="s">
        <v>1282</v>
      </c>
      <c r="E17" s="38">
        <v>100</v>
      </c>
      <c r="F17" s="38">
        <v>0</v>
      </c>
      <c r="G17" s="38">
        <v>0</v>
      </c>
      <c r="H17" s="38">
        <v>0</v>
      </c>
      <c r="I17"/>
      <c r="J17"/>
      <c r="K17"/>
      <c r="L17"/>
      <c r="M17"/>
      <c r="N17"/>
      <c r="O17"/>
    </row>
    <row r="18" spans="1:15" ht="15.75" customHeight="1" x14ac:dyDescent="0.2">
      <c r="A18" s="38" t="s">
        <v>1283</v>
      </c>
      <c r="B18" s="38" t="s">
        <v>1284</v>
      </c>
      <c r="C18" s="38" t="s">
        <v>1273</v>
      </c>
      <c r="D18" s="3" t="s">
        <v>1274</v>
      </c>
      <c r="E18" s="38">
        <v>0</v>
      </c>
      <c r="F18" s="38">
        <v>100</v>
      </c>
      <c r="G18" s="38">
        <v>0</v>
      </c>
      <c r="H18" s="38">
        <v>0</v>
      </c>
      <c r="I18"/>
      <c r="J18"/>
      <c r="K18"/>
      <c r="L18"/>
      <c r="M18"/>
      <c r="N18"/>
      <c r="O18"/>
    </row>
    <row r="19" spans="1:15" ht="15.75" customHeight="1" x14ac:dyDescent="0.2">
      <c r="A19" s="38" t="s">
        <v>1021</v>
      </c>
      <c r="B19" s="38" t="s">
        <v>1022</v>
      </c>
      <c r="C19" s="38" t="s">
        <v>1281</v>
      </c>
      <c r="D19" s="3" t="s">
        <v>1285</v>
      </c>
      <c r="E19" s="38">
        <v>44</v>
      </c>
      <c r="F19" s="38">
        <v>14</v>
      </c>
      <c r="G19" s="38">
        <v>36</v>
      </c>
      <c r="H19" s="38">
        <v>0</v>
      </c>
      <c r="I19"/>
      <c r="J19"/>
      <c r="K19"/>
      <c r="L19"/>
      <c r="M19"/>
      <c r="N19"/>
      <c r="O19"/>
    </row>
    <row r="20" spans="1:15" ht="15.75" customHeight="1" x14ac:dyDescent="0.2">
      <c r="A20" s="38" t="s">
        <v>1286</v>
      </c>
      <c r="B20" s="38" t="s">
        <v>1287</v>
      </c>
      <c r="C20" s="38" t="s">
        <v>1273</v>
      </c>
      <c r="D20" s="3" t="s">
        <v>1274</v>
      </c>
      <c r="E20" s="38">
        <v>0</v>
      </c>
      <c r="F20" s="38">
        <v>100</v>
      </c>
      <c r="G20" s="38">
        <v>0</v>
      </c>
      <c r="H20" s="38">
        <v>0</v>
      </c>
      <c r="I20"/>
      <c r="J20"/>
      <c r="K20"/>
      <c r="L20"/>
      <c r="M20"/>
      <c r="N20"/>
      <c r="O20"/>
    </row>
    <row r="21" spans="1:15" ht="15.75" customHeight="1" x14ac:dyDescent="0.2">
      <c r="A21" s="38" t="s">
        <v>1117</v>
      </c>
      <c r="B21" s="38" t="s">
        <v>1118</v>
      </c>
      <c r="C21" s="38" t="s">
        <v>1273</v>
      </c>
      <c r="D21" s="3" t="s">
        <v>1274</v>
      </c>
      <c r="E21" s="38">
        <v>0</v>
      </c>
      <c r="F21" s="38">
        <v>100</v>
      </c>
      <c r="G21" s="38">
        <v>0</v>
      </c>
      <c r="H21" s="38">
        <v>0</v>
      </c>
      <c r="I21"/>
      <c r="J21"/>
      <c r="K21"/>
      <c r="L21"/>
      <c r="M21"/>
      <c r="N21"/>
      <c r="O21"/>
    </row>
    <row r="22" spans="1:15" ht="15.75" customHeight="1" x14ac:dyDescent="0.2">
      <c r="A22" s="38" t="s">
        <v>1195</v>
      </c>
      <c r="B22" s="38" t="s">
        <v>1196</v>
      </c>
      <c r="C22" s="38" t="s">
        <v>1271</v>
      </c>
      <c r="D22" s="3" t="s">
        <v>1288</v>
      </c>
      <c r="E22" s="38">
        <v>49</v>
      </c>
      <c r="F22" s="38">
        <v>0</v>
      </c>
      <c r="G22" s="38">
        <v>51</v>
      </c>
      <c r="H22" s="38">
        <v>0</v>
      </c>
      <c r="I22"/>
      <c r="J22"/>
      <c r="K22"/>
      <c r="L22"/>
      <c r="M22"/>
      <c r="N22"/>
      <c r="O22"/>
    </row>
    <row r="23" spans="1:15" ht="15.75" customHeight="1" x14ac:dyDescent="0.2">
      <c r="A23" s="38" t="s">
        <v>1289</v>
      </c>
      <c r="B23" s="38" t="s">
        <v>1290</v>
      </c>
      <c r="C23" s="38" t="s">
        <v>1271</v>
      </c>
      <c r="D23" s="3" t="s">
        <v>1291</v>
      </c>
      <c r="E23" s="38">
        <v>26</v>
      </c>
      <c r="F23" s="38">
        <v>0</v>
      </c>
      <c r="G23" s="38">
        <v>70</v>
      </c>
      <c r="H23" s="38">
        <v>0</v>
      </c>
      <c r="I23"/>
      <c r="J23"/>
      <c r="K23"/>
      <c r="L23"/>
      <c r="M23"/>
      <c r="N23"/>
      <c r="O23"/>
    </row>
    <row r="24" spans="1:15" ht="15.75" customHeight="1" x14ac:dyDescent="0.2">
      <c r="A24" s="38" t="s">
        <v>1171</v>
      </c>
      <c r="B24" s="38" t="s">
        <v>1172</v>
      </c>
      <c r="C24" s="38" t="s">
        <v>1271</v>
      </c>
      <c r="D24" s="3" t="s">
        <v>1292</v>
      </c>
      <c r="E24" s="38">
        <v>26</v>
      </c>
      <c r="F24" s="38">
        <v>5</v>
      </c>
      <c r="G24" s="38">
        <v>65</v>
      </c>
      <c r="H24" s="38">
        <v>0</v>
      </c>
      <c r="I24"/>
      <c r="J24"/>
      <c r="K24"/>
      <c r="L24"/>
      <c r="M24"/>
      <c r="N24"/>
      <c r="O24"/>
    </row>
    <row r="25" spans="1:15" ht="15.75" customHeight="1" x14ac:dyDescent="0.2">
      <c r="A25" s="38" t="s">
        <v>1293</v>
      </c>
      <c r="B25" s="38" t="s">
        <v>1294</v>
      </c>
      <c r="C25" s="38" t="s">
        <v>1271</v>
      </c>
      <c r="D25" s="3" t="s">
        <v>1295</v>
      </c>
      <c r="E25" s="38">
        <v>0</v>
      </c>
      <c r="F25" s="38">
        <v>32</v>
      </c>
      <c r="G25" s="38">
        <v>64</v>
      </c>
      <c r="H25" s="38">
        <v>0</v>
      </c>
      <c r="I25"/>
      <c r="J25"/>
      <c r="K25"/>
      <c r="L25"/>
      <c r="M25"/>
      <c r="N25"/>
      <c r="O25"/>
    </row>
    <row r="26" spans="1:15" ht="15.75" customHeight="1" x14ac:dyDescent="0.2">
      <c r="A26" s="38" t="s">
        <v>1121</v>
      </c>
      <c r="B26" s="38" t="s">
        <v>1122</v>
      </c>
      <c r="C26" s="38" t="s">
        <v>1273</v>
      </c>
      <c r="D26" s="3" t="s">
        <v>1274</v>
      </c>
      <c r="E26" s="38">
        <v>0</v>
      </c>
      <c r="F26" s="38">
        <v>100</v>
      </c>
      <c r="G26" s="38">
        <v>0</v>
      </c>
      <c r="H26" s="38">
        <v>0</v>
      </c>
      <c r="I26"/>
      <c r="J26"/>
      <c r="K26"/>
      <c r="L26"/>
      <c r="M26"/>
      <c r="N26"/>
      <c r="O26"/>
    </row>
    <row r="27" spans="1:15" ht="15.75" customHeight="1" x14ac:dyDescent="0.2">
      <c r="A27" s="38" t="s">
        <v>1203</v>
      </c>
      <c r="B27" s="38" t="s">
        <v>1204</v>
      </c>
      <c r="C27" s="38" t="s">
        <v>1271</v>
      </c>
      <c r="D27" s="3" t="s">
        <v>1296</v>
      </c>
      <c r="E27" s="38">
        <v>0</v>
      </c>
      <c r="F27" s="38">
        <v>48</v>
      </c>
      <c r="G27" s="38">
        <v>51</v>
      </c>
      <c r="H27" s="38">
        <v>0</v>
      </c>
      <c r="I27"/>
      <c r="J27"/>
      <c r="K27"/>
      <c r="L27"/>
      <c r="M27"/>
      <c r="N27"/>
      <c r="O27"/>
    </row>
    <row r="28" spans="1:15" ht="15.75" customHeight="1" x14ac:dyDescent="0.2">
      <c r="A28" s="38" t="s">
        <v>1176</v>
      </c>
      <c r="B28" s="38" t="s">
        <v>1177</v>
      </c>
      <c r="C28" s="38" t="s">
        <v>1271</v>
      </c>
      <c r="D28" s="3" t="s">
        <v>1297</v>
      </c>
      <c r="E28" s="38">
        <v>33</v>
      </c>
      <c r="F28" s="38">
        <v>0</v>
      </c>
      <c r="G28" s="38">
        <v>63</v>
      </c>
      <c r="H28" s="38">
        <v>0</v>
      </c>
      <c r="I28"/>
      <c r="J28"/>
      <c r="K28"/>
      <c r="L28"/>
      <c r="M28"/>
      <c r="N28"/>
      <c r="O28"/>
    </row>
    <row r="29" spans="1:15" ht="15.75" customHeight="1" x14ac:dyDescent="0.2">
      <c r="A29" s="38" t="s">
        <v>1298</v>
      </c>
      <c r="B29" s="38" t="s">
        <v>1299</v>
      </c>
      <c r="C29" s="38" t="s">
        <v>1273</v>
      </c>
      <c r="D29" s="3" t="s">
        <v>1274</v>
      </c>
      <c r="E29" s="38">
        <v>0</v>
      </c>
      <c r="F29" s="38">
        <v>100</v>
      </c>
      <c r="G29" s="38">
        <v>0</v>
      </c>
      <c r="H29" s="38">
        <v>0</v>
      </c>
      <c r="I29"/>
      <c r="J29"/>
      <c r="K29"/>
      <c r="L29"/>
      <c r="M29"/>
      <c r="N29"/>
      <c r="O29"/>
    </row>
    <row r="30" spans="1:15" ht="15.75" customHeight="1" x14ac:dyDescent="0.2">
      <c r="A30" s="38" t="s">
        <v>1300</v>
      </c>
      <c r="B30" s="38" t="s">
        <v>1301</v>
      </c>
      <c r="C30" s="38" t="s">
        <v>1271</v>
      </c>
      <c r="D30" s="3" t="s">
        <v>1302</v>
      </c>
      <c r="E30" s="38">
        <v>0</v>
      </c>
      <c r="F30" s="38">
        <v>32</v>
      </c>
      <c r="G30" s="38">
        <v>65</v>
      </c>
      <c r="H30" s="38">
        <v>0</v>
      </c>
      <c r="I30"/>
      <c r="J30"/>
      <c r="K30"/>
      <c r="L30"/>
      <c r="M30"/>
      <c r="N30"/>
      <c r="O30"/>
    </row>
    <row r="31" spans="1:15" ht="15.75" customHeight="1" x14ac:dyDescent="0.2">
      <c r="A31" s="38" t="s">
        <v>1303</v>
      </c>
      <c r="B31" s="38" t="s">
        <v>1304</v>
      </c>
      <c r="C31" s="38" t="s">
        <v>1273</v>
      </c>
      <c r="D31" s="3" t="s">
        <v>1274</v>
      </c>
      <c r="E31" s="38">
        <v>0</v>
      </c>
      <c r="F31" s="38">
        <v>100</v>
      </c>
      <c r="G31" s="38">
        <v>0</v>
      </c>
      <c r="H31" s="38">
        <v>0</v>
      </c>
      <c r="I31"/>
      <c r="J31"/>
      <c r="K31"/>
      <c r="L31"/>
      <c r="M31"/>
      <c r="N31"/>
      <c r="O31"/>
    </row>
    <row r="32" spans="1:15" ht="15.75" customHeight="1" x14ac:dyDescent="0.2">
      <c r="A32" s="38" t="s">
        <v>1305</v>
      </c>
      <c r="B32" s="38" t="s">
        <v>1306</v>
      </c>
      <c r="C32" s="38" t="s">
        <v>1273</v>
      </c>
      <c r="D32" s="3" t="s">
        <v>1274</v>
      </c>
      <c r="E32" s="38">
        <v>0</v>
      </c>
      <c r="F32" s="38">
        <v>100</v>
      </c>
      <c r="G32" s="38">
        <v>0</v>
      </c>
      <c r="H32" s="38">
        <v>0</v>
      </c>
      <c r="I32"/>
      <c r="J32"/>
      <c r="K32"/>
      <c r="L32"/>
      <c r="M32"/>
      <c r="N32"/>
      <c r="O32"/>
    </row>
    <row r="33" spans="1:15" ht="15.75" customHeight="1" x14ac:dyDescent="0.2">
      <c r="A33" s="38" t="s">
        <v>1182</v>
      </c>
      <c r="B33" s="38" t="s">
        <v>1183</v>
      </c>
      <c r="C33" s="38" t="s">
        <v>1271</v>
      </c>
      <c r="D33" s="3" t="s">
        <v>1307</v>
      </c>
      <c r="E33" s="38">
        <v>25</v>
      </c>
      <c r="F33" s="38">
        <v>0</v>
      </c>
      <c r="G33" s="38">
        <v>72</v>
      </c>
      <c r="H33" s="38">
        <v>0</v>
      </c>
      <c r="I33"/>
      <c r="J33"/>
      <c r="K33"/>
      <c r="L33"/>
      <c r="M33"/>
      <c r="N33"/>
      <c r="O33"/>
    </row>
    <row r="34" spans="1:15" ht="15.75" customHeight="1" x14ac:dyDescent="0.2">
      <c r="A34" s="38" t="s">
        <v>1119</v>
      </c>
      <c r="B34" s="38" t="s">
        <v>1120</v>
      </c>
      <c r="C34" s="38" t="s">
        <v>1273</v>
      </c>
      <c r="D34" s="3" t="s">
        <v>1274</v>
      </c>
      <c r="E34" s="38">
        <v>0</v>
      </c>
      <c r="F34" s="38">
        <v>100</v>
      </c>
      <c r="G34" s="38">
        <v>0</v>
      </c>
      <c r="H34" s="38">
        <v>0</v>
      </c>
      <c r="I34"/>
      <c r="J34"/>
      <c r="K34"/>
      <c r="L34"/>
      <c r="M34"/>
      <c r="N34"/>
      <c r="O34"/>
    </row>
    <row r="35" spans="1:15" ht="15.75" customHeight="1" x14ac:dyDescent="0.2">
      <c r="A35" s="38" t="s">
        <v>1308</v>
      </c>
      <c r="B35" s="38" t="s">
        <v>1309</v>
      </c>
      <c r="C35" s="38" t="s">
        <v>1281</v>
      </c>
      <c r="D35" s="3" t="s">
        <v>1310</v>
      </c>
      <c r="E35" s="38">
        <v>29</v>
      </c>
      <c r="F35" s="38">
        <v>48</v>
      </c>
      <c r="G35" s="38">
        <v>18</v>
      </c>
      <c r="H35" s="38">
        <v>0</v>
      </c>
      <c r="I35"/>
      <c r="J35"/>
      <c r="K35"/>
      <c r="L35"/>
      <c r="M35"/>
      <c r="N35"/>
      <c r="O35"/>
    </row>
    <row r="36" spans="1:15" ht="15.75" customHeight="1" x14ac:dyDescent="0.2">
      <c r="A36" s="38" t="s">
        <v>1162</v>
      </c>
      <c r="B36" s="38" t="s">
        <v>1163</v>
      </c>
      <c r="C36" s="38" t="s">
        <v>1271</v>
      </c>
      <c r="D36" s="3" t="s">
        <v>1311</v>
      </c>
      <c r="E36" s="38">
        <v>70</v>
      </c>
      <c r="F36" s="38">
        <v>0</v>
      </c>
      <c r="G36" s="38">
        <v>25</v>
      </c>
      <c r="H36" s="38">
        <v>0</v>
      </c>
      <c r="I36"/>
      <c r="J36"/>
      <c r="K36"/>
      <c r="L36"/>
      <c r="M36"/>
      <c r="N36"/>
      <c r="O36"/>
    </row>
    <row r="37" spans="1:15" ht="15.75" customHeight="1" x14ac:dyDescent="0.2">
      <c r="A37" s="38" t="s">
        <v>1169</v>
      </c>
      <c r="B37" s="38" t="s">
        <v>1170</v>
      </c>
      <c r="C37" s="38" t="s">
        <v>1271</v>
      </c>
      <c r="D37" s="3" t="s">
        <v>1312</v>
      </c>
      <c r="E37" s="38">
        <v>0</v>
      </c>
      <c r="F37" s="38">
        <v>36</v>
      </c>
      <c r="G37" s="38">
        <v>61</v>
      </c>
      <c r="H37" s="38">
        <v>0</v>
      </c>
      <c r="I37"/>
      <c r="J37"/>
      <c r="K37"/>
      <c r="L37"/>
      <c r="M37"/>
      <c r="N37"/>
      <c r="O37"/>
    </row>
    <row r="38" spans="1:15" ht="15.75" customHeight="1" x14ac:dyDescent="0.2">
      <c r="A38" s="38" t="s">
        <v>1313</v>
      </c>
      <c r="B38" s="38" t="s">
        <v>1314</v>
      </c>
      <c r="C38" s="38" t="s">
        <v>1271</v>
      </c>
      <c r="D38" s="3" t="s">
        <v>1315</v>
      </c>
      <c r="E38" s="38">
        <v>25</v>
      </c>
      <c r="F38" s="38">
        <v>0</v>
      </c>
      <c r="G38" s="38">
        <v>71</v>
      </c>
      <c r="H38" s="38">
        <v>0</v>
      </c>
      <c r="I38"/>
      <c r="J38"/>
      <c r="K38"/>
      <c r="L38"/>
      <c r="M38"/>
      <c r="N38"/>
      <c r="O38"/>
    </row>
    <row r="39" spans="1:15" ht="15.75" customHeight="1" x14ac:dyDescent="0.2">
      <c r="A39" s="38" t="s">
        <v>1073</v>
      </c>
      <c r="B39" s="38" t="s">
        <v>1074</v>
      </c>
      <c r="C39" s="38" t="s">
        <v>1273</v>
      </c>
      <c r="D39" s="3" t="s">
        <v>1316</v>
      </c>
      <c r="E39" s="38">
        <v>0</v>
      </c>
      <c r="F39" s="38">
        <v>70</v>
      </c>
      <c r="G39" s="38">
        <v>25</v>
      </c>
      <c r="H39" s="38">
        <v>0</v>
      </c>
      <c r="I39"/>
      <c r="J39"/>
      <c r="K39"/>
      <c r="L39"/>
      <c r="M39"/>
      <c r="N39"/>
      <c r="O39"/>
    </row>
    <row r="40" spans="1:15" ht="15.75" customHeight="1" x14ac:dyDescent="0.2">
      <c r="A40" s="38" t="s">
        <v>1017</v>
      </c>
      <c r="B40" s="38" t="s">
        <v>1018</v>
      </c>
      <c r="C40" s="38" t="s">
        <v>1281</v>
      </c>
      <c r="D40" s="3" t="s">
        <v>1317</v>
      </c>
      <c r="E40" s="38">
        <v>57</v>
      </c>
      <c r="F40" s="38">
        <v>0</v>
      </c>
      <c r="G40" s="38">
        <v>40</v>
      </c>
      <c r="H40" s="38">
        <v>0</v>
      </c>
      <c r="I40"/>
      <c r="J40"/>
      <c r="K40"/>
      <c r="L40"/>
      <c r="M40"/>
      <c r="N40"/>
      <c r="O40"/>
    </row>
    <row r="41" spans="1:15" ht="15.75" customHeight="1" x14ac:dyDescent="0.2">
      <c r="A41" s="38" t="s">
        <v>1079</v>
      </c>
      <c r="B41" s="38" t="s">
        <v>1080</v>
      </c>
      <c r="C41" s="38" t="s">
        <v>1273</v>
      </c>
      <c r="D41" s="3" t="s">
        <v>1318</v>
      </c>
      <c r="E41" s="38">
        <v>0</v>
      </c>
      <c r="F41" s="38">
        <v>79</v>
      </c>
      <c r="G41" s="38">
        <v>16</v>
      </c>
      <c r="H41" s="38">
        <v>0</v>
      </c>
      <c r="I41"/>
      <c r="J41"/>
      <c r="K41"/>
      <c r="L41"/>
      <c r="M41"/>
      <c r="N41"/>
      <c r="O41"/>
    </row>
    <row r="42" spans="1:15" ht="15.75" customHeight="1" x14ac:dyDescent="0.2">
      <c r="A42" s="38" t="s">
        <v>1184</v>
      </c>
      <c r="B42" s="38" t="s">
        <v>1185</v>
      </c>
      <c r="C42" s="38" t="s">
        <v>1271</v>
      </c>
      <c r="D42" s="3" t="s">
        <v>1319</v>
      </c>
      <c r="E42" s="38">
        <v>16</v>
      </c>
      <c r="F42" s="38">
        <v>0</v>
      </c>
      <c r="G42" s="38">
        <v>80</v>
      </c>
      <c r="H42" s="38">
        <v>0</v>
      </c>
      <c r="I42"/>
      <c r="J42"/>
      <c r="K42"/>
      <c r="L42"/>
      <c r="M42"/>
      <c r="N42"/>
      <c r="O42"/>
    </row>
    <row r="43" spans="1:15" ht="15.75" customHeight="1" x14ac:dyDescent="0.2">
      <c r="A43" s="38" t="s">
        <v>1201</v>
      </c>
      <c r="B43" s="38" t="s">
        <v>1202</v>
      </c>
      <c r="C43" s="38" t="s">
        <v>1271</v>
      </c>
      <c r="D43" s="3" t="s">
        <v>1288</v>
      </c>
      <c r="E43" s="38">
        <v>49</v>
      </c>
      <c r="F43" s="38">
        <v>0</v>
      </c>
      <c r="G43" s="38">
        <v>51</v>
      </c>
      <c r="H43" s="38">
        <v>0</v>
      </c>
      <c r="I43"/>
      <c r="J43"/>
      <c r="K43"/>
      <c r="L43"/>
      <c r="M43"/>
      <c r="N43"/>
      <c r="O43"/>
    </row>
    <row r="44" spans="1:15" ht="15.75" customHeight="1" x14ac:dyDescent="0.2">
      <c r="A44" s="38" t="s">
        <v>1187</v>
      </c>
      <c r="B44" s="38" t="s">
        <v>1188</v>
      </c>
      <c r="C44" s="38" t="s">
        <v>1271</v>
      </c>
      <c r="D44" s="3" t="s">
        <v>1320</v>
      </c>
      <c r="E44" s="38">
        <v>51</v>
      </c>
      <c r="F44" s="38">
        <v>0</v>
      </c>
      <c r="G44" s="38">
        <v>49</v>
      </c>
      <c r="H44" s="38">
        <v>0</v>
      </c>
      <c r="I44"/>
      <c r="J44"/>
      <c r="K44"/>
      <c r="L44"/>
      <c r="M44"/>
      <c r="N44"/>
      <c r="O44"/>
    </row>
    <row r="45" spans="1:15" ht="15.75" customHeight="1" x14ac:dyDescent="0.2">
      <c r="A45" s="38" t="s">
        <v>1205</v>
      </c>
      <c r="B45" s="38" t="s">
        <v>1206</v>
      </c>
      <c r="C45" s="38" t="s">
        <v>1271</v>
      </c>
      <c r="D45" s="3" t="s">
        <v>1321</v>
      </c>
      <c r="E45" s="38">
        <v>0</v>
      </c>
      <c r="F45" s="38">
        <v>0</v>
      </c>
      <c r="G45" s="38">
        <v>100</v>
      </c>
      <c r="H45" s="38">
        <v>0</v>
      </c>
      <c r="I45"/>
      <c r="J45"/>
      <c r="K45"/>
      <c r="L45"/>
      <c r="M45"/>
      <c r="N45"/>
      <c r="O45"/>
    </row>
    <row r="46" spans="1:15" ht="15.75" customHeight="1" x14ac:dyDescent="0.2">
      <c r="A46" s="38" t="s">
        <v>1322</v>
      </c>
      <c r="B46" s="38" t="s">
        <v>1323</v>
      </c>
      <c r="C46" s="38" t="s">
        <v>1271</v>
      </c>
      <c r="D46" s="3" t="s">
        <v>1324</v>
      </c>
      <c r="E46" s="38">
        <v>0</v>
      </c>
      <c r="F46" s="38">
        <v>21</v>
      </c>
      <c r="G46" s="38">
        <v>74</v>
      </c>
      <c r="H46" s="38">
        <v>0</v>
      </c>
      <c r="I46"/>
      <c r="J46"/>
      <c r="K46"/>
      <c r="L46"/>
      <c r="M46"/>
      <c r="N46"/>
      <c r="O46"/>
    </row>
    <row r="47" spans="1:15" ht="15.75" customHeight="1" x14ac:dyDescent="0.2">
      <c r="A47" s="38" t="s">
        <v>1325</v>
      </c>
      <c r="B47" s="38" t="s">
        <v>1326</v>
      </c>
      <c r="C47" s="38" t="s">
        <v>1271</v>
      </c>
      <c r="D47" s="3" t="s">
        <v>1327</v>
      </c>
      <c r="E47" s="38">
        <v>11</v>
      </c>
      <c r="F47" s="38">
        <v>46</v>
      </c>
      <c r="G47" s="38">
        <v>39</v>
      </c>
      <c r="H47" s="38">
        <v>0</v>
      </c>
      <c r="I47"/>
      <c r="J47"/>
      <c r="K47"/>
      <c r="L47"/>
      <c r="M47"/>
      <c r="N47"/>
      <c r="O47"/>
    </row>
    <row r="48" spans="1:15" ht="15.75" customHeight="1" x14ac:dyDescent="0.2">
      <c r="A48" s="38" t="s">
        <v>1207</v>
      </c>
      <c r="B48" s="38" t="s">
        <v>1208</v>
      </c>
      <c r="C48" s="38" t="s">
        <v>1271</v>
      </c>
      <c r="D48" s="3" t="s">
        <v>1328</v>
      </c>
      <c r="E48" s="38">
        <v>53</v>
      </c>
      <c r="F48" s="38">
        <v>0</v>
      </c>
      <c r="G48" s="38">
        <v>41</v>
      </c>
      <c r="H48" s="38">
        <v>0</v>
      </c>
      <c r="I48"/>
      <c r="J48"/>
      <c r="K48"/>
      <c r="L48"/>
      <c r="M48"/>
      <c r="N48"/>
      <c r="O48"/>
    </row>
    <row r="49" spans="1:15" ht="15.75" customHeight="1" x14ac:dyDescent="0.2">
      <c r="A49" s="38" t="s">
        <v>1329</v>
      </c>
      <c r="B49" s="38" t="s">
        <v>1330</v>
      </c>
      <c r="C49" s="38" t="s">
        <v>1271</v>
      </c>
      <c r="D49" s="3" t="s">
        <v>1331</v>
      </c>
      <c r="E49" s="38">
        <v>0</v>
      </c>
      <c r="F49" s="38">
        <v>46</v>
      </c>
      <c r="G49" s="38">
        <v>54</v>
      </c>
      <c r="H49" s="38">
        <v>0</v>
      </c>
      <c r="I49"/>
      <c r="J49"/>
      <c r="K49"/>
      <c r="L49"/>
      <c r="M49"/>
      <c r="N49"/>
      <c r="O49"/>
    </row>
    <row r="50" spans="1:15" ht="15.75" customHeight="1" x14ac:dyDescent="0.2">
      <c r="A50" s="38" t="s">
        <v>1332</v>
      </c>
      <c r="B50" s="38" t="s">
        <v>1333</v>
      </c>
      <c r="C50" s="38" t="s">
        <v>1271</v>
      </c>
      <c r="D50" s="3" t="s">
        <v>1334</v>
      </c>
      <c r="E50" s="38">
        <v>0</v>
      </c>
      <c r="F50" s="38">
        <v>47</v>
      </c>
      <c r="G50" s="38">
        <v>53</v>
      </c>
      <c r="H50" s="38">
        <v>0</v>
      </c>
      <c r="I50"/>
      <c r="J50"/>
      <c r="K50"/>
      <c r="L50"/>
      <c r="M50"/>
      <c r="N50"/>
      <c r="O50"/>
    </row>
    <row r="51" spans="1:15" ht="15.75" customHeight="1" x14ac:dyDescent="0.2">
      <c r="A51" s="38" t="s">
        <v>1335</v>
      </c>
      <c r="B51" s="38" t="s">
        <v>1336</v>
      </c>
      <c r="C51" s="38" t="s">
        <v>1273</v>
      </c>
      <c r="D51" s="3" t="s">
        <v>1337</v>
      </c>
      <c r="E51" s="38">
        <v>0</v>
      </c>
      <c r="F51" s="38">
        <v>100</v>
      </c>
      <c r="G51" s="38">
        <v>0</v>
      </c>
      <c r="H51" s="38">
        <v>0</v>
      </c>
      <c r="I51"/>
      <c r="J51"/>
      <c r="K51"/>
      <c r="L51"/>
      <c r="M51"/>
      <c r="N51"/>
      <c r="O51"/>
    </row>
    <row r="52" spans="1:15" ht="15.75" customHeight="1" x14ac:dyDescent="0.2">
      <c r="A52" s="38" t="s">
        <v>1338</v>
      </c>
      <c r="B52" s="38" t="s">
        <v>1339</v>
      </c>
      <c r="C52" s="38" t="s">
        <v>1271</v>
      </c>
      <c r="D52" s="3" t="s">
        <v>1340</v>
      </c>
      <c r="E52" s="38">
        <v>22</v>
      </c>
      <c r="F52" s="38">
        <v>0</v>
      </c>
      <c r="G52" s="38">
        <v>73</v>
      </c>
      <c r="H52" s="38">
        <v>0</v>
      </c>
      <c r="I52"/>
      <c r="J52"/>
      <c r="K52"/>
      <c r="L52"/>
      <c r="M52"/>
      <c r="N52"/>
      <c r="O52"/>
    </row>
    <row r="53" spans="1:15" ht="15.75" customHeight="1" x14ac:dyDescent="0.2">
      <c r="A53" s="38" t="s">
        <v>1341</v>
      </c>
      <c r="B53" s="38" t="s">
        <v>1342</v>
      </c>
      <c r="C53" s="38" t="s">
        <v>1271</v>
      </c>
      <c r="D53" s="3" t="s">
        <v>1343</v>
      </c>
      <c r="E53" s="38">
        <v>0</v>
      </c>
      <c r="F53" s="38">
        <v>69</v>
      </c>
      <c r="G53" s="38">
        <v>26</v>
      </c>
      <c r="H53" s="38">
        <v>0</v>
      </c>
      <c r="I53"/>
      <c r="J53"/>
      <c r="K53"/>
      <c r="L53"/>
      <c r="M53"/>
      <c r="N53"/>
      <c r="O53"/>
    </row>
    <row r="54" spans="1:15" ht="15.75" customHeight="1" x14ac:dyDescent="0.2">
      <c r="A54" s="38" t="s">
        <v>1344</v>
      </c>
      <c r="B54" s="38" t="s">
        <v>1345</v>
      </c>
      <c r="C54" s="38" t="s">
        <v>1281</v>
      </c>
      <c r="D54" s="3" t="s">
        <v>1282</v>
      </c>
      <c r="E54" s="38">
        <v>100</v>
      </c>
      <c r="F54" s="38">
        <v>0</v>
      </c>
      <c r="G54" s="38">
        <v>0</v>
      </c>
      <c r="H54" s="38">
        <v>0</v>
      </c>
      <c r="I54"/>
      <c r="J54"/>
      <c r="K54"/>
      <c r="L54"/>
      <c r="M54"/>
      <c r="N54"/>
      <c r="O54"/>
    </row>
    <row r="55" spans="1:15" ht="15.75" customHeight="1" x14ac:dyDescent="0.2">
      <c r="A55" s="38" t="s">
        <v>1346</v>
      </c>
      <c r="B55" s="38" t="s">
        <v>1347</v>
      </c>
      <c r="C55" s="38" t="s">
        <v>1271</v>
      </c>
      <c r="D55" s="3" t="s">
        <v>1291</v>
      </c>
      <c r="E55" s="38">
        <v>26</v>
      </c>
      <c r="F55" s="38">
        <v>0</v>
      </c>
      <c r="G55" s="38">
        <v>70</v>
      </c>
      <c r="H55" s="38">
        <v>0</v>
      </c>
      <c r="I55"/>
      <c r="J55"/>
      <c r="K55"/>
      <c r="L55"/>
      <c r="M55"/>
      <c r="N55"/>
      <c r="O55"/>
    </row>
    <row r="56" spans="1:15" ht="15.75" customHeight="1" x14ac:dyDescent="0.2">
      <c r="A56" s="38" t="s">
        <v>1348</v>
      </c>
      <c r="B56" s="38" t="s">
        <v>1349</v>
      </c>
      <c r="C56" s="38" t="s">
        <v>1271</v>
      </c>
      <c r="D56" s="3" t="s">
        <v>1350</v>
      </c>
      <c r="E56" s="38">
        <v>15</v>
      </c>
      <c r="F56" s="38">
        <v>0</v>
      </c>
      <c r="G56" s="38">
        <v>81</v>
      </c>
      <c r="H56" s="38">
        <v>0</v>
      </c>
      <c r="I56"/>
      <c r="J56"/>
      <c r="K56"/>
      <c r="L56"/>
      <c r="M56"/>
      <c r="N56"/>
      <c r="O56"/>
    </row>
    <row r="57" spans="1:15" ht="15.75" customHeight="1" x14ac:dyDescent="0.2">
      <c r="A57" s="38" t="s">
        <v>1351</v>
      </c>
      <c r="B57" s="38" t="s">
        <v>1352</v>
      </c>
      <c r="C57" s="38" t="s">
        <v>1271</v>
      </c>
      <c r="D57" s="3" t="s">
        <v>1353</v>
      </c>
      <c r="E57" s="38">
        <v>10</v>
      </c>
      <c r="F57" s="38">
        <v>0</v>
      </c>
      <c r="G57" s="38">
        <v>86</v>
      </c>
      <c r="H57" s="38">
        <v>0</v>
      </c>
      <c r="I57"/>
      <c r="J57"/>
      <c r="K57"/>
      <c r="L57"/>
      <c r="M57"/>
      <c r="N57"/>
      <c r="O57"/>
    </row>
    <row r="58" spans="1:15" ht="15.75" customHeight="1" x14ac:dyDescent="0.2">
      <c r="A58" s="38" t="s">
        <v>1354</v>
      </c>
      <c r="B58" s="38" t="s">
        <v>1355</v>
      </c>
      <c r="C58" s="38" t="s">
        <v>1271</v>
      </c>
      <c r="D58" s="3" t="s">
        <v>1272</v>
      </c>
      <c r="E58" s="38">
        <v>0</v>
      </c>
      <c r="F58" s="38">
        <v>0</v>
      </c>
      <c r="G58" s="38">
        <v>100</v>
      </c>
      <c r="H58" s="38">
        <v>0</v>
      </c>
      <c r="I58"/>
      <c r="J58"/>
      <c r="K58"/>
      <c r="L58"/>
      <c r="M58"/>
      <c r="N58"/>
      <c r="O58"/>
    </row>
    <row r="59" spans="1:15" ht="15.75" customHeight="1" x14ac:dyDescent="0.2">
      <c r="A59" s="38" t="s">
        <v>1356</v>
      </c>
      <c r="B59" s="38" t="s">
        <v>1357</v>
      </c>
      <c r="C59" s="38" t="s">
        <v>1271</v>
      </c>
      <c r="D59" s="3" t="s">
        <v>1358</v>
      </c>
      <c r="E59" s="38">
        <v>28</v>
      </c>
      <c r="F59" s="38">
        <v>0</v>
      </c>
      <c r="G59" s="38">
        <v>68</v>
      </c>
      <c r="H59" s="38">
        <v>0</v>
      </c>
      <c r="I59"/>
      <c r="J59"/>
      <c r="K59"/>
      <c r="L59"/>
      <c r="M59"/>
      <c r="N59"/>
      <c r="O59"/>
    </row>
    <row r="60" spans="1:15" ht="15.75" customHeight="1" x14ac:dyDescent="0.2">
      <c r="A60" s="38" t="s">
        <v>1359</v>
      </c>
      <c r="B60" s="38" t="s">
        <v>1360</v>
      </c>
      <c r="C60" s="38" t="s">
        <v>1271</v>
      </c>
      <c r="D60" s="3" t="s">
        <v>1272</v>
      </c>
      <c r="E60" s="38">
        <v>0</v>
      </c>
      <c r="F60" s="38">
        <v>0</v>
      </c>
      <c r="G60" s="38">
        <v>100</v>
      </c>
      <c r="H60" s="38">
        <v>0</v>
      </c>
      <c r="I60"/>
      <c r="J60"/>
      <c r="K60"/>
      <c r="L60"/>
      <c r="M60"/>
      <c r="N60"/>
      <c r="O60"/>
    </row>
    <row r="61" spans="1:15" ht="16" x14ac:dyDescent="0.2">
      <c r="A61" s="38" t="s">
        <v>1361</v>
      </c>
      <c r="B61" s="38" t="s">
        <v>118</v>
      </c>
      <c r="C61" s="38" t="s">
        <v>1271</v>
      </c>
      <c r="D61" s="3" t="s">
        <v>1272</v>
      </c>
      <c r="E61" s="38">
        <v>0</v>
      </c>
      <c r="F61" s="38">
        <v>0</v>
      </c>
      <c r="G61" s="38">
        <v>100</v>
      </c>
      <c r="H61" s="38">
        <v>0</v>
      </c>
      <c r="I61"/>
      <c r="J61"/>
      <c r="K61"/>
      <c r="L61"/>
      <c r="M61"/>
      <c r="N61"/>
      <c r="O61"/>
    </row>
    <row r="62" spans="1:15" ht="16" x14ac:dyDescent="0.2">
      <c r="A62" s="38" t="s">
        <v>1362</v>
      </c>
      <c r="B62" s="38" t="s">
        <v>1363</v>
      </c>
      <c r="C62" s="38" t="s">
        <v>1271</v>
      </c>
      <c r="D62" s="3" t="s">
        <v>1272</v>
      </c>
      <c r="E62" s="38">
        <v>0</v>
      </c>
      <c r="F62" s="38">
        <v>0</v>
      </c>
      <c r="G62" s="38">
        <v>100</v>
      </c>
      <c r="H62" s="38">
        <v>0</v>
      </c>
      <c r="I62"/>
      <c r="J62"/>
      <c r="K62"/>
      <c r="L62"/>
      <c r="M62"/>
      <c r="N62"/>
      <c r="O62"/>
    </row>
    <row r="63" spans="1:15" ht="16" x14ac:dyDescent="0.2">
      <c r="A63" s="38" t="s">
        <v>1364</v>
      </c>
      <c r="B63" s="38" t="s">
        <v>1365</v>
      </c>
      <c r="C63" s="38" t="s">
        <v>1271</v>
      </c>
      <c r="D63" s="3" t="s">
        <v>1272</v>
      </c>
      <c r="E63" s="38">
        <v>0</v>
      </c>
      <c r="F63" s="38">
        <v>0</v>
      </c>
      <c r="G63" s="38">
        <v>100</v>
      </c>
      <c r="H63" s="38">
        <v>0</v>
      </c>
      <c r="I63"/>
      <c r="J63"/>
      <c r="K63"/>
      <c r="L63"/>
      <c r="M63"/>
      <c r="N63"/>
      <c r="O63"/>
    </row>
    <row r="64" spans="1:15" ht="16" x14ac:dyDescent="0.2">
      <c r="A64" s="38" t="s">
        <v>1174</v>
      </c>
      <c r="B64" s="38" t="s">
        <v>1175</v>
      </c>
      <c r="C64" s="38" t="s">
        <v>1271</v>
      </c>
      <c r="D64" s="3" t="s">
        <v>1366</v>
      </c>
      <c r="E64" s="38">
        <v>0</v>
      </c>
      <c r="F64" s="38">
        <v>71</v>
      </c>
      <c r="G64" s="38">
        <v>25</v>
      </c>
      <c r="H64" s="38">
        <v>0</v>
      </c>
      <c r="I64"/>
      <c r="J64"/>
      <c r="K64"/>
      <c r="L64"/>
      <c r="M64"/>
      <c r="N64"/>
      <c r="O64"/>
    </row>
    <row r="65" spans="1:15" ht="16" x14ac:dyDescent="0.2">
      <c r="A65" s="38" t="s">
        <v>1075</v>
      </c>
      <c r="B65" s="38" t="s">
        <v>1076</v>
      </c>
      <c r="C65" s="38" t="s">
        <v>1273</v>
      </c>
      <c r="D65" s="3" t="s">
        <v>1274</v>
      </c>
      <c r="E65" s="38">
        <v>0</v>
      </c>
      <c r="F65" s="38">
        <v>100</v>
      </c>
      <c r="G65" s="38">
        <v>0</v>
      </c>
      <c r="H65" s="38">
        <v>0</v>
      </c>
      <c r="I65"/>
      <c r="J65"/>
      <c r="K65"/>
      <c r="L65"/>
      <c r="M65"/>
      <c r="N65"/>
      <c r="O65"/>
    </row>
    <row r="66" spans="1:15" ht="16" x14ac:dyDescent="0.2">
      <c r="A66" s="38" t="s">
        <v>1180</v>
      </c>
      <c r="B66" s="38" t="s">
        <v>1181</v>
      </c>
      <c r="C66" s="38" t="s">
        <v>1271</v>
      </c>
      <c r="D66" s="3" t="s">
        <v>1367</v>
      </c>
      <c r="E66" s="38">
        <v>0</v>
      </c>
      <c r="F66" s="38">
        <v>77</v>
      </c>
      <c r="G66" s="38">
        <v>19</v>
      </c>
      <c r="H66" s="38">
        <v>0</v>
      </c>
      <c r="I66"/>
      <c r="J66"/>
      <c r="K66"/>
      <c r="L66"/>
      <c r="M66"/>
      <c r="N66"/>
      <c r="O66"/>
    </row>
    <row r="67" spans="1:15" ht="16" x14ac:dyDescent="0.2">
      <c r="A67" s="38" t="s">
        <v>1249</v>
      </c>
      <c r="B67" s="38" t="s">
        <v>1250</v>
      </c>
      <c r="C67" s="38" t="s">
        <v>1273</v>
      </c>
      <c r="D67" s="3" t="s">
        <v>1274</v>
      </c>
      <c r="E67" s="38">
        <v>0</v>
      </c>
      <c r="F67" s="38">
        <v>100</v>
      </c>
      <c r="G67" s="38">
        <v>0</v>
      </c>
      <c r="H67" s="38">
        <v>0</v>
      </c>
      <c r="I67"/>
      <c r="J67"/>
      <c r="K67"/>
      <c r="L67"/>
      <c r="M67"/>
      <c r="N67"/>
      <c r="O67"/>
    </row>
    <row r="68" spans="1:15" ht="16" x14ac:dyDescent="0.2">
      <c r="A68" s="38" t="s">
        <v>1165</v>
      </c>
      <c r="B68" s="38" t="s">
        <v>1166</v>
      </c>
      <c r="C68" s="38" t="s">
        <v>1271</v>
      </c>
      <c r="D68" s="3" t="s">
        <v>1368</v>
      </c>
      <c r="E68" s="38">
        <v>0</v>
      </c>
      <c r="F68" s="38">
        <v>90</v>
      </c>
      <c r="G68" s="38">
        <v>5</v>
      </c>
      <c r="H68" s="38">
        <v>0</v>
      </c>
      <c r="I68"/>
      <c r="J68"/>
      <c r="K68"/>
      <c r="L68"/>
      <c r="M68"/>
      <c r="N68"/>
      <c r="O68"/>
    </row>
    <row r="69" spans="1:15" ht="16" x14ac:dyDescent="0.2">
      <c r="A69" s="38" t="s">
        <v>1257</v>
      </c>
      <c r="B69" s="38" t="s">
        <v>1258</v>
      </c>
      <c r="C69" s="39" t="s">
        <v>1369</v>
      </c>
      <c r="D69" s="3" t="s">
        <v>1370</v>
      </c>
      <c r="E69" s="39" t="s">
        <v>1371</v>
      </c>
      <c r="F69" s="39" t="s">
        <v>1371</v>
      </c>
      <c r="G69" s="39" t="s">
        <v>1371</v>
      </c>
      <c r="H69" s="39" t="s">
        <v>1371</v>
      </c>
      <c r="I69"/>
      <c r="J69"/>
      <c r="K69"/>
      <c r="L69"/>
      <c r="M69"/>
      <c r="N69"/>
      <c r="O69"/>
    </row>
    <row r="70" spans="1:15" ht="16" x14ac:dyDescent="0.2">
      <c r="A70" s="38" t="s">
        <v>1372</v>
      </c>
      <c r="B70" s="38" t="s">
        <v>1373</v>
      </c>
      <c r="C70" s="39" t="s">
        <v>1369</v>
      </c>
      <c r="D70" s="3" t="s">
        <v>1374</v>
      </c>
      <c r="E70" s="39" t="s">
        <v>1371</v>
      </c>
      <c r="F70" s="39" t="s">
        <v>1371</v>
      </c>
      <c r="G70" s="39" t="s">
        <v>1371</v>
      </c>
      <c r="H70" s="39" t="s">
        <v>1371</v>
      </c>
      <c r="I70"/>
      <c r="J70"/>
      <c r="K70"/>
      <c r="L70"/>
      <c r="M70"/>
      <c r="N70"/>
      <c r="O70"/>
    </row>
    <row r="71" spans="1:15" ht="16" x14ac:dyDescent="0.2">
      <c r="A71" s="38" t="s">
        <v>1253</v>
      </c>
      <c r="B71" s="38" t="s">
        <v>1254</v>
      </c>
      <c r="C71" s="39" t="s">
        <v>1369</v>
      </c>
      <c r="D71" s="3" t="s">
        <v>1274</v>
      </c>
      <c r="E71" s="39" t="s">
        <v>1371</v>
      </c>
      <c r="F71" s="39" t="s">
        <v>1371</v>
      </c>
      <c r="G71" s="39" t="s">
        <v>1371</v>
      </c>
      <c r="H71" s="39" t="s">
        <v>1371</v>
      </c>
      <c r="I71"/>
      <c r="J71"/>
      <c r="K71"/>
      <c r="L71"/>
      <c r="M71"/>
      <c r="N71"/>
      <c r="O71"/>
    </row>
    <row r="72" spans="1:15" ht="16" x14ac:dyDescent="0.2">
      <c r="A72" s="38" t="s">
        <v>1077</v>
      </c>
      <c r="B72" s="38" t="s">
        <v>1078</v>
      </c>
      <c r="C72" s="38" t="s">
        <v>1273</v>
      </c>
      <c r="D72" s="3" t="s">
        <v>1274</v>
      </c>
      <c r="E72" s="38">
        <v>0</v>
      </c>
      <c r="F72" s="38">
        <v>100</v>
      </c>
      <c r="G72" s="38">
        <v>0</v>
      </c>
      <c r="H72" s="38">
        <v>0</v>
      </c>
      <c r="I72"/>
      <c r="J72"/>
      <c r="K72"/>
      <c r="L72"/>
      <c r="M72"/>
      <c r="N72"/>
      <c r="O72"/>
    </row>
    <row r="73" spans="1:15" ht="16" x14ac:dyDescent="0.2">
      <c r="A73" s="38" t="s">
        <v>1375</v>
      </c>
      <c r="B73" s="38" t="s">
        <v>1376</v>
      </c>
      <c r="C73" s="38" t="s">
        <v>1271</v>
      </c>
      <c r="D73" s="3" t="s">
        <v>1377</v>
      </c>
      <c r="E73" s="38">
        <v>0</v>
      </c>
      <c r="F73" s="38">
        <v>85</v>
      </c>
      <c r="G73" s="38">
        <v>9</v>
      </c>
      <c r="H73" s="38">
        <v>0</v>
      </c>
      <c r="I73"/>
      <c r="J73"/>
      <c r="K73"/>
      <c r="L73"/>
      <c r="M73"/>
      <c r="N73"/>
      <c r="O73"/>
    </row>
    <row r="74" spans="1:15" ht="16" x14ac:dyDescent="0.2">
      <c r="A74" s="38" t="s">
        <v>1081</v>
      </c>
      <c r="B74" s="38" t="s">
        <v>1082</v>
      </c>
      <c r="C74" s="38" t="s">
        <v>1273</v>
      </c>
      <c r="D74" s="3" t="s">
        <v>1274</v>
      </c>
      <c r="E74" s="38">
        <v>0</v>
      </c>
      <c r="F74" s="38">
        <v>100</v>
      </c>
      <c r="G74" s="38">
        <v>0</v>
      </c>
      <c r="H74" s="38">
        <v>0</v>
      </c>
      <c r="I74"/>
      <c r="J74"/>
      <c r="K74"/>
      <c r="L74"/>
      <c r="M74"/>
      <c r="N74"/>
      <c r="O74"/>
    </row>
    <row r="75" spans="1:15" ht="16" x14ac:dyDescent="0.2">
      <c r="A75" s="38" t="s">
        <v>1378</v>
      </c>
      <c r="B75" s="38" t="s">
        <v>1379</v>
      </c>
      <c r="C75" s="39" t="s">
        <v>1369</v>
      </c>
      <c r="D75" s="3" t="s">
        <v>1272</v>
      </c>
      <c r="E75" s="39" t="s">
        <v>1371</v>
      </c>
      <c r="F75" s="39" t="s">
        <v>1371</v>
      </c>
      <c r="G75" s="39" t="s">
        <v>1371</v>
      </c>
      <c r="H75" s="39" t="s">
        <v>1371</v>
      </c>
      <c r="I75"/>
      <c r="J75"/>
      <c r="K75"/>
      <c r="L75"/>
      <c r="M75"/>
      <c r="N75"/>
      <c r="O75"/>
    </row>
    <row r="76" spans="1:15" ht="16" x14ac:dyDescent="0.2">
      <c r="A76" s="38" t="s">
        <v>1209</v>
      </c>
      <c r="B76" s="38" t="s">
        <v>1210</v>
      </c>
      <c r="C76" s="38" t="s">
        <v>1271</v>
      </c>
      <c r="D76" s="3" t="s">
        <v>1272</v>
      </c>
      <c r="E76" s="38">
        <v>0</v>
      </c>
      <c r="F76" s="38">
        <v>0</v>
      </c>
      <c r="G76" s="38">
        <v>100</v>
      </c>
      <c r="H76" s="38">
        <v>0</v>
      </c>
      <c r="I76"/>
      <c r="J76"/>
      <c r="K76"/>
      <c r="L76"/>
      <c r="M76"/>
      <c r="N76"/>
      <c r="O76"/>
    </row>
    <row r="77" spans="1:15" ht="16" x14ac:dyDescent="0.2">
      <c r="A77" s="38" t="s">
        <v>1211</v>
      </c>
      <c r="B77" s="38" t="s">
        <v>1212</v>
      </c>
      <c r="C77" s="38" t="s">
        <v>1271</v>
      </c>
      <c r="D77" s="3" t="s">
        <v>1272</v>
      </c>
      <c r="E77" s="38">
        <v>0</v>
      </c>
      <c r="F77" s="38">
        <v>0</v>
      </c>
      <c r="G77" s="38">
        <v>100</v>
      </c>
      <c r="H77" s="38">
        <v>0</v>
      </c>
      <c r="I77"/>
      <c r="J77"/>
      <c r="K77"/>
      <c r="L77"/>
      <c r="M77"/>
      <c r="N77"/>
      <c r="O77"/>
    </row>
    <row r="78" spans="1:15" ht="16" x14ac:dyDescent="0.2">
      <c r="A78" s="38" t="s">
        <v>1237</v>
      </c>
      <c r="B78" s="38" t="s">
        <v>1238</v>
      </c>
      <c r="C78" s="38" t="s">
        <v>1271</v>
      </c>
      <c r="D78" s="3" t="s">
        <v>1272</v>
      </c>
      <c r="E78" s="38">
        <v>0</v>
      </c>
      <c r="F78" s="38">
        <v>0</v>
      </c>
      <c r="G78" s="38">
        <v>100</v>
      </c>
      <c r="H78" s="38">
        <v>0</v>
      </c>
      <c r="I78"/>
      <c r="J78"/>
      <c r="K78"/>
      <c r="L78"/>
      <c r="M78"/>
      <c r="N78"/>
      <c r="O78"/>
    </row>
    <row r="79" spans="1:15" ht="16" x14ac:dyDescent="0.2">
      <c r="A79" s="38" t="s">
        <v>1213</v>
      </c>
      <c r="B79" s="38" t="s">
        <v>1214</v>
      </c>
      <c r="C79" s="38" t="s">
        <v>1271</v>
      </c>
      <c r="D79" s="3" t="s">
        <v>1272</v>
      </c>
      <c r="E79" s="38">
        <v>0</v>
      </c>
      <c r="F79" s="38">
        <v>0</v>
      </c>
      <c r="G79" s="38">
        <v>100</v>
      </c>
      <c r="H79" s="38">
        <v>0</v>
      </c>
      <c r="I79"/>
      <c r="J79"/>
      <c r="K79"/>
      <c r="L79"/>
      <c r="M79"/>
      <c r="N79"/>
      <c r="O79"/>
    </row>
    <row r="80" spans="1:15" ht="16" x14ac:dyDescent="0.2">
      <c r="A80" s="38" t="s">
        <v>1243</v>
      </c>
      <c r="B80" s="38" t="s">
        <v>1244</v>
      </c>
      <c r="C80" s="38" t="s">
        <v>1271</v>
      </c>
      <c r="D80" s="3" t="s">
        <v>1272</v>
      </c>
      <c r="E80" s="38">
        <v>0</v>
      </c>
      <c r="F80" s="38">
        <v>0</v>
      </c>
      <c r="G80" s="38">
        <v>100</v>
      </c>
      <c r="H80" s="38">
        <v>0</v>
      </c>
      <c r="I80"/>
      <c r="J80"/>
      <c r="K80"/>
      <c r="L80"/>
      <c r="M80"/>
      <c r="N80"/>
      <c r="O80"/>
    </row>
    <row r="81" spans="1:15" ht="16" x14ac:dyDescent="0.2">
      <c r="A81" s="38" t="s">
        <v>1215</v>
      </c>
      <c r="B81" s="38" t="s">
        <v>1216</v>
      </c>
      <c r="C81" s="38" t="s">
        <v>1271</v>
      </c>
      <c r="D81" s="3" t="s">
        <v>1272</v>
      </c>
      <c r="E81" s="38">
        <v>0</v>
      </c>
      <c r="F81" s="38">
        <v>0</v>
      </c>
      <c r="G81" s="38">
        <v>100</v>
      </c>
      <c r="H81" s="38">
        <v>0</v>
      </c>
      <c r="I81"/>
      <c r="J81"/>
      <c r="K81"/>
      <c r="L81"/>
      <c r="M81"/>
      <c r="N81"/>
      <c r="O81"/>
    </row>
    <row r="82" spans="1:15" ht="16" x14ac:dyDescent="0.2">
      <c r="A82" s="38" t="s">
        <v>1225</v>
      </c>
      <c r="B82" s="38" t="s">
        <v>1226</v>
      </c>
      <c r="C82" s="38" t="s">
        <v>1271</v>
      </c>
      <c r="D82" s="3" t="s">
        <v>1272</v>
      </c>
      <c r="E82" s="38">
        <v>0</v>
      </c>
      <c r="F82" s="38">
        <v>0</v>
      </c>
      <c r="G82" s="38">
        <v>100</v>
      </c>
      <c r="H82" s="38">
        <v>0</v>
      </c>
      <c r="I82"/>
      <c r="J82"/>
      <c r="K82"/>
      <c r="L82"/>
      <c r="M82"/>
      <c r="N82"/>
      <c r="O82"/>
    </row>
    <row r="83" spans="1:15" ht="16" x14ac:dyDescent="0.2">
      <c r="A83" s="38" t="s">
        <v>1217</v>
      </c>
      <c r="B83" s="38" t="s">
        <v>1218</v>
      </c>
      <c r="C83" s="38" t="s">
        <v>1271</v>
      </c>
      <c r="D83" s="3" t="s">
        <v>1272</v>
      </c>
      <c r="E83" s="38">
        <v>0</v>
      </c>
      <c r="F83" s="38">
        <v>0</v>
      </c>
      <c r="G83" s="38">
        <v>100</v>
      </c>
      <c r="H83" s="38">
        <v>0</v>
      </c>
      <c r="I83"/>
      <c r="J83"/>
      <c r="K83"/>
      <c r="L83"/>
      <c r="M83"/>
      <c r="N83"/>
      <c r="O83"/>
    </row>
    <row r="84" spans="1:15" ht="16" x14ac:dyDescent="0.2">
      <c r="A84" s="38" t="s">
        <v>1219</v>
      </c>
      <c r="B84" s="38" t="s">
        <v>1220</v>
      </c>
      <c r="C84" s="38" t="s">
        <v>1271</v>
      </c>
      <c r="D84" s="3" t="s">
        <v>1272</v>
      </c>
      <c r="E84" s="38">
        <v>0</v>
      </c>
      <c r="F84" s="38">
        <v>0</v>
      </c>
      <c r="G84" s="38">
        <v>100</v>
      </c>
      <c r="H84" s="38">
        <v>0</v>
      </c>
      <c r="I84"/>
      <c r="J84"/>
      <c r="K84"/>
      <c r="L84"/>
      <c r="M84"/>
      <c r="N84"/>
      <c r="O84"/>
    </row>
    <row r="85" spans="1:15" ht="16" x14ac:dyDescent="0.2">
      <c r="A85" s="38" t="s">
        <v>1221</v>
      </c>
      <c r="B85" s="38" t="s">
        <v>1222</v>
      </c>
      <c r="C85" s="38" t="s">
        <v>1271</v>
      </c>
      <c r="D85" s="3" t="s">
        <v>1272</v>
      </c>
      <c r="E85" s="38">
        <v>0</v>
      </c>
      <c r="F85" s="38">
        <v>0</v>
      </c>
      <c r="G85" s="38">
        <v>100</v>
      </c>
      <c r="H85" s="38">
        <v>0</v>
      </c>
      <c r="I85"/>
      <c r="J85"/>
      <c r="K85"/>
      <c r="L85"/>
      <c r="M85"/>
      <c r="N85"/>
      <c r="O85"/>
    </row>
    <row r="86" spans="1:15" ht="16" x14ac:dyDescent="0.2">
      <c r="A86" s="38" t="s">
        <v>1223</v>
      </c>
      <c r="B86" s="38" t="s">
        <v>1224</v>
      </c>
      <c r="C86" s="38" t="s">
        <v>1271</v>
      </c>
      <c r="D86" s="3" t="s">
        <v>1272</v>
      </c>
      <c r="E86" s="38">
        <v>0</v>
      </c>
      <c r="F86" s="38">
        <v>0</v>
      </c>
      <c r="G86" s="38">
        <v>100</v>
      </c>
      <c r="H86" s="38">
        <v>0</v>
      </c>
      <c r="I86"/>
      <c r="J86"/>
      <c r="K86"/>
      <c r="L86"/>
      <c r="M86"/>
      <c r="N86"/>
      <c r="O86"/>
    </row>
    <row r="87" spans="1:15" ht="16" x14ac:dyDescent="0.2">
      <c r="A87" s="38" t="s">
        <v>1091</v>
      </c>
      <c r="B87" s="38" t="s">
        <v>1092</v>
      </c>
      <c r="C87" s="38" t="s">
        <v>1273</v>
      </c>
      <c r="D87" s="3" t="s">
        <v>1274</v>
      </c>
      <c r="E87" s="38">
        <v>0</v>
      </c>
      <c r="F87" s="38">
        <v>100</v>
      </c>
      <c r="G87" s="38">
        <v>0</v>
      </c>
      <c r="H87" s="38">
        <v>0</v>
      </c>
      <c r="I87"/>
      <c r="J87"/>
      <c r="K87"/>
      <c r="L87"/>
      <c r="M87"/>
      <c r="N87"/>
      <c r="O87"/>
    </row>
    <row r="88" spans="1:15" ht="16" x14ac:dyDescent="0.2">
      <c r="A88" s="38" t="s">
        <v>1083</v>
      </c>
      <c r="B88" s="38" t="s">
        <v>1084</v>
      </c>
      <c r="C88" s="38" t="s">
        <v>1273</v>
      </c>
      <c r="D88" s="3" t="s">
        <v>1274</v>
      </c>
      <c r="E88" s="38">
        <v>0</v>
      </c>
      <c r="F88" s="38">
        <v>100</v>
      </c>
      <c r="G88" s="38">
        <v>0</v>
      </c>
      <c r="H88" s="38">
        <v>0</v>
      </c>
      <c r="I88"/>
      <c r="J88"/>
      <c r="K88"/>
      <c r="L88"/>
      <c r="M88"/>
      <c r="N88"/>
      <c r="O88"/>
    </row>
    <row r="89" spans="1:15" ht="16" x14ac:dyDescent="0.2">
      <c r="A89" s="38" t="s">
        <v>1189</v>
      </c>
      <c r="B89" s="38" t="s">
        <v>1190</v>
      </c>
      <c r="C89" s="38" t="s">
        <v>1271</v>
      </c>
      <c r="D89" s="3" t="s">
        <v>1274</v>
      </c>
      <c r="E89" s="38">
        <v>0</v>
      </c>
      <c r="F89" s="38">
        <v>100</v>
      </c>
      <c r="G89" s="38">
        <v>0</v>
      </c>
      <c r="H89" s="38">
        <v>0</v>
      </c>
      <c r="I89"/>
      <c r="J89"/>
      <c r="K89"/>
      <c r="L89"/>
      <c r="M89"/>
      <c r="N89"/>
      <c r="O89"/>
    </row>
    <row r="90" spans="1:15" ht="16" x14ac:dyDescent="0.2">
      <c r="A90" s="38" t="s">
        <v>1085</v>
      </c>
      <c r="B90" s="38" t="s">
        <v>1086</v>
      </c>
      <c r="C90" s="38" t="s">
        <v>1273</v>
      </c>
      <c r="D90" s="3" t="s">
        <v>1274</v>
      </c>
      <c r="E90" s="38">
        <v>0</v>
      </c>
      <c r="F90" s="38">
        <v>100</v>
      </c>
      <c r="G90" s="38">
        <v>0</v>
      </c>
      <c r="H90" s="38">
        <v>0</v>
      </c>
      <c r="I90"/>
      <c r="J90"/>
      <c r="K90"/>
      <c r="L90"/>
      <c r="M90"/>
      <c r="N90"/>
      <c r="O90"/>
    </row>
    <row r="91" spans="1:15" ht="16" x14ac:dyDescent="0.2">
      <c r="A91" s="38" t="s">
        <v>1115</v>
      </c>
      <c r="B91" s="38" t="s">
        <v>1116</v>
      </c>
      <c r="C91" s="38" t="s">
        <v>1273</v>
      </c>
      <c r="D91" s="3" t="s">
        <v>1274</v>
      </c>
      <c r="E91" s="38">
        <v>0</v>
      </c>
      <c r="F91" s="38">
        <v>100</v>
      </c>
      <c r="G91" s="38">
        <v>0</v>
      </c>
      <c r="H91" s="38">
        <v>0</v>
      </c>
      <c r="I91"/>
      <c r="J91"/>
      <c r="K91"/>
      <c r="L91"/>
      <c r="M91"/>
      <c r="N91"/>
      <c r="O91"/>
    </row>
    <row r="92" spans="1:15" ht="16" x14ac:dyDescent="0.2">
      <c r="A92" s="38" t="s">
        <v>1087</v>
      </c>
      <c r="B92" s="38" t="s">
        <v>1088</v>
      </c>
      <c r="C92" s="38" t="s">
        <v>1273</v>
      </c>
      <c r="D92" s="3" t="s">
        <v>1274</v>
      </c>
      <c r="E92" s="38">
        <v>0</v>
      </c>
      <c r="F92" s="38">
        <v>100</v>
      </c>
      <c r="G92" s="38">
        <v>0</v>
      </c>
      <c r="H92" s="38">
        <v>0</v>
      </c>
      <c r="I92"/>
      <c r="J92"/>
      <c r="K92"/>
      <c r="L92"/>
      <c r="M92"/>
      <c r="N92"/>
      <c r="O92"/>
    </row>
    <row r="93" spans="1:15" ht="16" x14ac:dyDescent="0.2">
      <c r="A93" s="38" t="s">
        <v>1089</v>
      </c>
      <c r="B93" s="38" t="s">
        <v>1090</v>
      </c>
      <c r="C93" s="38" t="s">
        <v>1273</v>
      </c>
      <c r="D93" s="3" t="s">
        <v>1274</v>
      </c>
      <c r="E93" s="38">
        <v>0</v>
      </c>
      <c r="F93" s="38">
        <v>100</v>
      </c>
      <c r="G93" s="38">
        <v>0</v>
      </c>
      <c r="H93" s="38">
        <v>0</v>
      </c>
      <c r="I93"/>
      <c r="J93"/>
      <c r="K93"/>
      <c r="L93"/>
      <c r="M93"/>
      <c r="N93"/>
      <c r="O93"/>
    </row>
    <row r="94" spans="1:15" ht="16" x14ac:dyDescent="0.2">
      <c r="A94" s="38" t="s">
        <v>1093</v>
      </c>
      <c r="B94" s="38" t="s">
        <v>1094</v>
      </c>
      <c r="C94" s="38" t="s">
        <v>1273</v>
      </c>
      <c r="D94" s="3" t="s">
        <v>1274</v>
      </c>
      <c r="E94" s="38">
        <v>0</v>
      </c>
      <c r="F94" s="38">
        <v>100</v>
      </c>
      <c r="G94" s="38">
        <v>0</v>
      </c>
      <c r="H94" s="38">
        <v>0</v>
      </c>
      <c r="I94"/>
      <c r="J94"/>
      <c r="K94"/>
      <c r="L94"/>
      <c r="M94"/>
      <c r="N94"/>
      <c r="O94"/>
    </row>
    <row r="95" spans="1:15" ht="16" x14ac:dyDescent="0.2">
      <c r="A95" s="38" t="s">
        <v>1099</v>
      </c>
      <c r="B95" s="38" t="s">
        <v>1100</v>
      </c>
      <c r="C95" s="38" t="s">
        <v>1273</v>
      </c>
      <c r="D95" s="3" t="s">
        <v>1274</v>
      </c>
      <c r="E95" s="38">
        <v>0</v>
      </c>
      <c r="F95" s="38">
        <v>100</v>
      </c>
      <c r="G95" s="38">
        <v>0</v>
      </c>
      <c r="H95" s="38">
        <v>0</v>
      </c>
      <c r="I95"/>
      <c r="J95"/>
      <c r="K95"/>
      <c r="L95"/>
      <c r="M95"/>
      <c r="N95"/>
      <c r="O95"/>
    </row>
    <row r="96" spans="1:15" ht="16" x14ac:dyDescent="0.2">
      <c r="A96" s="38" t="s">
        <v>1095</v>
      </c>
      <c r="B96" s="38" t="s">
        <v>1096</v>
      </c>
      <c r="C96" s="38" t="s">
        <v>1273</v>
      </c>
      <c r="D96" s="3" t="s">
        <v>1274</v>
      </c>
      <c r="E96" s="38">
        <v>0</v>
      </c>
      <c r="F96" s="38">
        <v>100</v>
      </c>
      <c r="G96" s="38">
        <v>0</v>
      </c>
      <c r="H96" s="38">
        <v>0</v>
      </c>
      <c r="I96"/>
      <c r="J96"/>
      <c r="K96"/>
      <c r="L96"/>
      <c r="M96"/>
      <c r="N96"/>
      <c r="O96"/>
    </row>
    <row r="97" spans="1:15" ht="16" x14ac:dyDescent="0.2">
      <c r="A97" s="38" t="s">
        <v>1380</v>
      </c>
      <c r="B97" s="38" t="s">
        <v>1381</v>
      </c>
      <c r="C97" s="38" t="s">
        <v>1273</v>
      </c>
      <c r="D97" s="3" t="s">
        <v>1274</v>
      </c>
      <c r="E97" s="38">
        <v>0</v>
      </c>
      <c r="F97" s="38">
        <v>100</v>
      </c>
      <c r="G97" s="38">
        <v>0</v>
      </c>
      <c r="H97" s="38">
        <v>0</v>
      </c>
      <c r="I97"/>
      <c r="J97"/>
      <c r="K97"/>
      <c r="L97"/>
      <c r="M97"/>
      <c r="N97"/>
      <c r="O97"/>
    </row>
    <row r="98" spans="1:15" ht="16" x14ac:dyDescent="0.2">
      <c r="A98" s="38" t="s">
        <v>1382</v>
      </c>
      <c r="B98" s="38" t="s">
        <v>1383</v>
      </c>
      <c r="C98" s="38" t="s">
        <v>1273</v>
      </c>
      <c r="D98" s="3" t="s">
        <v>1274</v>
      </c>
      <c r="E98" s="38">
        <v>0</v>
      </c>
      <c r="F98" s="38">
        <v>100</v>
      </c>
      <c r="G98" s="38">
        <v>0</v>
      </c>
      <c r="H98" s="38">
        <v>0</v>
      </c>
      <c r="I98"/>
      <c r="J98"/>
      <c r="K98"/>
      <c r="L98"/>
      <c r="M98"/>
      <c r="N98"/>
      <c r="O98"/>
    </row>
    <row r="99" spans="1:15" ht="16" x14ac:dyDescent="0.2">
      <c r="A99" s="38" t="s">
        <v>1384</v>
      </c>
      <c r="B99" s="38" t="s">
        <v>1385</v>
      </c>
      <c r="C99" s="38" t="s">
        <v>1273</v>
      </c>
      <c r="D99" s="3" t="s">
        <v>1274</v>
      </c>
      <c r="E99" s="38">
        <v>0</v>
      </c>
      <c r="F99" s="38">
        <v>100</v>
      </c>
      <c r="G99" s="38">
        <v>0</v>
      </c>
      <c r="H99" s="38">
        <v>0</v>
      </c>
      <c r="I99"/>
      <c r="J99"/>
      <c r="K99"/>
      <c r="L99"/>
      <c r="M99"/>
      <c r="N99"/>
      <c r="O99"/>
    </row>
    <row r="100" spans="1:15" ht="16" x14ac:dyDescent="0.2">
      <c r="A100" s="38" t="s">
        <v>1386</v>
      </c>
      <c r="B100" s="38" t="s">
        <v>1387</v>
      </c>
      <c r="C100" s="38" t="s">
        <v>1273</v>
      </c>
      <c r="D100" s="3" t="s">
        <v>1274</v>
      </c>
      <c r="E100" s="38">
        <v>0</v>
      </c>
      <c r="F100" s="38">
        <v>100</v>
      </c>
      <c r="G100" s="38">
        <v>0</v>
      </c>
      <c r="H100" s="38">
        <v>0</v>
      </c>
      <c r="I100"/>
      <c r="J100"/>
      <c r="K100"/>
      <c r="L100"/>
      <c r="M100"/>
      <c r="N100"/>
      <c r="O100"/>
    </row>
    <row r="101" spans="1:15" ht="16" x14ac:dyDescent="0.2">
      <c r="A101" s="38" t="s">
        <v>1097</v>
      </c>
      <c r="B101" s="38" t="s">
        <v>1098</v>
      </c>
      <c r="C101" s="38" t="s">
        <v>1273</v>
      </c>
      <c r="D101" s="3" t="s">
        <v>1274</v>
      </c>
      <c r="E101" s="38">
        <v>0</v>
      </c>
      <c r="F101" s="38">
        <v>100</v>
      </c>
      <c r="G101" s="38">
        <v>0</v>
      </c>
      <c r="H101" s="38">
        <v>0</v>
      </c>
      <c r="I101"/>
      <c r="J101"/>
      <c r="K101"/>
      <c r="L101"/>
      <c r="M101"/>
      <c r="N101"/>
      <c r="O101"/>
    </row>
    <row r="102" spans="1:15" ht="16" x14ac:dyDescent="0.2">
      <c r="A102" s="38" t="s">
        <v>1388</v>
      </c>
      <c r="B102" s="38" t="s">
        <v>1389</v>
      </c>
      <c r="C102" s="38" t="s">
        <v>1273</v>
      </c>
      <c r="D102" s="3" t="s">
        <v>1274</v>
      </c>
      <c r="E102" s="38">
        <v>0</v>
      </c>
      <c r="F102" s="38">
        <v>100</v>
      </c>
      <c r="G102" s="38">
        <v>0</v>
      </c>
      <c r="H102" s="38">
        <v>0</v>
      </c>
      <c r="I102"/>
      <c r="J102"/>
      <c r="K102"/>
      <c r="L102"/>
      <c r="M102"/>
      <c r="N102"/>
      <c r="O102"/>
    </row>
    <row r="103" spans="1:15" ht="16" x14ac:dyDescent="0.2">
      <c r="A103" s="38" t="s">
        <v>1390</v>
      </c>
      <c r="B103" s="38" t="s">
        <v>1391</v>
      </c>
      <c r="C103" s="38" t="s">
        <v>1273</v>
      </c>
      <c r="D103" s="3" t="s">
        <v>1274</v>
      </c>
      <c r="E103" s="38">
        <v>0</v>
      </c>
      <c r="F103" s="38">
        <v>100</v>
      </c>
      <c r="G103" s="38">
        <v>0</v>
      </c>
      <c r="H103" s="38">
        <v>0</v>
      </c>
      <c r="I103"/>
      <c r="J103"/>
      <c r="K103"/>
      <c r="L103"/>
      <c r="M103"/>
      <c r="N103"/>
      <c r="O103"/>
    </row>
    <row r="104" spans="1:15" ht="16" x14ac:dyDescent="0.2">
      <c r="A104" s="38" t="s">
        <v>1392</v>
      </c>
      <c r="B104" s="38" t="s">
        <v>1393</v>
      </c>
      <c r="C104" s="38" t="s">
        <v>1273</v>
      </c>
      <c r="D104" s="3" t="s">
        <v>1274</v>
      </c>
      <c r="E104" s="38">
        <v>0</v>
      </c>
      <c r="F104" s="38">
        <v>100</v>
      </c>
      <c r="G104" s="38">
        <v>0</v>
      </c>
      <c r="H104" s="38">
        <v>0</v>
      </c>
      <c r="I104"/>
      <c r="J104"/>
      <c r="K104"/>
      <c r="L104"/>
      <c r="M104"/>
      <c r="N104"/>
      <c r="O104"/>
    </row>
    <row r="105" spans="1:15" ht="16" x14ac:dyDescent="0.2">
      <c r="A105" s="38" t="s">
        <v>1071</v>
      </c>
      <c r="B105" s="38" t="s">
        <v>1072</v>
      </c>
      <c r="C105" s="38" t="s">
        <v>1273</v>
      </c>
      <c r="D105" s="3" t="s">
        <v>1394</v>
      </c>
      <c r="E105" s="38">
        <v>0</v>
      </c>
      <c r="F105" s="38">
        <v>75</v>
      </c>
      <c r="G105" s="38">
        <v>20</v>
      </c>
      <c r="H105" s="38">
        <v>0</v>
      </c>
      <c r="I105"/>
      <c r="J105"/>
      <c r="K105"/>
      <c r="L105"/>
      <c r="M105"/>
      <c r="N105"/>
      <c r="O105"/>
    </row>
    <row r="106" spans="1:15" ht="16" x14ac:dyDescent="0.2">
      <c r="A106" s="38" t="s">
        <v>1101</v>
      </c>
      <c r="B106" s="38" t="s">
        <v>1102</v>
      </c>
      <c r="C106" s="38" t="s">
        <v>1273</v>
      </c>
      <c r="D106" s="3" t="s">
        <v>1274</v>
      </c>
      <c r="E106" s="38">
        <v>0</v>
      </c>
      <c r="F106" s="38">
        <v>100</v>
      </c>
      <c r="G106" s="38">
        <v>0</v>
      </c>
      <c r="H106" s="38">
        <v>0</v>
      </c>
      <c r="I106"/>
      <c r="J106"/>
      <c r="K106"/>
      <c r="L106"/>
      <c r="M106"/>
      <c r="N106"/>
      <c r="O106"/>
    </row>
    <row r="107" spans="1:15" ht="16" x14ac:dyDescent="0.2">
      <c r="A107" s="38" t="s">
        <v>1103</v>
      </c>
      <c r="B107" s="38" t="s">
        <v>1104</v>
      </c>
      <c r="C107" s="38" t="s">
        <v>1273</v>
      </c>
      <c r="D107" s="3" t="s">
        <v>1274</v>
      </c>
      <c r="E107" s="38">
        <v>0</v>
      </c>
      <c r="F107" s="38">
        <v>100</v>
      </c>
      <c r="G107" s="38">
        <v>0</v>
      </c>
      <c r="H107" s="38">
        <v>0</v>
      </c>
      <c r="I107"/>
      <c r="J107"/>
      <c r="K107"/>
      <c r="L107"/>
      <c r="M107"/>
      <c r="N107"/>
      <c r="O107"/>
    </row>
    <row r="108" spans="1:15" ht="16" x14ac:dyDescent="0.2">
      <c r="A108" s="38" t="s">
        <v>1105</v>
      </c>
      <c r="B108" s="38" t="s">
        <v>1106</v>
      </c>
      <c r="C108" s="38" t="s">
        <v>1273</v>
      </c>
      <c r="D108" s="3" t="s">
        <v>1274</v>
      </c>
      <c r="E108" s="38">
        <v>0</v>
      </c>
      <c r="F108" s="38">
        <v>100</v>
      </c>
      <c r="G108" s="38">
        <v>0</v>
      </c>
      <c r="H108" s="38">
        <v>0</v>
      </c>
      <c r="I108"/>
      <c r="J108"/>
      <c r="K108"/>
      <c r="L108"/>
      <c r="M108"/>
      <c r="N108"/>
      <c r="O108"/>
    </row>
    <row r="109" spans="1:15" ht="16" x14ac:dyDescent="0.2">
      <c r="A109" s="38" t="s">
        <v>1107</v>
      </c>
      <c r="B109" s="38" t="s">
        <v>1108</v>
      </c>
      <c r="C109" s="38" t="s">
        <v>1273</v>
      </c>
      <c r="D109" s="3" t="s">
        <v>1274</v>
      </c>
      <c r="E109" s="38">
        <v>0</v>
      </c>
      <c r="F109" s="38">
        <v>100</v>
      </c>
      <c r="G109" s="38">
        <v>0</v>
      </c>
      <c r="H109" s="38">
        <v>0</v>
      </c>
      <c r="I109"/>
      <c r="J109"/>
      <c r="K109"/>
      <c r="L109"/>
      <c r="M109"/>
      <c r="N109"/>
      <c r="O109"/>
    </row>
    <row r="110" spans="1:15" ht="16" x14ac:dyDescent="0.2">
      <c r="A110" s="38" t="s">
        <v>1395</v>
      </c>
      <c r="B110" s="38" t="s">
        <v>1396</v>
      </c>
      <c r="C110" s="38" t="s">
        <v>1271</v>
      </c>
      <c r="D110" s="3" t="s">
        <v>1397</v>
      </c>
      <c r="E110" s="38">
        <v>4</v>
      </c>
      <c r="F110" s="38">
        <v>0</v>
      </c>
      <c r="G110" s="38">
        <v>90</v>
      </c>
      <c r="H110" s="38">
        <v>3</v>
      </c>
      <c r="I110"/>
      <c r="J110"/>
      <c r="K110"/>
      <c r="L110"/>
      <c r="M110"/>
      <c r="N110"/>
      <c r="O110"/>
    </row>
    <row r="111" spans="1:15" ht="16" x14ac:dyDescent="0.2">
      <c r="A111" s="38" t="s">
        <v>1259</v>
      </c>
      <c r="B111" s="38" t="s">
        <v>1398</v>
      </c>
      <c r="C111" s="39" t="s">
        <v>1369</v>
      </c>
      <c r="D111" s="3" t="s">
        <v>1399</v>
      </c>
      <c r="E111" s="39" t="s">
        <v>1371</v>
      </c>
      <c r="F111" s="39" t="s">
        <v>1371</v>
      </c>
      <c r="G111" s="39" t="s">
        <v>1371</v>
      </c>
      <c r="H111" s="39" t="s">
        <v>1371</v>
      </c>
      <c r="I111"/>
      <c r="J111"/>
      <c r="K111"/>
      <c r="L111"/>
      <c r="M111"/>
      <c r="N111"/>
      <c r="O111"/>
    </row>
    <row r="112" spans="1:15" ht="16" x14ac:dyDescent="0.2">
      <c r="A112" s="38" t="s">
        <v>1241</v>
      </c>
      <c r="B112" s="38" t="s">
        <v>1242</v>
      </c>
      <c r="C112" s="38" t="s">
        <v>1271</v>
      </c>
      <c r="D112" s="3" t="s">
        <v>1272</v>
      </c>
      <c r="E112" s="38">
        <v>0</v>
      </c>
      <c r="F112" s="38">
        <v>0</v>
      </c>
      <c r="G112" s="38">
        <v>100</v>
      </c>
      <c r="H112" s="38">
        <v>0</v>
      </c>
      <c r="I112"/>
      <c r="J112"/>
      <c r="K112"/>
      <c r="L112"/>
      <c r="M112"/>
      <c r="N112"/>
      <c r="O112"/>
    </row>
    <row r="113" spans="1:15" ht="16" x14ac:dyDescent="0.2">
      <c r="A113" s="38" t="s">
        <v>1400</v>
      </c>
      <c r="B113" s="38" t="s">
        <v>1401</v>
      </c>
      <c r="C113" s="38" t="s">
        <v>1271</v>
      </c>
      <c r="D113" s="3" t="s">
        <v>1402</v>
      </c>
      <c r="E113" s="38">
        <v>0</v>
      </c>
      <c r="F113" s="38">
        <v>24</v>
      </c>
      <c r="G113" s="38">
        <v>72</v>
      </c>
      <c r="H113" s="38">
        <v>0</v>
      </c>
      <c r="I113"/>
      <c r="J113"/>
      <c r="K113"/>
      <c r="L113"/>
      <c r="M113"/>
      <c r="N113"/>
      <c r="O113"/>
    </row>
    <row r="114" spans="1:15" ht="16" x14ac:dyDescent="0.2">
      <c r="A114" s="38" t="s">
        <v>1037</v>
      </c>
      <c r="B114" s="38" t="s">
        <v>1038</v>
      </c>
      <c r="C114" s="38" t="s">
        <v>1281</v>
      </c>
      <c r="D114" s="3" t="s">
        <v>1282</v>
      </c>
      <c r="E114" s="38">
        <v>100</v>
      </c>
      <c r="F114" s="38">
        <v>0</v>
      </c>
      <c r="G114" s="38">
        <v>0</v>
      </c>
      <c r="H114" s="38">
        <v>0</v>
      </c>
      <c r="I114"/>
      <c r="J114"/>
      <c r="K114"/>
      <c r="L114"/>
      <c r="M114"/>
      <c r="N114"/>
      <c r="O114"/>
    </row>
    <row r="115" spans="1:15" ht="16" x14ac:dyDescent="0.2">
      <c r="A115" s="38" t="s">
        <v>1239</v>
      </c>
      <c r="B115" s="38" t="s">
        <v>1240</v>
      </c>
      <c r="C115" s="38" t="s">
        <v>1271</v>
      </c>
      <c r="D115" s="3" t="s">
        <v>1403</v>
      </c>
      <c r="E115" s="38">
        <v>5</v>
      </c>
      <c r="F115" s="38">
        <v>0</v>
      </c>
      <c r="G115" s="38">
        <v>92</v>
      </c>
      <c r="H115" s="38">
        <v>0</v>
      </c>
      <c r="I115"/>
      <c r="J115"/>
      <c r="K115"/>
      <c r="L115"/>
      <c r="M115"/>
      <c r="N115"/>
      <c r="O115"/>
    </row>
    <row r="116" spans="1:15" ht="16" x14ac:dyDescent="0.2">
      <c r="A116" s="38" t="s">
        <v>1404</v>
      </c>
      <c r="B116" s="38" t="s">
        <v>1405</v>
      </c>
      <c r="C116" s="38" t="s">
        <v>1273</v>
      </c>
      <c r="D116" s="3" t="s">
        <v>1274</v>
      </c>
      <c r="E116" s="38">
        <v>0</v>
      </c>
      <c r="F116" s="38">
        <v>100</v>
      </c>
      <c r="G116" s="38">
        <v>0</v>
      </c>
      <c r="H116" s="38">
        <v>0</v>
      </c>
      <c r="I116"/>
      <c r="J116"/>
      <c r="K116"/>
      <c r="L116"/>
      <c r="M116"/>
      <c r="N116"/>
      <c r="O116"/>
    </row>
    <row r="117" spans="1:15" ht="16" x14ac:dyDescent="0.2">
      <c r="A117" s="38" t="s">
        <v>1247</v>
      </c>
      <c r="B117" s="38" t="s">
        <v>1248</v>
      </c>
      <c r="C117" s="38" t="s">
        <v>1271</v>
      </c>
      <c r="D117" s="3" t="s">
        <v>1272</v>
      </c>
      <c r="E117" s="38">
        <v>0</v>
      </c>
      <c r="F117" s="38">
        <v>0</v>
      </c>
      <c r="G117" s="38">
        <v>100</v>
      </c>
      <c r="H117" s="38">
        <v>0</v>
      </c>
      <c r="I117"/>
      <c r="J117"/>
      <c r="K117"/>
      <c r="L117"/>
      <c r="M117"/>
      <c r="N117"/>
      <c r="O117"/>
    </row>
    <row r="118" spans="1:15" ht="16" x14ac:dyDescent="0.2">
      <c r="A118" s="38" t="s">
        <v>1233</v>
      </c>
      <c r="B118" s="38" t="s">
        <v>1234</v>
      </c>
      <c r="C118" s="38" t="s">
        <v>1271</v>
      </c>
      <c r="D118" s="3" t="s">
        <v>1282</v>
      </c>
      <c r="E118" s="38">
        <v>100</v>
      </c>
      <c r="F118" s="38">
        <v>0</v>
      </c>
      <c r="G118" s="38">
        <v>0</v>
      </c>
      <c r="H118" s="38">
        <v>0</v>
      </c>
      <c r="I118"/>
      <c r="J118"/>
      <c r="K118"/>
      <c r="L118"/>
      <c r="M118"/>
      <c r="N118"/>
      <c r="O118"/>
    </row>
    <row r="119" spans="1:15" ht="16" x14ac:dyDescent="0.2">
      <c r="A119" s="38" t="s">
        <v>1406</v>
      </c>
      <c r="B119" s="38" t="s">
        <v>1407</v>
      </c>
      <c r="C119" s="38" t="s">
        <v>1271</v>
      </c>
      <c r="D119" s="3" t="s">
        <v>1408</v>
      </c>
      <c r="E119" s="38">
        <v>53</v>
      </c>
      <c r="F119" s="38">
        <v>14</v>
      </c>
      <c r="G119" s="38">
        <v>28</v>
      </c>
      <c r="H119" s="38">
        <v>0</v>
      </c>
      <c r="I119"/>
      <c r="J119"/>
      <c r="K119"/>
      <c r="L119"/>
      <c r="M119"/>
      <c r="N119"/>
      <c r="O119"/>
    </row>
    <row r="120" spans="1:15" ht="16" x14ac:dyDescent="0.2">
      <c r="A120" s="38" t="s">
        <v>1027</v>
      </c>
      <c r="B120" s="38" t="s">
        <v>1028</v>
      </c>
      <c r="C120" s="38" t="s">
        <v>1281</v>
      </c>
      <c r="D120" s="3" t="s">
        <v>1282</v>
      </c>
      <c r="E120" s="38">
        <v>100</v>
      </c>
      <c r="F120" s="38">
        <v>0</v>
      </c>
      <c r="G120" s="38">
        <v>0</v>
      </c>
      <c r="H120" s="38">
        <v>0</v>
      </c>
      <c r="I120"/>
      <c r="J120"/>
      <c r="K120"/>
      <c r="L120"/>
      <c r="M120"/>
      <c r="N120"/>
      <c r="O120"/>
    </row>
    <row r="121" spans="1:15" ht="16" x14ac:dyDescent="0.2">
      <c r="A121" s="38" t="s">
        <v>1029</v>
      </c>
      <c r="B121" s="38" t="s">
        <v>1030</v>
      </c>
      <c r="C121" s="38" t="s">
        <v>1281</v>
      </c>
      <c r="D121" s="3" t="s">
        <v>1282</v>
      </c>
      <c r="E121" s="38">
        <v>100</v>
      </c>
      <c r="F121" s="38">
        <v>0</v>
      </c>
      <c r="G121" s="38">
        <v>0</v>
      </c>
      <c r="H121" s="38">
        <v>0</v>
      </c>
      <c r="I121"/>
      <c r="J121"/>
      <c r="K121"/>
      <c r="L121"/>
      <c r="M121"/>
      <c r="N121"/>
      <c r="O121"/>
    </row>
    <row r="122" spans="1:15" ht="16" x14ac:dyDescent="0.2">
      <c r="A122" s="38" t="s">
        <v>1033</v>
      </c>
      <c r="B122" s="38" t="s">
        <v>1034</v>
      </c>
      <c r="C122" s="38" t="s">
        <v>1281</v>
      </c>
      <c r="D122" s="3" t="s">
        <v>1282</v>
      </c>
      <c r="E122" s="38">
        <v>100</v>
      </c>
      <c r="F122" s="38">
        <v>0</v>
      </c>
      <c r="G122" s="38">
        <v>0</v>
      </c>
      <c r="H122" s="38">
        <v>0</v>
      </c>
      <c r="I122"/>
      <c r="J122"/>
      <c r="K122"/>
      <c r="L122"/>
      <c r="M122"/>
      <c r="N122"/>
      <c r="O122"/>
    </row>
    <row r="123" spans="1:15" ht="16" x14ac:dyDescent="0.2">
      <c r="A123" s="38" t="s">
        <v>1173</v>
      </c>
      <c r="B123" s="38" t="s">
        <v>1409</v>
      </c>
      <c r="C123" s="38" t="s">
        <v>1271</v>
      </c>
      <c r="D123" s="3" t="s">
        <v>1410</v>
      </c>
      <c r="E123" s="38">
        <v>1</v>
      </c>
      <c r="F123" s="38">
        <v>0</v>
      </c>
      <c r="G123" s="38">
        <v>99</v>
      </c>
      <c r="H123" s="38">
        <v>0</v>
      </c>
      <c r="I123"/>
      <c r="J123"/>
      <c r="K123"/>
      <c r="L123"/>
      <c r="M123"/>
      <c r="N123"/>
      <c r="O123"/>
    </row>
    <row r="124" spans="1:15" ht="16" x14ac:dyDescent="0.2">
      <c r="A124" s="38" t="s">
        <v>1178</v>
      </c>
      <c r="B124" s="38" t="s">
        <v>1411</v>
      </c>
      <c r="C124" s="38" t="s">
        <v>1271</v>
      </c>
      <c r="D124" s="3" t="s">
        <v>1412</v>
      </c>
      <c r="E124" s="38">
        <v>3</v>
      </c>
      <c r="F124" s="38">
        <v>0</v>
      </c>
      <c r="G124" s="38">
        <v>97</v>
      </c>
      <c r="H124" s="38">
        <v>0</v>
      </c>
      <c r="I124"/>
      <c r="J124"/>
      <c r="K124"/>
      <c r="L124"/>
      <c r="M124"/>
      <c r="N124"/>
      <c r="O124"/>
    </row>
    <row r="125" spans="1:15" ht="16" x14ac:dyDescent="0.2">
      <c r="A125" s="38" t="s">
        <v>1135</v>
      </c>
      <c r="B125" s="38" t="s">
        <v>1136</v>
      </c>
      <c r="C125" s="38" t="s">
        <v>1273</v>
      </c>
      <c r="D125" s="3" t="s">
        <v>1274</v>
      </c>
      <c r="E125" s="38">
        <v>0</v>
      </c>
      <c r="F125" s="38">
        <v>100</v>
      </c>
      <c r="G125" s="38">
        <v>0</v>
      </c>
      <c r="H125" s="38">
        <v>0</v>
      </c>
      <c r="I125"/>
      <c r="J125"/>
      <c r="K125"/>
      <c r="L125"/>
      <c r="M125"/>
      <c r="N125"/>
      <c r="O125"/>
    </row>
    <row r="126" spans="1:15" ht="16" x14ac:dyDescent="0.2">
      <c r="A126" s="38" t="s">
        <v>1179</v>
      </c>
      <c r="B126" s="38" t="s">
        <v>1413</v>
      </c>
      <c r="C126" s="38" t="s">
        <v>1271</v>
      </c>
      <c r="D126" s="3" t="s">
        <v>1414</v>
      </c>
      <c r="E126" s="38">
        <v>2</v>
      </c>
      <c r="F126" s="38">
        <v>0</v>
      </c>
      <c r="G126" s="38">
        <v>97</v>
      </c>
      <c r="H126" s="38">
        <v>0</v>
      </c>
      <c r="I126"/>
      <c r="J126"/>
      <c r="K126"/>
      <c r="L126"/>
      <c r="M126"/>
      <c r="N126"/>
      <c r="O126"/>
    </row>
    <row r="127" spans="1:15" ht="16" x14ac:dyDescent="0.2">
      <c r="A127" s="38" t="s">
        <v>1186</v>
      </c>
      <c r="B127" s="38" t="s">
        <v>1415</v>
      </c>
      <c r="C127" s="38" t="s">
        <v>1271</v>
      </c>
      <c r="D127" s="3" t="s">
        <v>1416</v>
      </c>
      <c r="E127" s="38">
        <v>0</v>
      </c>
      <c r="F127" s="38">
        <v>64</v>
      </c>
      <c r="G127" s="38">
        <v>34</v>
      </c>
      <c r="H127" s="38">
        <v>0</v>
      </c>
      <c r="I127"/>
      <c r="J127"/>
      <c r="K127"/>
      <c r="L127"/>
      <c r="M127"/>
      <c r="N127"/>
      <c r="O127"/>
    </row>
    <row r="128" spans="1:15" ht="16" x14ac:dyDescent="0.2">
      <c r="A128" s="38" t="s">
        <v>1159</v>
      </c>
      <c r="B128" s="38" t="s">
        <v>1417</v>
      </c>
      <c r="C128" s="38" t="s">
        <v>1271</v>
      </c>
      <c r="D128" s="3" t="s">
        <v>1418</v>
      </c>
      <c r="E128" s="38">
        <v>0</v>
      </c>
      <c r="F128" s="38">
        <v>8</v>
      </c>
      <c r="G128" s="38">
        <v>92</v>
      </c>
      <c r="H128" s="38">
        <v>0</v>
      </c>
      <c r="I128"/>
      <c r="J128"/>
      <c r="K128"/>
      <c r="L128"/>
      <c r="M128"/>
      <c r="N128"/>
      <c r="O128"/>
    </row>
    <row r="129" spans="1:15" ht="16" x14ac:dyDescent="0.2">
      <c r="A129" s="38" t="s">
        <v>1164</v>
      </c>
      <c r="B129" s="38" t="s">
        <v>1419</v>
      </c>
      <c r="C129" s="38" t="s">
        <v>1271</v>
      </c>
      <c r="D129" s="3" t="s">
        <v>1420</v>
      </c>
      <c r="E129" s="38">
        <v>6</v>
      </c>
      <c r="F129" s="38">
        <v>0</v>
      </c>
      <c r="G129" s="38">
        <v>94</v>
      </c>
      <c r="H129" s="38">
        <v>0</v>
      </c>
      <c r="I129"/>
      <c r="J129"/>
      <c r="K129"/>
      <c r="L129"/>
      <c r="M129"/>
      <c r="N129"/>
      <c r="O129"/>
    </row>
    <row r="130" spans="1:15" ht="16" x14ac:dyDescent="0.2">
      <c r="A130" s="38" t="s">
        <v>1421</v>
      </c>
      <c r="B130" s="38" t="s">
        <v>1422</v>
      </c>
      <c r="C130" s="38" t="s">
        <v>1271</v>
      </c>
      <c r="D130" s="3" t="s">
        <v>1423</v>
      </c>
      <c r="E130" s="38">
        <v>4</v>
      </c>
      <c r="F130" s="38">
        <v>0</v>
      </c>
      <c r="G130" s="38">
        <v>96</v>
      </c>
      <c r="H130" s="38">
        <v>0</v>
      </c>
      <c r="I130"/>
      <c r="J130"/>
      <c r="K130"/>
      <c r="L130"/>
      <c r="M130"/>
      <c r="N130"/>
      <c r="O130"/>
    </row>
    <row r="131" spans="1:15" ht="16" x14ac:dyDescent="0.2">
      <c r="A131" s="38" t="s">
        <v>1424</v>
      </c>
      <c r="B131" s="38" t="s">
        <v>1425</v>
      </c>
      <c r="C131" s="38" t="s">
        <v>1273</v>
      </c>
      <c r="D131" s="3" t="s">
        <v>1274</v>
      </c>
      <c r="E131" s="38">
        <v>0</v>
      </c>
      <c r="F131" s="38">
        <v>100</v>
      </c>
      <c r="G131" s="38">
        <v>0</v>
      </c>
      <c r="H131" s="38">
        <v>0</v>
      </c>
      <c r="I131"/>
      <c r="J131"/>
      <c r="K131"/>
      <c r="L131"/>
      <c r="M131"/>
      <c r="N131"/>
      <c r="O131"/>
    </row>
    <row r="132" spans="1:15" ht="16" x14ac:dyDescent="0.2">
      <c r="A132" s="38" t="s">
        <v>1426</v>
      </c>
      <c r="B132" s="38" t="s">
        <v>1024</v>
      </c>
      <c r="C132" s="38" t="s">
        <v>1271</v>
      </c>
      <c r="D132" s="3" t="s">
        <v>1427</v>
      </c>
      <c r="E132" s="38">
        <v>3</v>
      </c>
      <c r="F132" s="38">
        <v>0</v>
      </c>
      <c r="G132" s="38">
        <v>96</v>
      </c>
      <c r="H132" s="38">
        <v>0</v>
      </c>
      <c r="I132"/>
      <c r="J132"/>
      <c r="K132"/>
      <c r="L132"/>
      <c r="M132"/>
      <c r="N132"/>
      <c r="O132"/>
    </row>
    <row r="133" spans="1:15" ht="16" x14ac:dyDescent="0.2">
      <c r="A133" s="38" t="s">
        <v>1023</v>
      </c>
      <c r="B133" s="38" t="s">
        <v>1024</v>
      </c>
      <c r="C133" s="38" t="s">
        <v>1281</v>
      </c>
      <c r="D133" s="3" t="s">
        <v>1282</v>
      </c>
      <c r="E133" s="38">
        <v>100</v>
      </c>
      <c r="F133" s="38">
        <v>0</v>
      </c>
      <c r="G133" s="38">
        <v>0</v>
      </c>
      <c r="H133" s="38">
        <v>0</v>
      </c>
      <c r="I133"/>
      <c r="J133"/>
      <c r="K133"/>
      <c r="L133"/>
      <c r="M133"/>
      <c r="N133"/>
      <c r="O133"/>
    </row>
    <row r="134" spans="1:15" ht="16" x14ac:dyDescent="0.2">
      <c r="A134" s="38" t="s">
        <v>1428</v>
      </c>
      <c r="B134" s="38" t="s">
        <v>1429</v>
      </c>
      <c r="C134" s="38" t="s">
        <v>1273</v>
      </c>
      <c r="D134" s="3" t="s">
        <v>1274</v>
      </c>
      <c r="E134" s="38">
        <v>0</v>
      </c>
      <c r="F134" s="38">
        <v>100</v>
      </c>
      <c r="G134" s="38">
        <v>0</v>
      </c>
      <c r="H134" s="38">
        <v>0</v>
      </c>
      <c r="I134"/>
      <c r="J134"/>
      <c r="K134"/>
      <c r="L134"/>
      <c r="M134"/>
      <c r="N134"/>
      <c r="O134"/>
    </row>
    <row r="135" spans="1:15" ht="16" x14ac:dyDescent="0.2">
      <c r="A135" s="38" t="s">
        <v>1251</v>
      </c>
      <c r="B135" s="38" t="s">
        <v>1252</v>
      </c>
      <c r="C135" s="38" t="s">
        <v>1273</v>
      </c>
      <c r="D135" s="3" t="s">
        <v>1274</v>
      </c>
      <c r="E135" s="38">
        <v>0</v>
      </c>
      <c r="F135" s="38">
        <v>100</v>
      </c>
      <c r="G135" s="38">
        <v>0</v>
      </c>
      <c r="H135" s="38">
        <v>0</v>
      </c>
      <c r="I135"/>
      <c r="J135"/>
      <c r="K135"/>
      <c r="L135"/>
      <c r="M135"/>
      <c r="N135"/>
      <c r="O135"/>
    </row>
    <row r="136" spans="1:15" ht="16" x14ac:dyDescent="0.2">
      <c r="A136" s="38" t="s">
        <v>1430</v>
      </c>
      <c r="B136" s="38" t="s">
        <v>1431</v>
      </c>
      <c r="C136" s="38" t="s">
        <v>1273</v>
      </c>
      <c r="D136" s="3" t="s">
        <v>1274</v>
      </c>
      <c r="E136" s="38">
        <v>0</v>
      </c>
      <c r="F136" s="38">
        <v>100</v>
      </c>
      <c r="G136" s="38">
        <v>0</v>
      </c>
      <c r="H136" s="38">
        <v>0</v>
      </c>
      <c r="I136"/>
      <c r="J136"/>
      <c r="K136"/>
      <c r="L136"/>
      <c r="M136"/>
      <c r="N136"/>
      <c r="O136"/>
    </row>
    <row r="137" spans="1:15" ht="16" x14ac:dyDescent="0.2">
      <c r="A137" s="38" t="s">
        <v>1432</v>
      </c>
      <c r="B137" s="38" t="s">
        <v>1433</v>
      </c>
      <c r="C137" s="38" t="s">
        <v>1271</v>
      </c>
      <c r="D137" s="3" t="s">
        <v>1272</v>
      </c>
      <c r="E137" s="38">
        <v>0</v>
      </c>
      <c r="F137" s="38">
        <v>0</v>
      </c>
      <c r="G137" s="38">
        <v>100</v>
      </c>
      <c r="H137" s="38">
        <v>0</v>
      </c>
      <c r="I137"/>
      <c r="J137"/>
      <c r="K137"/>
      <c r="L137"/>
      <c r="M137"/>
      <c r="N137"/>
      <c r="O137"/>
    </row>
    <row r="138" spans="1:15" ht="16" x14ac:dyDescent="0.2">
      <c r="A138" s="38" t="s">
        <v>1125</v>
      </c>
      <c r="B138" s="38" t="s">
        <v>1126</v>
      </c>
      <c r="C138" s="38" t="s">
        <v>1273</v>
      </c>
      <c r="D138" s="3" t="s">
        <v>1274</v>
      </c>
      <c r="E138" s="38">
        <v>0</v>
      </c>
      <c r="F138" s="38">
        <v>100</v>
      </c>
      <c r="G138" s="38">
        <v>0</v>
      </c>
      <c r="H138" s="38">
        <v>0</v>
      </c>
      <c r="I138"/>
      <c r="J138"/>
      <c r="K138"/>
      <c r="L138"/>
      <c r="M138"/>
      <c r="N138"/>
      <c r="O138"/>
    </row>
    <row r="139" spans="1:15" ht="16" x14ac:dyDescent="0.2">
      <c r="A139" s="38" t="s">
        <v>1031</v>
      </c>
      <c r="B139" s="38" t="s">
        <v>1032</v>
      </c>
      <c r="C139" s="38" t="s">
        <v>1281</v>
      </c>
      <c r="D139" s="3" t="s">
        <v>1282</v>
      </c>
      <c r="E139" s="38">
        <v>100</v>
      </c>
      <c r="F139" s="38">
        <v>0</v>
      </c>
      <c r="G139" s="38">
        <v>0</v>
      </c>
      <c r="H139" s="38">
        <v>0</v>
      </c>
      <c r="I139"/>
      <c r="J139"/>
      <c r="K139"/>
      <c r="L139"/>
      <c r="M139"/>
      <c r="N139"/>
      <c r="O139"/>
    </row>
    <row r="140" spans="1:15" ht="16" x14ac:dyDescent="0.2">
      <c r="A140" s="38" t="s">
        <v>1133</v>
      </c>
      <c r="B140" s="38" t="s">
        <v>1134</v>
      </c>
      <c r="C140" s="38" t="s">
        <v>1273</v>
      </c>
      <c r="D140" s="3" t="s">
        <v>1274</v>
      </c>
      <c r="E140" s="38">
        <v>0</v>
      </c>
      <c r="F140" s="38">
        <v>100</v>
      </c>
      <c r="G140" s="38">
        <v>0</v>
      </c>
      <c r="H140" s="38">
        <v>0</v>
      </c>
      <c r="I140"/>
      <c r="J140"/>
      <c r="K140"/>
      <c r="L140"/>
      <c r="M140"/>
      <c r="N140"/>
      <c r="O140"/>
    </row>
    <row r="141" spans="1:15" ht="16" x14ac:dyDescent="0.2">
      <c r="A141" s="38" t="s">
        <v>1434</v>
      </c>
      <c r="B141" s="38" t="s">
        <v>1435</v>
      </c>
      <c r="C141" s="38" t="s">
        <v>1281</v>
      </c>
      <c r="D141" s="3" t="s">
        <v>1282</v>
      </c>
      <c r="E141" s="38">
        <v>100</v>
      </c>
      <c r="F141" s="38">
        <v>0</v>
      </c>
      <c r="G141" s="38">
        <v>0</v>
      </c>
      <c r="H141" s="38">
        <v>0</v>
      </c>
      <c r="I141"/>
      <c r="J141"/>
      <c r="K141"/>
      <c r="L141"/>
      <c r="M141"/>
      <c r="N141"/>
      <c r="O141"/>
    </row>
    <row r="142" spans="1:15" ht="16" x14ac:dyDescent="0.2">
      <c r="A142" s="38" t="s">
        <v>1436</v>
      </c>
      <c r="B142" s="38" t="s">
        <v>1437</v>
      </c>
      <c r="C142" s="38" t="s">
        <v>1271</v>
      </c>
      <c r="D142" s="3" t="s">
        <v>1438</v>
      </c>
      <c r="E142" s="38">
        <v>52</v>
      </c>
      <c r="F142" s="38">
        <v>16</v>
      </c>
      <c r="G142" s="38">
        <v>27</v>
      </c>
      <c r="H142" s="38">
        <v>0</v>
      </c>
      <c r="I142"/>
      <c r="J142"/>
      <c r="K142"/>
      <c r="L142"/>
      <c r="M142"/>
      <c r="N142"/>
      <c r="O142"/>
    </row>
    <row r="143" spans="1:15" ht="16" x14ac:dyDescent="0.2">
      <c r="A143" s="38" t="s">
        <v>1439</v>
      </c>
      <c r="B143" s="38" t="s">
        <v>1440</v>
      </c>
      <c r="C143" s="38" t="s">
        <v>1281</v>
      </c>
      <c r="D143" s="3" t="s">
        <v>1282</v>
      </c>
      <c r="E143" s="38">
        <v>100</v>
      </c>
      <c r="F143" s="38">
        <v>0</v>
      </c>
      <c r="G143" s="38">
        <v>0</v>
      </c>
      <c r="H143" s="38">
        <v>0</v>
      </c>
      <c r="I143"/>
      <c r="J143"/>
      <c r="K143"/>
      <c r="L143"/>
      <c r="M143"/>
      <c r="N143"/>
      <c r="O143"/>
    </row>
    <row r="144" spans="1:15" ht="16" x14ac:dyDescent="0.2">
      <c r="A144" s="38" t="s">
        <v>1441</v>
      </c>
      <c r="B144" s="38" t="s">
        <v>1442</v>
      </c>
      <c r="C144" s="38" t="s">
        <v>1281</v>
      </c>
      <c r="D144" s="3" t="s">
        <v>1282</v>
      </c>
      <c r="E144" s="38">
        <v>100</v>
      </c>
      <c r="F144" s="38">
        <v>0</v>
      </c>
      <c r="G144" s="38">
        <v>0</v>
      </c>
      <c r="H144" s="38">
        <v>0</v>
      </c>
      <c r="I144"/>
      <c r="J144"/>
      <c r="K144"/>
      <c r="L144"/>
      <c r="M144"/>
      <c r="N144"/>
      <c r="O144"/>
    </row>
    <row r="145" spans="1:15" ht="16" x14ac:dyDescent="0.2">
      <c r="A145" s="38" t="s">
        <v>1443</v>
      </c>
      <c r="B145" s="38" t="s">
        <v>1444</v>
      </c>
      <c r="C145" s="38" t="s">
        <v>1273</v>
      </c>
      <c r="D145" s="3" t="s">
        <v>1274</v>
      </c>
      <c r="E145" s="38">
        <v>0</v>
      </c>
      <c r="F145" s="38">
        <v>100</v>
      </c>
      <c r="G145" s="38">
        <v>0</v>
      </c>
      <c r="H145" s="38">
        <v>0</v>
      </c>
      <c r="I145"/>
      <c r="J145"/>
      <c r="K145"/>
      <c r="L145"/>
      <c r="M145"/>
      <c r="N145"/>
      <c r="O145"/>
    </row>
    <row r="146" spans="1:15" ht="16" x14ac:dyDescent="0.2">
      <c r="A146" s="38" t="s">
        <v>1445</v>
      </c>
      <c r="B146" s="38" t="s">
        <v>1446</v>
      </c>
      <c r="C146" s="38" t="s">
        <v>1273</v>
      </c>
      <c r="D146" s="3" t="s">
        <v>1274</v>
      </c>
      <c r="E146" s="38">
        <v>0</v>
      </c>
      <c r="F146" s="38">
        <v>100</v>
      </c>
      <c r="G146" s="38">
        <v>0</v>
      </c>
      <c r="H146" s="38">
        <v>0</v>
      </c>
      <c r="I146"/>
      <c r="J146"/>
      <c r="K146"/>
      <c r="L146"/>
      <c r="M146"/>
      <c r="N146"/>
      <c r="O146"/>
    </row>
    <row r="147" spans="1:15" ht="16" x14ac:dyDescent="0.2">
      <c r="A147" s="38" t="s">
        <v>1127</v>
      </c>
      <c r="B147" s="38" t="s">
        <v>1128</v>
      </c>
      <c r="C147" s="38" t="s">
        <v>1273</v>
      </c>
      <c r="D147" s="3" t="s">
        <v>1274</v>
      </c>
      <c r="E147" s="38">
        <v>0</v>
      </c>
      <c r="F147" s="38">
        <v>100</v>
      </c>
      <c r="G147" s="38">
        <v>0</v>
      </c>
      <c r="H147" s="38">
        <v>0</v>
      </c>
      <c r="I147"/>
      <c r="J147"/>
      <c r="K147"/>
      <c r="L147"/>
      <c r="M147"/>
      <c r="N147"/>
      <c r="O147"/>
    </row>
    <row r="148" spans="1:15" ht="16" x14ac:dyDescent="0.2">
      <c r="A148" s="38" t="s">
        <v>1447</v>
      </c>
      <c r="B148" s="38" t="s">
        <v>1448</v>
      </c>
      <c r="C148" s="38" t="s">
        <v>1271</v>
      </c>
      <c r="D148" s="3" t="s">
        <v>1449</v>
      </c>
      <c r="E148" s="38">
        <v>43</v>
      </c>
      <c r="F148" s="38">
        <v>0</v>
      </c>
      <c r="G148" s="38">
        <v>54</v>
      </c>
      <c r="H148" s="38">
        <v>0</v>
      </c>
      <c r="I148"/>
      <c r="J148"/>
      <c r="K148"/>
      <c r="L148"/>
      <c r="M148"/>
      <c r="N148"/>
      <c r="O148"/>
    </row>
    <row r="149" spans="1:15" ht="16" x14ac:dyDescent="0.2">
      <c r="A149" s="38" t="s">
        <v>1235</v>
      </c>
      <c r="B149" s="38" t="s">
        <v>1236</v>
      </c>
      <c r="C149" s="38" t="s">
        <v>1271</v>
      </c>
      <c r="D149" s="3" t="s">
        <v>1450</v>
      </c>
      <c r="E149" s="38">
        <v>48</v>
      </c>
      <c r="F149" s="38">
        <v>0</v>
      </c>
      <c r="G149" s="38">
        <v>49</v>
      </c>
      <c r="H149" s="38">
        <v>0</v>
      </c>
      <c r="I149"/>
      <c r="J149"/>
      <c r="K149"/>
      <c r="L149"/>
      <c r="M149"/>
      <c r="N149"/>
      <c r="O149"/>
    </row>
    <row r="150" spans="1:15" ht="16" x14ac:dyDescent="0.2">
      <c r="A150" s="38" t="s">
        <v>1035</v>
      </c>
      <c r="B150" s="38" t="s">
        <v>1036</v>
      </c>
      <c r="C150" s="38" t="s">
        <v>1281</v>
      </c>
      <c r="D150" s="3" t="s">
        <v>1282</v>
      </c>
      <c r="E150" s="38">
        <v>100</v>
      </c>
      <c r="F150" s="38">
        <v>0</v>
      </c>
      <c r="G150" s="38">
        <v>0</v>
      </c>
      <c r="H150" s="38">
        <v>0</v>
      </c>
      <c r="I150"/>
      <c r="J150"/>
      <c r="K150"/>
      <c r="L150"/>
      <c r="M150"/>
      <c r="N150"/>
      <c r="O150"/>
    </row>
    <row r="151" spans="1:15" ht="16" x14ac:dyDescent="0.2">
      <c r="A151" s="38" t="s">
        <v>1245</v>
      </c>
      <c r="B151" s="38" t="s">
        <v>1246</v>
      </c>
      <c r="C151" s="38" t="s">
        <v>1271</v>
      </c>
      <c r="D151" s="3" t="s">
        <v>1451</v>
      </c>
      <c r="E151" s="38">
        <v>81</v>
      </c>
      <c r="F151" s="38">
        <v>0</v>
      </c>
      <c r="G151" s="38">
        <v>14</v>
      </c>
      <c r="H151" s="38">
        <v>0</v>
      </c>
      <c r="I151"/>
      <c r="J151"/>
      <c r="K151"/>
      <c r="L151"/>
      <c r="M151"/>
      <c r="N151"/>
      <c r="O151"/>
    </row>
    <row r="152" spans="1:15" ht="16" x14ac:dyDescent="0.2">
      <c r="A152" s="38" t="s">
        <v>1452</v>
      </c>
      <c r="B152" s="38" t="s">
        <v>1453</v>
      </c>
      <c r="C152" s="38" t="s">
        <v>1281</v>
      </c>
      <c r="D152" s="3" t="s">
        <v>1282</v>
      </c>
      <c r="E152" s="38">
        <v>100</v>
      </c>
      <c r="F152" s="38">
        <v>0</v>
      </c>
      <c r="G152" s="38">
        <v>0</v>
      </c>
      <c r="H152" s="38">
        <v>0</v>
      </c>
      <c r="I152"/>
      <c r="J152"/>
      <c r="K152"/>
      <c r="L152"/>
      <c r="M152"/>
      <c r="N152"/>
      <c r="O152"/>
    </row>
    <row r="153" spans="1:15" ht="16" x14ac:dyDescent="0.2">
      <c r="A153" s="38" t="s">
        <v>1123</v>
      </c>
      <c r="B153" s="38" t="s">
        <v>1124</v>
      </c>
      <c r="C153" s="38" t="s">
        <v>1273</v>
      </c>
      <c r="D153" s="3" t="s">
        <v>1274</v>
      </c>
      <c r="E153" s="38">
        <v>0</v>
      </c>
      <c r="F153" s="38">
        <v>100</v>
      </c>
      <c r="G153" s="38">
        <v>0</v>
      </c>
      <c r="H153" s="38">
        <v>0</v>
      </c>
      <c r="I153"/>
      <c r="J153"/>
      <c r="K153"/>
      <c r="L153"/>
      <c r="M153"/>
      <c r="N153"/>
      <c r="O153"/>
    </row>
    <row r="154" spans="1:15" ht="16" x14ac:dyDescent="0.2">
      <c r="A154" s="38" t="s">
        <v>1454</v>
      </c>
      <c r="B154" s="38" t="s">
        <v>1455</v>
      </c>
      <c r="C154" s="38" t="s">
        <v>1273</v>
      </c>
      <c r="D154" s="3" t="s">
        <v>1274</v>
      </c>
      <c r="E154" s="38">
        <v>0</v>
      </c>
      <c r="F154" s="38">
        <v>100</v>
      </c>
      <c r="G154" s="38">
        <v>0</v>
      </c>
      <c r="H154" s="38">
        <v>0</v>
      </c>
      <c r="I154"/>
      <c r="J154"/>
      <c r="K154"/>
      <c r="L154"/>
      <c r="M154"/>
      <c r="N154"/>
      <c r="O154"/>
    </row>
    <row r="155" spans="1:15" ht="16" x14ac:dyDescent="0.2">
      <c r="A155" s="38" t="s">
        <v>1227</v>
      </c>
      <c r="B155" s="38" t="s">
        <v>1228</v>
      </c>
      <c r="C155" s="38" t="s">
        <v>1271</v>
      </c>
      <c r="D155" s="3" t="s">
        <v>1272</v>
      </c>
      <c r="E155" s="38">
        <v>0</v>
      </c>
      <c r="F155" s="38">
        <v>0</v>
      </c>
      <c r="G155" s="38">
        <v>100</v>
      </c>
      <c r="H155" s="38">
        <v>0</v>
      </c>
      <c r="I155"/>
      <c r="J155"/>
      <c r="K155"/>
      <c r="L155"/>
      <c r="M155"/>
      <c r="N155"/>
      <c r="O155"/>
    </row>
    <row r="156" spans="1:15" ht="16" x14ac:dyDescent="0.2">
      <c r="A156" s="38" t="s">
        <v>1456</v>
      </c>
      <c r="B156" s="38" t="s">
        <v>1457</v>
      </c>
      <c r="C156" s="38" t="s">
        <v>1281</v>
      </c>
      <c r="D156" s="3" t="s">
        <v>1282</v>
      </c>
      <c r="E156" s="38">
        <v>100</v>
      </c>
      <c r="F156" s="38">
        <v>0</v>
      </c>
      <c r="G156" s="38">
        <v>0</v>
      </c>
      <c r="H156" s="38">
        <v>0</v>
      </c>
      <c r="I156"/>
      <c r="J156"/>
      <c r="K156"/>
      <c r="L156"/>
      <c r="M156"/>
      <c r="N156"/>
      <c r="O156"/>
    </row>
    <row r="157" spans="1:15" ht="16" x14ac:dyDescent="0.2">
      <c r="A157" s="38" t="s">
        <v>1025</v>
      </c>
      <c r="B157" s="38" t="s">
        <v>1026</v>
      </c>
      <c r="C157" s="38" t="s">
        <v>1281</v>
      </c>
      <c r="D157" s="3" t="s">
        <v>1282</v>
      </c>
      <c r="E157" s="38">
        <v>100</v>
      </c>
      <c r="F157" s="38">
        <v>0</v>
      </c>
      <c r="G157" s="38">
        <v>0</v>
      </c>
      <c r="H157" s="38">
        <v>0</v>
      </c>
      <c r="I157"/>
      <c r="J157"/>
      <c r="K157"/>
      <c r="L157"/>
      <c r="M157"/>
      <c r="N157"/>
      <c r="O157"/>
    </row>
    <row r="158" spans="1:15" ht="16" x14ac:dyDescent="0.2">
      <c r="A158" s="38" t="s">
        <v>1129</v>
      </c>
      <c r="B158" s="38" t="s">
        <v>1130</v>
      </c>
      <c r="C158" s="38" t="s">
        <v>1273</v>
      </c>
      <c r="D158" s="3" t="s">
        <v>1274</v>
      </c>
      <c r="E158" s="38">
        <v>0</v>
      </c>
      <c r="F158" s="38">
        <v>100</v>
      </c>
      <c r="G158" s="38">
        <v>0</v>
      </c>
      <c r="H158" s="38">
        <v>0</v>
      </c>
      <c r="I158"/>
      <c r="J158"/>
      <c r="K158"/>
      <c r="L158"/>
      <c r="M158"/>
      <c r="N158"/>
      <c r="O158"/>
    </row>
    <row r="159" spans="1:15" ht="16" x14ac:dyDescent="0.2">
      <c r="A159" s="38" t="s">
        <v>1131</v>
      </c>
      <c r="B159" s="38" t="s">
        <v>1132</v>
      </c>
      <c r="C159" s="38" t="s">
        <v>1273</v>
      </c>
      <c r="D159" s="3" t="s">
        <v>1274</v>
      </c>
      <c r="E159" s="38">
        <v>0</v>
      </c>
      <c r="F159" s="38">
        <v>100</v>
      </c>
      <c r="G159" s="38">
        <v>0</v>
      </c>
      <c r="H159" s="38">
        <v>0</v>
      </c>
      <c r="I159"/>
      <c r="J159"/>
      <c r="K159"/>
      <c r="L159"/>
      <c r="M159"/>
      <c r="N159"/>
      <c r="O159"/>
    </row>
    <row r="160" spans="1:15" ht="16" x14ac:dyDescent="0.2">
      <c r="A160" s="38" t="s">
        <v>1160</v>
      </c>
      <c r="B160" s="38" t="s">
        <v>1161</v>
      </c>
      <c r="C160" s="38" t="s">
        <v>1271</v>
      </c>
      <c r="D160" s="3" t="s">
        <v>1458</v>
      </c>
      <c r="E160" s="38">
        <v>0</v>
      </c>
      <c r="F160" s="38">
        <v>0</v>
      </c>
      <c r="G160" s="38">
        <v>99</v>
      </c>
      <c r="H160" s="38">
        <v>0</v>
      </c>
      <c r="I160"/>
      <c r="J160"/>
      <c r="K160"/>
      <c r="L160"/>
      <c r="M160"/>
      <c r="N160"/>
      <c r="O160"/>
    </row>
    <row r="161" spans="1:15" ht="16" x14ac:dyDescent="0.2">
      <c r="A161" s="38" t="s">
        <v>1167</v>
      </c>
      <c r="B161" s="38" t="s">
        <v>1168</v>
      </c>
      <c r="C161" s="38" t="s">
        <v>1271</v>
      </c>
      <c r="D161" s="3" t="s">
        <v>1272</v>
      </c>
      <c r="E161" s="38">
        <v>0</v>
      </c>
      <c r="F161" s="38">
        <v>0</v>
      </c>
      <c r="G161" s="38">
        <v>100</v>
      </c>
      <c r="H161" s="38">
        <v>0</v>
      </c>
      <c r="I161"/>
      <c r="J161"/>
      <c r="K161"/>
      <c r="L161"/>
      <c r="M161"/>
      <c r="N161"/>
      <c r="O161"/>
    </row>
    <row r="162" spans="1:15" ht="16" x14ac:dyDescent="0.2">
      <c r="A162" s="38" t="s">
        <v>1229</v>
      </c>
      <c r="B162" s="38" t="s">
        <v>1230</v>
      </c>
      <c r="C162" s="38" t="s">
        <v>1271</v>
      </c>
      <c r="D162" s="3" t="s">
        <v>1272</v>
      </c>
      <c r="E162" s="38">
        <v>0</v>
      </c>
      <c r="F162" s="38">
        <v>0</v>
      </c>
      <c r="G162" s="38">
        <v>100</v>
      </c>
      <c r="H162" s="38">
        <v>0</v>
      </c>
      <c r="I162"/>
      <c r="J162"/>
      <c r="K162"/>
      <c r="L162"/>
      <c r="M162"/>
      <c r="N162"/>
      <c r="O162"/>
    </row>
    <row r="163" spans="1:15" ht="16" x14ac:dyDescent="0.2">
      <c r="A163" s="38" t="s">
        <v>1255</v>
      </c>
      <c r="B163" s="38" t="s">
        <v>1256</v>
      </c>
      <c r="C163" s="39" t="s">
        <v>1369</v>
      </c>
      <c r="D163" s="3" t="s">
        <v>1274</v>
      </c>
      <c r="E163" s="39" t="s">
        <v>1371</v>
      </c>
      <c r="F163" s="39" t="s">
        <v>1371</v>
      </c>
      <c r="G163" s="39" t="s">
        <v>1371</v>
      </c>
      <c r="H163" s="39" t="s">
        <v>1371</v>
      </c>
      <c r="I163"/>
      <c r="J163"/>
      <c r="K163"/>
      <c r="L163"/>
      <c r="M163"/>
      <c r="N163"/>
      <c r="O163"/>
    </row>
    <row r="164" spans="1:15" ht="16" x14ac:dyDescent="0.2">
      <c r="A164" s="38" t="s">
        <v>1260</v>
      </c>
      <c r="B164" s="38" t="s">
        <v>1261</v>
      </c>
      <c r="C164" s="39" t="s">
        <v>1369</v>
      </c>
      <c r="D164" s="3" t="s">
        <v>1274</v>
      </c>
      <c r="E164" s="39" t="s">
        <v>1371</v>
      </c>
      <c r="F164" s="39" t="s">
        <v>1371</v>
      </c>
      <c r="G164" s="39" t="s">
        <v>1371</v>
      </c>
      <c r="H164" s="39" t="s">
        <v>1371</v>
      </c>
      <c r="I164"/>
      <c r="J164"/>
      <c r="K164"/>
      <c r="L164"/>
      <c r="M164"/>
      <c r="N164"/>
      <c r="O164"/>
    </row>
    <row r="165" spans="1:15" ht="16" x14ac:dyDescent="0.2">
      <c r="A165" s="38" t="s">
        <v>1262</v>
      </c>
      <c r="B165" s="38" t="s">
        <v>1263</v>
      </c>
      <c r="C165" s="39" t="s">
        <v>1369</v>
      </c>
      <c r="D165" s="3" t="s">
        <v>1459</v>
      </c>
      <c r="E165" s="39" t="s">
        <v>1371</v>
      </c>
      <c r="F165" s="39" t="s">
        <v>1371</v>
      </c>
      <c r="G165" s="39" t="s">
        <v>1371</v>
      </c>
      <c r="H165" s="39" t="s">
        <v>1371</v>
      </c>
      <c r="I165"/>
      <c r="J165"/>
      <c r="K165"/>
      <c r="L165"/>
      <c r="M165"/>
      <c r="N165"/>
      <c r="O165"/>
    </row>
    <row r="166" spans="1:15" ht="16" x14ac:dyDescent="0.2">
      <c r="A166" s="38" t="s">
        <v>1231</v>
      </c>
      <c r="B166" s="38" t="s">
        <v>1232</v>
      </c>
      <c r="C166" s="38" t="s">
        <v>1271</v>
      </c>
      <c r="D166" s="3" t="s">
        <v>1460</v>
      </c>
      <c r="E166" s="38">
        <v>0</v>
      </c>
      <c r="F166" s="38">
        <v>67</v>
      </c>
      <c r="G166" s="38">
        <v>30</v>
      </c>
      <c r="H166" s="38">
        <v>0</v>
      </c>
      <c r="I166"/>
      <c r="J166"/>
      <c r="K166"/>
      <c r="L166"/>
      <c r="M166"/>
      <c r="N166"/>
      <c r="O166"/>
    </row>
    <row r="167" spans="1:15" ht="16" x14ac:dyDescent="0.2">
      <c r="A167" s="38" t="s">
        <v>1461</v>
      </c>
      <c r="B167" s="38" t="s">
        <v>1462</v>
      </c>
      <c r="C167" s="38" t="s">
        <v>1273</v>
      </c>
      <c r="D167" s="3" t="s">
        <v>1274</v>
      </c>
      <c r="E167" s="38">
        <v>0</v>
      </c>
      <c r="F167" s="38">
        <v>100</v>
      </c>
      <c r="G167" s="38">
        <v>0</v>
      </c>
      <c r="H167" s="38">
        <v>0</v>
      </c>
      <c r="I167"/>
      <c r="J167"/>
      <c r="K167"/>
      <c r="L167"/>
      <c r="M167"/>
      <c r="N167"/>
      <c r="O167"/>
    </row>
    <row r="168" spans="1:15" ht="16" x14ac:dyDescent="0.2">
      <c r="A168" s="38" t="s">
        <v>1463</v>
      </c>
      <c r="B168" s="38" t="s">
        <v>1464</v>
      </c>
      <c r="C168" s="38" t="s">
        <v>1273</v>
      </c>
      <c r="D168" s="3" t="s">
        <v>1274</v>
      </c>
      <c r="E168" s="38">
        <v>0</v>
      </c>
      <c r="F168" s="38">
        <v>100</v>
      </c>
      <c r="G168" s="38">
        <v>0</v>
      </c>
      <c r="H168" s="38">
        <v>0</v>
      </c>
      <c r="I168"/>
      <c r="J168"/>
      <c r="K168"/>
      <c r="L168"/>
      <c r="M168"/>
      <c r="N168"/>
      <c r="O168"/>
    </row>
    <row r="169" spans="1:15" ht="16" x14ac:dyDescent="0.2">
      <c r="A169" s="38" t="s">
        <v>1039</v>
      </c>
      <c r="B169" s="38" t="s">
        <v>1040</v>
      </c>
      <c r="C169" s="38" t="s">
        <v>1273</v>
      </c>
      <c r="D169" s="3" t="s">
        <v>1274</v>
      </c>
      <c r="E169" s="38">
        <v>0</v>
      </c>
      <c r="F169" s="38">
        <v>100</v>
      </c>
      <c r="G169" s="38">
        <v>0</v>
      </c>
      <c r="H169" s="38">
        <v>0</v>
      </c>
      <c r="I169"/>
      <c r="J169"/>
      <c r="K169"/>
      <c r="L169"/>
      <c r="M169"/>
      <c r="N169"/>
      <c r="O169"/>
    </row>
    <row r="170" spans="1:15" ht="16" x14ac:dyDescent="0.2">
      <c r="A170" s="38" t="s">
        <v>1465</v>
      </c>
      <c r="B170" s="38" t="s">
        <v>1466</v>
      </c>
      <c r="C170" s="38" t="s">
        <v>1273</v>
      </c>
      <c r="D170" s="3" t="s">
        <v>1274</v>
      </c>
      <c r="E170" s="38">
        <v>0</v>
      </c>
      <c r="F170" s="38">
        <v>100</v>
      </c>
      <c r="G170" s="38">
        <v>0</v>
      </c>
      <c r="H170" s="38">
        <v>0</v>
      </c>
      <c r="I170"/>
      <c r="J170"/>
      <c r="K170"/>
      <c r="L170"/>
      <c r="M170"/>
      <c r="N170"/>
      <c r="O170"/>
    </row>
    <row r="171" spans="1:15" ht="16" x14ac:dyDescent="0.2">
      <c r="A171" s="38" t="s">
        <v>1467</v>
      </c>
      <c r="B171" s="38" t="s">
        <v>1468</v>
      </c>
      <c r="C171" s="38" t="s">
        <v>1273</v>
      </c>
      <c r="D171" s="3" t="s">
        <v>1274</v>
      </c>
      <c r="E171" s="38">
        <v>0</v>
      </c>
      <c r="F171" s="38">
        <v>100</v>
      </c>
      <c r="G171" s="38">
        <v>0</v>
      </c>
      <c r="H171" s="38">
        <v>0</v>
      </c>
      <c r="I171"/>
      <c r="J171"/>
      <c r="K171"/>
      <c r="L171"/>
      <c r="M171"/>
      <c r="N171"/>
      <c r="O171"/>
    </row>
    <row r="172" spans="1:15" ht="16" x14ac:dyDescent="0.2">
      <c r="A172" s="38" t="s">
        <v>1047</v>
      </c>
      <c r="B172" s="38" t="s">
        <v>1048</v>
      </c>
      <c r="C172" s="38" t="s">
        <v>1273</v>
      </c>
      <c r="D172" s="3" t="s">
        <v>1274</v>
      </c>
      <c r="E172" s="38">
        <v>0</v>
      </c>
      <c r="F172" s="38">
        <v>100</v>
      </c>
      <c r="G172" s="38">
        <v>0</v>
      </c>
      <c r="H172" s="38">
        <v>0</v>
      </c>
      <c r="I172"/>
      <c r="J172"/>
      <c r="K172"/>
      <c r="L172"/>
      <c r="M172"/>
      <c r="N172"/>
      <c r="O172"/>
    </row>
    <row r="173" spans="1:15" ht="16" x14ac:dyDescent="0.2">
      <c r="A173" s="38" t="s">
        <v>1469</v>
      </c>
      <c r="B173" s="38" t="s">
        <v>1470</v>
      </c>
      <c r="C173" s="38" t="s">
        <v>1273</v>
      </c>
      <c r="D173" s="3" t="s">
        <v>1274</v>
      </c>
      <c r="E173" s="38">
        <v>0</v>
      </c>
      <c r="F173" s="38">
        <v>100</v>
      </c>
      <c r="G173" s="38">
        <v>0</v>
      </c>
      <c r="H173" s="38">
        <v>0</v>
      </c>
      <c r="I173"/>
      <c r="J173"/>
      <c r="K173"/>
      <c r="L173"/>
      <c r="M173"/>
      <c r="N173"/>
      <c r="O173"/>
    </row>
    <row r="174" spans="1:15" ht="16" x14ac:dyDescent="0.2">
      <c r="A174" s="38" t="s">
        <v>1053</v>
      </c>
      <c r="B174" s="38" t="s">
        <v>1054</v>
      </c>
      <c r="C174" s="38" t="s">
        <v>1273</v>
      </c>
      <c r="D174" s="3" t="s">
        <v>1274</v>
      </c>
      <c r="E174" s="38">
        <v>0</v>
      </c>
      <c r="F174" s="38">
        <v>100</v>
      </c>
      <c r="G174" s="38">
        <v>0</v>
      </c>
      <c r="H174" s="38">
        <v>0</v>
      </c>
      <c r="I174"/>
      <c r="J174"/>
      <c r="K174"/>
      <c r="L174"/>
      <c r="M174"/>
      <c r="N174"/>
      <c r="O174"/>
    </row>
    <row r="175" spans="1:15" ht="16" x14ac:dyDescent="0.2">
      <c r="A175" s="38" t="s">
        <v>1059</v>
      </c>
      <c r="B175" s="38" t="s">
        <v>1060</v>
      </c>
      <c r="C175" s="38" t="s">
        <v>1273</v>
      </c>
      <c r="D175" s="3" t="s">
        <v>1275</v>
      </c>
      <c r="E175" s="38">
        <v>0</v>
      </c>
      <c r="F175" s="38">
        <v>99</v>
      </c>
      <c r="G175" s="38">
        <v>0</v>
      </c>
      <c r="H175" s="38">
        <v>0</v>
      </c>
      <c r="I175"/>
      <c r="J175"/>
      <c r="K175"/>
      <c r="L175"/>
      <c r="M175"/>
      <c r="N175"/>
      <c r="O175"/>
    </row>
    <row r="176" spans="1:15" ht="16" x14ac:dyDescent="0.2">
      <c r="A176" s="38" t="s">
        <v>1471</v>
      </c>
      <c r="B176" s="38" t="s">
        <v>1472</v>
      </c>
      <c r="C176" s="38" t="s">
        <v>1273</v>
      </c>
      <c r="D176" s="3" t="s">
        <v>1274</v>
      </c>
      <c r="E176" s="38">
        <v>0</v>
      </c>
      <c r="F176" s="38">
        <v>100</v>
      </c>
      <c r="G176" s="38">
        <v>0</v>
      </c>
      <c r="H176" s="38">
        <v>0</v>
      </c>
      <c r="I176"/>
      <c r="J176"/>
      <c r="K176"/>
      <c r="L176"/>
      <c r="M176"/>
      <c r="N176"/>
      <c r="O176"/>
    </row>
    <row r="177" spans="1:15" ht="16" x14ac:dyDescent="0.2">
      <c r="A177" s="38" t="s">
        <v>1473</v>
      </c>
      <c r="B177" s="38" t="s">
        <v>1474</v>
      </c>
      <c r="C177" s="38" t="s">
        <v>1273</v>
      </c>
      <c r="D177" s="3" t="s">
        <v>1274</v>
      </c>
      <c r="E177" s="38">
        <v>0</v>
      </c>
      <c r="F177" s="38">
        <v>100</v>
      </c>
      <c r="G177" s="38">
        <v>0</v>
      </c>
      <c r="H177" s="38">
        <v>0</v>
      </c>
      <c r="I177"/>
      <c r="J177"/>
      <c r="K177"/>
      <c r="L177"/>
      <c r="M177"/>
      <c r="N177"/>
      <c r="O177"/>
    </row>
    <row r="178" spans="1:15" ht="16" x14ac:dyDescent="0.2">
      <c r="A178" s="38" t="s">
        <v>1043</v>
      </c>
      <c r="B178" s="38" t="s">
        <v>1044</v>
      </c>
      <c r="C178" s="38" t="s">
        <v>1273</v>
      </c>
      <c r="D178" s="3" t="s">
        <v>1274</v>
      </c>
      <c r="E178" s="38">
        <v>0</v>
      </c>
      <c r="F178" s="38">
        <v>100</v>
      </c>
      <c r="G178" s="38">
        <v>0</v>
      </c>
      <c r="H178" s="38">
        <v>0</v>
      </c>
      <c r="I178"/>
      <c r="J178"/>
      <c r="K178"/>
      <c r="L178"/>
      <c r="M178"/>
      <c r="N178"/>
      <c r="O178"/>
    </row>
    <row r="179" spans="1:15" ht="16" x14ac:dyDescent="0.2">
      <c r="A179" s="38" t="s">
        <v>1475</v>
      </c>
      <c r="B179" s="38" t="s">
        <v>1476</v>
      </c>
      <c r="C179" s="38" t="s">
        <v>1273</v>
      </c>
      <c r="D179" s="3" t="s">
        <v>1274</v>
      </c>
      <c r="E179" s="38">
        <v>0</v>
      </c>
      <c r="F179" s="38">
        <v>100</v>
      </c>
      <c r="G179" s="38">
        <v>0</v>
      </c>
      <c r="H179" s="38">
        <v>0</v>
      </c>
      <c r="I179"/>
      <c r="J179"/>
      <c r="K179"/>
      <c r="L179"/>
      <c r="M179"/>
      <c r="N179"/>
      <c r="O179"/>
    </row>
    <row r="180" spans="1:15" ht="16" x14ac:dyDescent="0.2">
      <c r="A180" s="38" t="s">
        <v>1477</v>
      </c>
      <c r="B180" s="38" t="s">
        <v>1478</v>
      </c>
      <c r="C180" s="38" t="s">
        <v>1273</v>
      </c>
      <c r="D180" s="3" t="s">
        <v>1274</v>
      </c>
      <c r="E180" s="38">
        <v>0</v>
      </c>
      <c r="F180" s="38">
        <v>100</v>
      </c>
      <c r="G180" s="38">
        <v>0</v>
      </c>
      <c r="H180" s="38">
        <v>0</v>
      </c>
      <c r="I180"/>
      <c r="J180"/>
      <c r="K180"/>
      <c r="L180"/>
      <c r="M180"/>
      <c r="N180"/>
      <c r="O180"/>
    </row>
    <row r="181" spans="1:15" ht="16" x14ac:dyDescent="0.2">
      <c r="A181" s="38" t="s">
        <v>1049</v>
      </c>
      <c r="B181" s="38" t="s">
        <v>1050</v>
      </c>
      <c r="C181" s="38" t="s">
        <v>1273</v>
      </c>
      <c r="D181" s="3" t="s">
        <v>1274</v>
      </c>
      <c r="E181" s="38">
        <v>0</v>
      </c>
      <c r="F181" s="38">
        <v>100</v>
      </c>
      <c r="G181" s="38">
        <v>0</v>
      </c>
      <c r="H181" s="38">
        <v>0</v>
      </c>
      <c r="I181"/>
      <c r="J181"/>
      <c r="K181"/>
      <c r="L181"/>
      <c r="M181"/>
      <c r="N181"/>
      <c r="O181"/>
    </row>
    <row r="182" spans="1:15" ht="16" x14ac:dyDescent="0.2">
      <c r="A182" s="38" t="s">
        <v>1055</v>
      </c>
      <c r="B182" s="38" t="s">
        <v>1056</v>
      </c>
      <c r="C182" s="38" t="s">
        <v>1273</v>
      </c>
      <c r="D182" s="3" t="s">
        <v>1274</v>
      </c>
      <c r="E182" s="38">
        <v>0</v>
      </c>
      <c r="F182" s="38">
        <v>100</v>
      </c>
      <c r="G182" s="38">
        <v>0</v>
      </c>
      <c r="H182" s="38">
        <v>0</v>
      </c>
      <c r="I182"/>
      <c r="J182"/>
      <c r="K182"/>
      <c r="L182"/>
      <c r="M182"/>
      <c r="N182"/>
      <c r="O182"/>
    </row>
    <row r="183" spans="1:15" ht="16" x14ac:dyDescent="0.2">
      <c r="A183" s="38" t="s">
        <v>1061</v>
      </c>
      <c r="B183" s="38" t="s">
        <v>1062</v>
      </c>
      <c r="C183" s="38" t="s">
        <v>1273</v>
      </c>
      <c r="D183" s="3" t="s">
        <v>1274</v>
      </c>
      <c r="E183" s="38">
        <v>0</v>
      </c>
      <c r="F183" s="38">
        <v>100</v>
      </c>
      <c r="G183" s="38">
        <v>0</v>
      </c>
      <c r="H183" s="38">
        <v>0</v>
      </c>
      <c r="I183"/>
      <c r="J183"/>
      <c r="K183"/>
      <c r="L183"/>
      <c r="M183"/>
      <c r="N183"/>
      <c r="O183"/>
    </row>
    <row r="184" spans="1:15" ht="16" x14ac:dyDescent="0.2">
      <c r="A184" s="38" t="s">
        <v>1479</v>
      </c>
      <c r="B184" s="38" t="s">
        <v>1480</v>
      </c>
      <c r="C184" s="38" t="s">
        <v>1273</v>
      </c>
      <c r="D184" s="3" t="s">
        <v>1274</v>
      </c>
      <c r="E184" s="38">
        <v>0</v>
      </c>
      <c r="F184" s="38">
        <v>100</v>
      </c>
      <c r="G184" s="38">
        <v>0</v>
      </c>
      <c r="H184" s="38">
        <v>0</v>
      </c>
      <c r="I184"/>
      <c r="J184"/>
      <c r="K184"/>
      <c r="L184"/>
      <c r="M184"/>
      <c r="N184"/>
      <c r="O184"/>
    </row>
    <row r="185" spans="1:15" ht="16" x14ac:dyDescent="0.2">
      <c r="A185" s="38" t="s">
        <v>1481</v>
      </c>
      <c r="B185" s="38" t="s">
        <v>1482</v>
      </c>
      <c r="C185" s="38" t="s">
        <v>1273</v>
      </c>
      <c r="D185" s="3" t="s">
        <v>1274</v>
      </c>
      <c r="E185" s="38">
        <v>0</v>
      </c>
      <c r="F185" s="38">
        <v>100</v>
      </c>
      <c r="G185" s="38">
        <v>0</v>
      </c>
      <c r="H185" s="38">
        <v>0</v>
      </c>
      <c r="I185"/>
      <c r="J185"/>
      <c r="K185"/>
      <c r="L185"/>
      <c r="M185"/>
      <c r="N185"/>
      <c r="O185"/>
    </row>
    <row r="186" spans="1:15" ht="16" x14ac:dyDescent="0.2">
      <c r="A186" s="38" t="s">
        <v>1041</v>
      </c>
      <c r="B186" s="38" t="s">
        <v>1042</v>
      </c>
      <c r="C186" s="38" t="s">
        <v>1273</v>
      </c>
      <c r="D186" s="3" t="s">
        <v>1274</v>
      </c>
      <c r="E186" s="38">
        <v>0</v>
      </c>
      <c r="F186" s="38">
        <v>100</v>
      </c>
      <c r="G186" s="38">
        <v>0</v>
      </c>
      <c r="H186" s="38">
        <v>0</v>
      </c>
      <c r="I186"/>
      <c r="J186"/>
      <c r="K186"/>
      <c r="L186"/>
      <c r="M186"/>
      <c r="N186"/>
      <c r="O186"/>
    </row>
    <row r="187" spans="1:15" ht="16" x14ac:dyDescent="0.2">
      <c r="A187" s="38" t="s">
        <v>1051</v>
      </c>
      <c r="B187" s="38" t="s">
        <v>1052</v>
      </c>
      <c r="C187" s="38" t="s">
        <v>1273</v>
      </c>
      <c r="D187" s="3" t="s">
        <v>1276</v>
      </c>
      <c r="E187" s="38">
        <v>0</v>
      </c>
      <c r="F187" s="38">
        <v>98</v>
      </c>
      <c r="G187" s="38">
        <v>0</v>
      </c>
      <c r="H187" s="38">
        <v>1</v>
      </c>
      <c r="I187"/>
      <c r="J187"/>
      <c r="K187"/>
      <c r="L187"/>
      <c r="M187"/>
      <c r="N187"/>
      <c r="O187"/>
    </row>
    <row r="188" spans="1:15" ht="16" x14ac:dyDescent="0.2">
      <c r="A188" s="38" t="s">
        <v>1057</v>
      </c>
      <c r="B188" s="38" t="s">
        <v>1058</v>
      </c>
      <c r="C188" s="38" t="s">
        <v>1273</v>
      </c>
      <c r="D188" s="3" t="s">
        <v>1274</v>
      </c>
      <c r="E188" s="38">
        <v>0</v>
      </c>
      <c r="F188" s="38">
        <v>100</v>
      </c>
      <c r="G188" s="38">
        <v>0</v>
      </c>
      <c r="H188" s="38">
        <v>0</v>
      </c>
      <c r="I188"/>
      <c r="J188"/>
      <c r="K188"/>
      <c r="L188"/>
      <c r="M188"/>
      <c r="N188"/>
      <c r="O188"/>
    </row>
    <row r="189" spans="1:15" ht="16" x14ac:dyDescent="0.2">
      <c r="A189" s="38" t="s">
        <v>1063</v>
      </c>
      <c r="B189" s="38" t="s">
        <v>1064</v>
      </c>
      <c r="C189" s="38" t="s">
        <v>1273</v>
      </c>
      <c r="D189" s="3" t="s">
        <v>1274</v>
      </c>
      <c r="E189" s="38">
        <v>0</v>
      </c>
      <c r="F189" s="38">
        <v>100</v>
      </c>
      <c r="G189" s="38">
        <v>0</v>
      </c>
      <c r="H189" s="38">
        <v>0</v>
      </c>
      <c r="I189"/>
      <c r="J189"/>
      <c r="K189"/>
      <c r="L189"/>
      <c r="M189"/>
      <c r="N189"/>
      <c r="O189"/>
    </row>
    <row r="190" spans="1:15" ht="16" x14ac:dyDescent="0.2">
      <c r="A190" s="38" t="s">
        <v>1483</v>
      </c>
      <c r="B190" s="38" t="s">
        <v>1484</v>
      </c>
      <c r="C190" s="38" t="s">
        <v>1273</v>
      </c>
      <c r="D190" s="3" t="s">
        <v>1274</v>
      </c>
      <c r="E190" s="38">
        <v>0</v>
      </c>
      <c r="F190" s="38">
        <v>100</v>
      </c>
      <c r="G190" s="38">
        <v>0</v>
      </c>
      <c r="H190" s="38">
        <v>0</v>
      </c>
      <c r="I190"/>
      <c r="J190"/>
      <c r="K190"/>
      <c r="L190"/>
      <c r="M190"/>
      <c r="N190"/>
      <c r="O190"/>
    </row>
    <row r="191" spans="1:15" ht="16" x14ac:dyDescent="0.2">
      <c r="A191" s="38" t="s">
        <v>1485</v>
      </c>
      <c r="B191" s="38" t="s">
        <v>1486</v>
      </c>
      <c r="C191" s="38" t="s">
        <v>1273</v>
      </c>
      <c r="D191" s="3" t="s">
        <v>1274</v>
      </c>
      <c r="E191" s="38">
        <v>0</v>
      </c>
      <c r="F191" s="38">
        <v>100</v>
      </c>
      <c r="G191" s="38">
        <v>0</v>
      </c>
      <c r="H191" s="38">
        <v>0</v>
      </c>
      <c r="I191"/>
      <c r="J191"/>
      <c r="K191"/>
      <c r="L191"/>
      <c r="M191"/>
      <c r="N191"/>
      <c r="O191"/>
    </row>
    <row r="192" spans="1:15" ht="16" x14ac:dyDescent="0.2">
      <c r="A192" s="38" t="s">
        <v>1143</v>
      </c>
      <c r="B192" s="38" t="s">
        <v>1144</v>
      </c>
      <c r="C192" s="38" t="s">
        <v>1271</v>
      </c>
      <c r="D192" s="3" t="s">
        <v>1272</v>
      </c>
      <c r="E192" s="38">
        <v>0</v>
      </c>
      <c r="F192" s="38">
        <v>0</v>
      </c>
      <c r="G192" s="38">
        <v>100</v>
      </c>
      <c r="H192" s="38">
        <v>0</v>
      </c>
      <c r="I192"/>
      <c r="J192"/>
      <c r="K192"/>
      <c r="L192"/>
      <c r="M192"/>
      <c r="N192"/>
      <c r="O192"/>
    </row>
    <row r="193" spans="1:15" ht="16" x14ac:dyDescent="0.2">
      <c r="A193" s="38" t="s">
        <v>1155</v>
      </c>
      <c r="B193" s="38" t="s">
        <v>1156</v>
      </c>
      <c r="C193" s="38" t="s">
        <v>1271</v>
      </c>
      <c r="D193" s="3" t="s">
        <v>1272</v>
      </c>
      <c r="E193" s="38">
        <v>0</v>
      </c>
      <c r="F193" s="38">
        <v>0</v>
      </c>
      <c r="G193" s="38">
        <v>100</v>
      </c>
      <c r="H193" s="38">
        <v>0</v>
      </c>
      <c r="I193"/>
      <c r="J193"/>
      <c r="K193"/>
      <c r="L193"/>
      <c r="M193"/>
      <c r="N193"/>
      <c r="O193"/>
    </row>
    <row r="194" spans="1:15" ht="16" x14ac:dyDescent="0.2">
      <c r="A194" s="38" t="s">
        <v>1137</v>
      </c>
      <c r="B194" s="38" t="s">
        <v>1138</v>
      </c>
      <c r="C194" s="38" t="s">
        <v>1271</v>
      </c>
      <c r="D194" s="3" t="s">
        <v>1272</v>
      </c>
      <c r="E194" s="38">
        <v>0</v>
      </c>
      <c r="F194" s="38">
        <v>0</v>
      </c>
      <c r="G194" s="38">
        <v>100</v>
      </c>
      <c r="H194" s="38">
        <v>0</v>
      </c>
      <c r="I194"/>
      <c r="J194"/>
      <c r="K194"/>
      <c r="L194"/>
      <c r="M194"/>
      <c r="N194"/>
      <c r="O194"/>
    </row>
    <row r="195" spans="1:15" ht="16" x14ac:dyDescent="0.2">
      <c r="A195" s="38" t="s">
        <v>1139</v>
      </c>
      <c r="B195" s="38" t="s">
        <v>1140</v>
      </c>
      <c r="C195" s="38" t="s">
        <v>1271</v>
      </c>
      <c r="D195" s="3" t="s">
        <v>1272</v>
      </c>
      <c r="E195" s="38">
        <v>0</v>
      </c>
      <c r="F195" s="38">
        <v>0</v>
      </c>
      <c r="G195" s="38">
        <v>100</v>
      </c>
      <c r="H195" s="38">
        <v>0</v>
      </c>
      <c r="I195"/>
      <c r="J195"/>
      <c r="K195"/>
      <c r="L195"/>
      <c r="M195"/>
      <c r="N195"/>
      <c r="O195"/>
    </row>
    <row r="196" spans="1:15" ht="16" x14ac:dyDescent="0.2">
      <c r="A196" s="38" t="s">
        <v>1487</v>
      </c>
      <c r="B196" s="38" t="s">
        <v>1488</v>
      </c>
      <c r="C196" s="39" t="s">
        <v>1369</v>
      </c>
      <c r="D196" s="3" t="s">
        <v>1272</v>
      </c>
      <c r="E196" s="39" t="s">
        <v>1371</v>
      </c>
      <c r="F196" s="39" t="s">
        <v>1371</v>
      </c>
      <c r="G196" s="39" t="s">
        <v>1371</v>
      </c>
      <c r="H196" s="39" t="s">
        <v>1371</v>
      </c>
      <c r="I196"/>
      <c r="J196"/>
      <c r="K196"/>
      <c r="L196"/>
      <c r="M196"/>
      <c r="N196"/>
      <c r="O196"/>
    </row>
    <row r="197" spans="1:15" ht="16" x14ac:dyDescent="0.2">
      <c r="A197" s="38" t="s">
        <v>1147</v>
      </c>
      <c r="B197" s="38" t="s">
        <v>1148</v>
      </c>
      <c r="C197" s="38" t="s">
        <v>1271</v>
      </c>
      <c r="D197" s="3" t="s">
        <v>1272</v>
      </c>
      <c r="E197" s="38">
        <v>0</v>
      </c>
      <c r="F197" s="38">
        <v>0</v>
      </c>
      <c r="G197" s="38">
        <v>100</v>
      </c>
      <c r="H197" s="38">
        <v>0</v>
      </c>
      <c r="I197"/>
      <c r="J197"/>
      <c r="K197"/>
      <c r="L197"/>
      <c r="M197"/>
      <c r="N197"/>
      <c r="O197"/>
    </row>
    <row r="198" spans="1:15" ht="16" x14ac:dyDescent="0.2">
      <c r="A198" s="38" t="s">
        <v>1151</v>
      </c>
      <c r="B198" s="38" t="s">
        <v>1152</v>
      </c>
      <c r="C198" s="38" t="s">
        <v>1271</v>
      </c>
      <c r="D198" s="3" t="s">
        <v>1272</v>
      </c>
      <c r="E198" s="38">
        <v>0</v>
      </c>
      <c r="F198" s="38">
        <v>0</v>
      </c>
      <c r="G198" s="38">
        <v>100</v>
      </c>
      <c r="H198" s="38">
        <v>0</v>
      </c>
      <c r="I198"/>
      <c r="J198"/>
      <c r="K198"/>
      <c r="L198"/>
      <c r="M198"/>
      <c r="N198"/>
      <c r="O198"/>
    </row>
    <row r="199" spans="1:15" ht="16" x14ac:dyDescent="0.2">
      <c r="A199" s="38" t="s">
        <v>1149</v>
      </c>
      <c r="B199" s="38" t="s">
        <v>1150</v>
      </c>
      <c r="C199" s="38" t="s">
        <v>1271</v>
      </c>
      <c r="D199" s="3" t="s">
        <v>1272</v>
      </c>
      <c r="E199" s="38">
        <v>0</v>
      </c>
      <c r="F199" s="38">
        <v>0</v>
      </c>
      <c r="G199" s="38">
        <v>100</v>
      </c>
      <c r="H199" s="38">
        <v>0</v>
      </c>
      <c r="I199"/>
      <c r="J199"/>
      <c r="K199"/>
      <c r="L199"/>
      <c r="M199"/>
      <c r="N199"/>
      <c r="O199"/>
    </row>
    <row r="200" spans="1:15" ht="16" x14ac:dyDescent="0.2">
      <c r="A200" s="38" t="s">
        <v>1153</v>
      </c>
      <c r="B200" s="38" t="s">
        <v>1154</v>
      </c>
      <c r="C200" s="38" t="s">
        <v>1271</v>
      </c>
      <c r="D200" s="3" t="s">
        <v>1272</v>
      </c>
      <c r="E200" s="38">
        <v>0</v>
      </c>
      <c r="F200" s="38">
        <v>0</v>
      </c>
      <c r="G200" s="38">
        <v>100</v>
      </c>
      <c r="H200" s="38">
        <v>0</v>
      </c>
      <c r="I200"/>
      <c r="J200"/>
      <c r="K200"/>
      <c r="L200"/>
      <c r="M200"/>
      <c r="N200"/>
      <c r="O200"/>
    </row>
    <row r="201" spans="1:15" ht="16" x14ac:dyDescent="0.2">
      <c r="A201" s="38" t="s">
        <v>1157</v>
      </c>
      <c r="B201" s="38" t="s">
        <v>1158</v>
      </c>
      <c r="C201" s="38" t="s">
        <v>1271</v>
      </c>
      <c r="D201" s="3" t="s">
        <v>1272</v>
      </c>
      <c r="E201" s="38">
        <v>0</v>
      </c>
      <c r="F201" s="38">
        <v>0</v>
      </c>
      <c r="G201" s="38">
        <v>100</v>
      </c>
      <c r="H201" s="38">
        <v>0</v>
      </c>
      <c r="I201"/>
      <c r="J201"/>
      <c r="K201"/>
      <c r="L201"/>
      <c r="M201"/>
      <c r="N201"/>
      <c r="O201"/>
    </row>
    <row r="202" spans="1:15" ht="16" x14ac:dyDescent="0.2">
      <c r="A202" s="38" t="s">
        <v>1489</v>
      </c>
      <c r="B202" s="38" t="s">
        <v>1490</v>
      </c>
      <c r="C202" s="38" t="s">
        <v>1271</v>
      </c>
      <c r="D202" s="3" t="s">
        <v>1272</v>
      </c>
      <c r="E202" s="38">
        <v>0</v>
      </c>
      <c r="F202" s="38">
        <v>0</v>
      </c>
      <c r="G202" s="38">
        <v>100</v>
      </c>
      <c r="H202" s="38">
        <v>0</v>
      </c>
      <c r="I202"/>
      <c r="J202"/>
      <c r="K202"/>
      <c r="L202"/>
      <c r="M202"/>
      <c r="N202"/>
      <c r="O202"/>
    </row>
    <row r="203" spans="1:15" ht="16" x14ac:dyDescent="0.2">
      <c r="A203" s="38" t="s">
        <v>1141</v>
      </c>
      <c r="B203" s="38" t="s">
        <v>1142</v>
      </c>
      <c r="C203" s="38" t="s">
        <v>1271</v>
      </c>
      <c r="D203" s="3" t="s">
        <v>1272</v>
      </c>
      <c r="E203" s="38">
        <v>0</v>
      </c>
      <c r="F203" s="38">
        <v>0</v>
      </c>
      <c r="G203" s="38">
        <v>100</v>
      </c>
      <c r="H203" s="38">
        <v>0</v>
      </c>
      <c r="I203"/>
      <c r="J203"/>
      <c r="K203"/>
      <c r="L203"/>
      <c r="M203"/>
      <c r="N203"/>
      <c r="O203"/>
    </row>
    <row r="204" spans="1:15" ht="16" x14ac:dyDescent="0.2">
      <c r="A204" s="38" t="s">
        <v>1491</v>
      </c>
      <c r="B204" s="38" t="s">
        <v>1492</v>
      </c>
      <c r="C204" s="38" t="s">
        <v>1271</v>
      </c>
      <c r="D204" s="3" t="s">
        <v>1272</v>
      </c>
      <c r="E204" s="38">
        <v>0</v>
      </c>
      <c r="F204" s="38">
        <v>0</v>
      </c>
      <c r="G204" s="38">
        <v>100</v>
      </c>
      <c r="H204" s="38">
        <v>0</v>
      </c>
      <c r="I204"/>
      <c r="J204"/>
      <c r="K204"/>
      <c r="L204"/>
      <c r="M204"/>
      <c r="N204"/>
      <c r="O204"/>
    </row>
    <row r="205" spans="1:15" ht="16" x14ac:dyDescent="0.2">
      <c r="A205" s="38" t="s">
        <v>1145</v>
      </c>
      <c r="B205" s="38" t="s">
        <v>1146</v>
      </c>
      <c r="C205" s="38" t="s">
        <v>1271</v>
      </c>
      <c r="D205" s="3" t="s">
        <v>1272</v>
      </c>
      <c r="E205" s="38">
        <v>0</v>
      </c>
      <c r="F205" s="38">
        <v>0</v>
      </c>
      <c r="G205" s="38">
        <v>100</v>
      </c>
      <c r="H205" s="38">
        <v>0</v>
      </c>
      <c r="I205"/>
      <c r="J205"/>
      <c r="K205"/>
      <c r="L205"/>
      <c r="M205"/>
      <c r="N205"/>
      <c r="O20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  <vt:lpstr>Table S19</vt:lpstr>
      <vt:lpstr>Table S20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Genner</dc:creator>
  <dc:description/>
  <cp:lastModifiedBy>M G</cp:lastModifiedBy>
  <cp:revision>8</cp:revision>
  <dcterms:created xsi:type="dcterms:W3CDTF">2024-08-21T17:24:25Z</dcterms:created>
  <dcterms:modified xsi:type="dcterms:W3CDTF">2026-03-17T10:10:44Z</dcterms:modified>
  <dc:language>en-GB</dc:language>
</cp:coreProperties>
</file>